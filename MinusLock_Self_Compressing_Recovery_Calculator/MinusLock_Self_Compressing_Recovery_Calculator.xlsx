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" sheetId="1" state="visible" r:id="rId1"/>
    <sheet name="Калькулятор" sheetId="2" state="visible" r:id="rId2"/>
    <sheet name="РИСК_АНАЛИЗ" sheetId="3" state="visible" r:id="rId3"/>
    <sheet name="Тесты" sheetId="4" state="visible" r:id="rId4"/>
    <sheet name="Руководство" sheetId="5" state="visible" r:id="rId5"/>
    <sheet name="Описание" sheetId="6" state="visible" r:id="rId6"/>
  </sheets>
  <definedNames>
    <definedName name="StartLot">'ПАРАМЕТРЫ'!$B$2</definedName>
    <definedName name="Direction">'ПАРАМЕТРЫ'!$B$3</definedName>
    <definedName name="MaxLevels">'ПАРАМЕТРЫ'!$B$4</definedName>
    <definedName name="LotStep">'ПАРАМЕТРЫ'!$B$5</definedName>
    <definedName name="UseRounding">'ПАРАМЕТРЫ'!$B$6</definedName>
    <definedName name="BigPercent">'ПАРАМЕТРЫ'!$B$7</definedName>
    <definedName name="SmallPercent">'ПАРАМЕТРЫ'!$B$8</definedName>
    <definedName name="CloseFarPercent">'ПАРАМЕТРЫ'!$B$9</definedName>
    <definedName name="CloseMode">'ПАРАМЕТРЫ'!$B$10</definedName>
    <definedName name="ProfitReservePercent">'ПАРАМЕТРЫ'!$B$11</definedName>
    <definedName name="MinReserveMoney">'ПАРАМЕТРЫ'!$B$12</definedName>
    <definedName name="PointValuePerLot">'ПАРАМЕТРЫ'!$B$13</definedName>
    <definedName name="Balance">'ПАРАМЕТРЫ'!$B$14</definedName>
    <definedName name="Leverage">'ПАРАМЕТРЫ'!$B$15</definedName>
    <definedName name="ContractSize">'ПАРАМЕТРЫ'!$B$16</definedName>
    <definedName name="InstrumentPrice">'ПАРАМЕТРЫ'!$B$17</definedName>
    <definedName name="MaxAdversePoints">'ПАРАМЕТРЫ'!$B$18</definedName>
    <definedName name="StopOutPercent">'ПАРАМЕТРЫ'!$B$19</definedName>
    <definedName name="MarginCallPercent">'ПАРАМЕТРЫ'!$B$20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4B084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Параметр</t>
        </is>
      </c>
      <c r="B1" s="1" t="inlineStr">
        <is>
          <t>Значение</t>
        </is>
      </c>
    </row>
    <row r="2">
      <c r="A2" t="inlineStr">
        <is>
          <t>StartLot</t>
        </is>
      </c>
      <c r="B2" s="2" t="n">
        <v>1</v>
      </c>
    </row>
    <row r="3">
      <c r="A3" t="inlineStr">
        <is>
          <t>Direction</t>
        </is>
      </c>
      <c r="B3" s="2" t="inlineStr">
        <is>
          <t>DOWN</t>
        </is>
      </c>
    </row>
    <row r="4">
      <c r="A4" t="inlineStr">
        <is>
          <t>MaxLevels</t>
        </is>
      </c>
      <c r="B4" s="2" t="n">
        <v>5</v>
      </c>
    </row>
    <row r="5">
      <c r="A5" t="inlineStr">
        <is>
          <t>LotStep</t>
        </is>
      </c>
      <c r="B5" s="2" t="n">
        <v>0.01</v>
      </c>
    </row>
    <row r="6">
      <c r="A6" t="inlineStr">
        <is>
          <t>UseRounding</t>
        </is>
      </c>
      <c r="B6" s="2" t="inlineStr">
        <is>
          <t>TRUE</t>
        </is>
      </c>
    </row>
    <row r="7">
      <c r="A7" t="inlineStr">
        <is>
          <t>BigPercent</t>
        </is>
      </c>
      <c r="B7" s="2" t="n">
        <v>90</v>
      </c>
    </row>
    <row r="8">
      <c r="A8" t="inlineStr">
        <is>
          <t>SmallPercent</t>
        </is>
      </c>
      <c r="B8" s="2" t="n">
        <v>40</v>
      </c>
    </row>
    <row r="9">
      <c r="A9" t="inlineStr">
        <is>
          <t>CloseFarPercent</t>
        </is>
      </c>
      <c r="B9" s="2" t="n">
        <v>30</v>
      </c>
    </row>
    <row r="10">
      <c r="A10" t="inlineStr">
        <is>
          <t>CloseMode</t>
        </is>
      </c>
      <c r="B10" s="2" t="inlineStr">
        <is>
          <t>THEORETICAL</t>
        </is>
      </c>
    </row>
    <row r="11">
      <c r="A11" t="inlineStr">
        <is>
          <t>ProfitReservePercent</t>
        </is>
      </c>
      <c r="B11" s="2" t="n">
        <v>30</v>
      </c>
    </row>
    <row r="12">
      <c r="A12" t="inlineStr">
        <is>
          <t>MinReserveMoney</t>
        </is>
      </c>
      <c r="B12" s="2" t="n">
        <v>5</v>
      </c>
    </row>
    <row r="13">
      <c r="A13" t="inlineStr">
        <is>
          <t>PointValuePerLot</t>
        </is>
      </c>
      <c r="B13" s="2" t="n">
        <v>10</v>
      </c>
    </row>
    <row r="14">
      <c r="A14" t="inlineStr">
        <is>
          <t>Balance</t>
        </is>
      </c>
      <c r="B14" s="2" t="n">
        <v>10000</v>
      </c>
    </row>
    <row r="15">
      <c r="A15" t="inlineStr">
        <is>
          <t>Leverage</t>
        </is>
      </c>
      <c r="B15" s="2" t="n">
        <v>100</v>
      </c>
    </row>
    <row r="16">
      <c r="A16" t="inlineStr">
        <is>
          <t>ContractSize</t>
        </is>
      </c>
      <c r="B16" s="2" t="n">
        <v>100000</v>
      </c>
    </row>
    <row r="17">
      <c r="A17" t="inlineStr">
        <is>
          <t>InstrumentPrice</t>
        </is>
      </c>
      <c r="B17" s="2" t="n">
        <v>1.1</v>
      </c>
    </row>
    <row r="18">
      <c r="A18" t="inlineStr">
        <is>
          <t>MaxAdversePoints</t>
        </is>
      </c>
      <c r="B18" s="2" t="n">
        <v>500</v>
      </c>
    </row>
    <row r="19">
      <c r="A19" t="inlineStr">
        <is>
          <t>StopOutPercent</t>
        </is>
      </c>
      <c r="B19" s="2" t="n">
        <v>50</v>
      </c>
    </row>
    <row r="20">
      <c r="A20" t="inlineStr">
        <is>
          <t>MarginCallPercent</t>
        </is>
      </c>
      <c r="B20" s="2" t="n">
        <v>100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3">
    <dataValidation sqref="B3" showDropDown="0" showInputMessage="0" showErrorMessage="0" allowBlank="0" type="list">
      <formula1>"DOWN,UP"</formula1>
    </dataValidation>
    <dataValidation sqref="B10" showDropDown="0" showInputMessage="0" showErrorMessage="0" allowBlank="0" type="list">
      <formula1>"THEORETICAL,SAFE_PROFIT_BUDGET"</formula1>
    </dataValidation>
    <dataValidation sqref="B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Уровень</t>
        </is>
      </c>
      <c r="B1" s="1" t="inlineStr">
        <is>
          <t>Направление</t>
        </is>
      </c>
      <c r="C1" s="1" t="inlineStr">
        <is>
          <t>Ближний старт</t>
        </is>
      </c>
      <c r="D1" s="1" t="inlineStr">
        <is>
          <t>Дальний старт остаток</t>
        </is>
      </c>
      <c r="E1" s="1" t="inlineStr">
        <is>
          <t>Старт поз. самая дальняя</t>
        </is>
      </c>
      <c r="F1" s="1" t="inlineStr">
        <is>
          <t>Big %</t>
        </is>
      </c>
      <c r="G1" s="1" t="inlineStr">
        <is>
          <t>Big Lot Raw</t>
        </is>
      </c>
      <c r="H1" s="1" t="inlineStr">
        <is>
          <t>Big Lot Rounded</t>
        </is>
      </c>
      <c r="I1" s="1" t="inlineStr">
        <is>
          <t>Small %</t>
        </is>
      </c>
      <c r="J1" s="1" t="inlineStr">
        <is>
          <t>Small Lot Raw</t>
        </is>
      </c>
      <c r="K1" s="1" t="inlineStr">
        <is>
          <t>Small Lot Rounded</t>
        </is>
      </c>
      <c r="L1" s="1" t="inlineStr">
        <is>
          <t>Close Far %</t>
        </is>
      </c>
      <c r="M1" s="1" t="inlineStr">
        <is>
          <t>Max Close Far Lot</t>
        </is>
      </c>
      <c r="N1" s="1" t="inlineStr">
        <is>
          <t>Close By Profit Budget</t>
        </is>
      </c>
      <c r="O1" s="1" t="inlineStr">
        <is>
          <t>Actual Close Far Lot</t>
        </is>
      </c>
      <c r="P1" s="1" t="inlineStr">
        <is>
          <t>Close Mode</t>
        </is>
      </c>
      <c r="Q1" s="1" t="inlineStr">
        <is>
          <t>Новый ближний старт</t>
        </is>
      </c>
      <c r="R1" s="1" t="inlineStr">
        <is>
          <t>Новый дальний остаток</t>
        </is>
      </c>
      <c r="S1" s="1" t="inlineStr">
        <is>
          <t>Next Base Lot</t>
        </is>
      </c>
      <c r="T1" s="1" t="inlineStr">
        <is>
          <t>Сумма Big</t>
        </is>
      </c>
      <c r="U1" s="1" t="inlineStr">
        <is>
          <t>Сумма Small</t>
        </is>
      </c>
      <c r="V1" s="1" t="inlineStr">
        <is>
          <t>Сумма Close</t>
        </is>
      </c>
      <c r="W1" s="1" t="inlineStr">
        <is>
          <t>Статус</t>
        </is>
      </c>
      <c r="X1" s="1" t="inlineStr">
        <is>
          <t>Комментарий</t>
        </is>
      </c>
      <c r="Y1" s="1" t="inlineStr">
        <is>
          <t>Прибыль пакета до Close</t>
        </is>
      </c>
      <c r="Z1" s="1" t="inlineStr">
        <is>
          <t>Резерв деньги</t>
        </is>
      </c>
      <c r="AA1" s="1" t="inlineStr">
        <is>
          <t>Бюджет на Close</t>
        </is>
      </c>
      <c r="AB1" s="1" t="inlineStr">
        <is>
          <t>Убыток Far Start на 1 лот</t>
        </is>
      </c>
      <c r="AC1" s="1" t="inlineStr">
        <is>
          <t>Close Status</t>
        </is>
      </c>
      <c r="AD1" s="1" t="inlineStr">
        <is>
          <t>Total Big Lots</t>
        </is>
      </c>
      <c r="AE1" s="1" t="inlineStr">
        <is>
          <t>Total Small Lots</t>
        </is>
      </c>
      <c r="AF1" s="1" t="inlineStr">
        <is>
          <t>Total Open Lots</t>
        </is>
      </c>
      <c r="AG1" s="1" t="inlineStr">
        <is>
          <t>Net Lot</t>
        </is>
      </c>
      <c r="AH1" s="1" t="inlineStr">
        <is>
          <t>Margin Per Lot</t>
        </is>
      </c>
      <c r="AI1" s="1" t="inlineStr">
        <is>
          <t>Required Margin</t>
        </is>
      </c>
      <c r="AJ1" s="1" t="inlineStr">
        <is>
          <t>Margin Load %</t>
        </is>
      </c>
      <c r="AK1" s="1" t="inlineStr">
        <is>
          <t>Floating DD</t>
        </is>
      </c>
      <c r="AL1" s="1" t="inlineStr">
        <is>
          <t>Equity After DD</t>
        </is>
      </c>
      <c r="AM1" s="1" t="inlineStr">
        <is>
          <t>Free Margin</t>
        </is>
      </c>
      <c r="AN1" s="1" t="inlineStr">
        <is>
          <t>Margin Level %</t>
        </is>
      </c>
      <c r="AO1" s="1" t="inlineStr">
        <is>
          <t>Risk Status</t>
        </is>
      </c>
    </row>
    <row r="2">
      <c r="A2" t="n">
        <v>1</v>
      </c>
      <c r="B2">
        <f>Direction</f>
        <v/>
      </c>
      <c r="C2">
        <f>StartLot</f>
        <v/>
      </c>
      <c r="D2">
        <f>StartLot</f>
        <v/>
      </c>
      <c r="E2">
        <f>IF(Direction="DOWN","Start BUY","Start SELL")</f>
        <v/>
      </c>
      <c r="F2">
        <f>BigPercent</f>
        <v/>
      </c>
      <c r="G2">
        <f>C2*BigPercent/100</f>
        <v/>
      </c>
      <c r="H2">
        <f>IF(UseRounding="TRUE",ROUNDDOWN(G2/LotStep,0)*LotStep,G2)</f>
        <v/>
      </c>
      <c r="I2">
        <f>SmallPercent</f>
        <v/>
      </c>
      <c r="J2">
        <f>C2*SmallPercent/100</f>
        <v/>
      </c>
      <c r="K2">
        <f>IF(UseRounding="TRUE",ROUNDUP(J2/LotStep,0)*LotStep,J2)</f>
        <v/>
      </c>
      <c r="L2">
        <f>CloseFarPercent</f>
        <v/>
      </c>
      <c r="M2">
        <f>C2*CloseFarPercent/100</f>
        <v/>
      </c>
      <c r="N2">
        <f>IF(AA2&lt;=0,0,ROUNDDOWN(AA2/AB2/LotStep,0)*LotStep)</f>
        <v/>
      </c>
      <c r="O2">
        <f>IF(CloseMode="THEORETICAL",MIN(M2,D2),MIN(M2,N2,D2))</f>
        <v/>
      </c>
      <c r="P2">
        <f>CloseMode</f>
        <v/>
      </c>
      <c r="Q2">
        <f>C2-G2+J2</f>
        <v/>
      </c>
      <c r="R2">
        <f>D2-O2</f>
        <v/>
      </c>
      <c r="S2">
        <f>MIN(Q2,R2)</f>
        <v/>
      </c>
      <c r="T2">
        <f>SUM($H$2:H2)</f>
        <v/>
      </c>
      <c r="U2">
        <f>SUM($K$2:K2)</f>
        <v/>
      </c>
      <c r="V2">
        <f>SUM($O$2:O2)</f>
        <v/>
      </c>
      <c r="W2">
        <f>IF(OR(H2&lt;LotStep,K2&lt;LotStep,O2&lt;LotStep,S2&lt;LotStep,AF2&gt;100,AJ2&lt;StopOutPercent,R2&lt;=0),"STOP","OK")</f>
        <v/>
      </c>
      <c r="X2">
        <f>IF(Direction="DOWN","Уровень "&amp;A2&amp;". Цена вниз. Big BUY "&amp;TEXT(H2,"0.00000")&amp;"; Small SELL "&amp;TEXT(K2,"0.00000")&amp;"; Close BUY "&amp;TEXT(O2,"0.00000"),"Уровень "&amp;A2&amp;". Цена вверх. Big SELL "&amp;TEXT(H2,"0.00000")&amp;"; Small BUY "&amp;TEXT(K2,"0.00000")&amp;"; Close SELL "&amp;TEXT(O2,"0.00000"))</f>
        <v/>
      </c>
      <c r="Y2">
        <f>(H2+K2)*PointValuePerLot</f>
        <v/>
      </c>
      <c r="Z2">
        <f>MAX(Y2*ProfitReservePercent/100,MinReserveMoney)</f>
        <v/>
      </c>
      <c r="AA2">
        <f>Y2-Z2</f>
        <v/>
      </c>
      <c r="AB2">
        <f>MaxAdversePoints*PointValuePerLot</f>
        <v/>
      </c>
      <c r="AC2">
        <f>IF(AND(CloseMode="SAFE_PROFIT_BUDGET",O2=0),"NO CLOSE","OK")</f>
        <v/>
      </c>
      <c r="AD2">
        <f>ContractSize*InstrumentPrice/Leverage</f>
        <v/>
      </c>
      <c r="AE2">
        <f>(T2+U2)*AD2</f>
        <v/>
      </c>
      <c r="AF2">
        <f>AE2/Balance*100</f>
        <v/>
      </c>
      <c r="AG2">
        <f>ABS(T2-U2)*MaxAdversePoints*PointValuePerLot</f>
        <v/>
      </c>
      <c r="AH2">
        <f>Balance-AG2</f>
        <v/>
      </c>
      <c r="AI2">
        <f>AH2-AE2</f>
        <v/>
      </c>
      <c r="AJ2">
        <f>IF(AE2=0,9999,AH2/AE2*100)</f>
        <v/>
      </c>
      <c r="AK2">
        <f>IF(OR(AF2&gt;70,AJ2&lt;100),"CRITICAL",IF(OR(AF2&gt;50,AJ2&lt;150),"DANGER",IF(OR(AF2&gt;=30,AJ2&lt;=300),"WARNING","OK")))</f>
        <v/>
      </c>
    </row>
    <row r="3">
      <c r="A3" t="n">
        <v>2</v>
      </c>
      <c r="B3">
        <f>Direction</f>
        <v/>
      </c>
      <c r="C3">
        <f>S2</f>
        <v/>
      </c>
      <c r="D3">
        <f>R2</f>
        <v/>
      </c>
      <c r="E3">
        <f>IF(Direction="DOWN","Start BUY","Start SELL")</f>
        <v/>
      </c>
      <c r="F3">
        <f>BigPercent</f>
        <v/>
      </c>
      <c r="G3">
        <f>C3*BigPercent/100</f>
        <v/>
      </c>
      <c r="H3">
        <f>IF(UseRounding="TRUE",ROUNDDOWN(G3/LotStep,0)*LotStep,G3)</f>
        <v/>
      </c>
      <c r="I3">
        <f>SmallPercent</f>
        <v/>
      </c>
      <c r="J3">
        <f>C3*SmallPercent/100</f>
        <v/>
      </c>
      <c r="K3">
        <f>IF(UseRounding="TRUE",ROUNDUP(J3/LotStep,0)*LotStep,J3)</f>
        <v/>
      </c>
      <c r="L3">
        <f>CloseFarPercent</f>
        <v/>
      </c>
      <c r="M3">
        <f>C3*CloseFarPercent/100</f>
        <v/>
      </c>
      <c r="N3">
        <f>IF(AA3&lt;=0,0,ROUNDDOWN(AA3/AB3/LotStep,0)*LotStep)</f>
        <v/>
      </c>
      <c r="O3">
        <f>IF(CloseMode="THEORETICAL",MIN(M3,D3),MIN(M3,N3,D3))</f>
        <v/>
      </c>
      <c r="P3">
        <f>CloseMode</f>
        <v/>
      </c>
      <c r="Q3">
        <f>C3-G3+J3</f>
        <v/>
      </c>
      <c r="R3">
        <f>D3-O3</f>
        <v/>
      </c>
      <c r="S3">
        <f>MIN(Q3,R3)</f>
        <v/>
      </c>
      <c r="T3">
        <f>SUM($H$2:H3)</f>
        <v/>
      </c>
      <c r="U3">
        <f>SUM($K$2:K3)</f>
        <v/>
      </c>
      <c r="V3">
        <f>SUM($O$2:O3)</f>
        <v/>
      </c>
      <c r="W3">
        <f>IF(OR(H3&lt;LotStep,K3&lt;LotStep,O3&lt;LotStep,S3&lt;LotStep,AF3&gt;100,AJ3&lt;StopOutPercent,R3&lt;=0),"STOP","OK")</f>
        <v/>
      </c>
      <c r="X3">
        <f>IF(Direction="DOWN","Уровень "&amp;A3&amp;". Цена вниз. Big BUY "&amp;TEXT(H3,"0.00000")&amp;"; Small SELL "&amp;TEXT(K3,"0.00000")&amp;"; Close BUY "&amp;TEXT(O3,"0.00000"),"Уровень "&amp;A3&amp;". Цена вверх. Big SELL "&amp;TEXT(H3,"0.00000")&amp;"; Small BUY "&amp;TEXT(K3,"0.00000")&amp;"; Close SELL "&amp;TEXT(O3,"0.00000"))</f>
        <v/>
      </c>
      <c r="Y3">
        <f>(H3+K3)*PointValuePerLot</f>
        <v/>
      </c>
      <c r="Z3">
        <f>MAX(Y3*ProfitReservePercent/100,MinReserveMoney)</f>
        <v/>
      </c>
      <c r="AA3">
        <f>Y3-Z3</f>
        <v/>
      </c>
      <c r="AB3">
        <f>MaxAdversePoints*PointValuePerLot</f>
        <v/>
      </c>
      <c r="AC3">
        <f>IF(AND(CloseMode="SAFE_PROFIT_BUDGET",O3=0),"NO CLOSE","OK")</f>
        <v/>
      </c>
      <c r="AD3">
        <f>ContractSize*InstrumentPrice/Leverage</f>
        <v/>
      </c>
      <c r="AE3">
        <f>(T3+U3)*AD3</f>
        <v/>
      </c>
      <c r="AF3">
        <f>AE3/Balance*100</f>
        <v/>
      </c>
      <c r="AG3">
        <f>ABS(T3-U3)*MaxAdversePoints*PointValuePerLot</f>
        <v/>
      </c>
      <c r="AH3">
        <f>Balance-AG3</f>
        <v/>
      </c>
      <c r="AI3">
        <f>AH3-AE3</f>
        <v/>
      </c>
      <c r="AJ3">
        <f>IF(AE3=0,9999,AH3/AE3*100)</f>
        <v/>
      </c>
      <c r="AK3">
        <f>IF(OR(AF3&gt;70,AJ3&lt;100),"CRITICAL",IF(OR(AF3&gt;50,AJ3&lt;150),"DANGER",IF(OR(AF3&gt;=30,AJ3&lt;=300),"WARNING","OK")))</f>
        <v/>
      </c>
    </row>
    <row r="4">
      <c r="A4" t="n">
        <v>3</v>
      </c>
      <c r="B4">
        <f>Direction</f>
        <v/>
      </c>
      <c r="C4">
        <f>S3</f>
        <v/>
      </c>
      <c r="D4">
        <f>R3</f>
        <v/>
      </c>
      <c r="E4">
        <f>IF(Direction="DOWN","Start BUY","Start SELL")</f>
        <v/>
      </c>
      <c r="F4">
        <f>BigPercent</f>
        <v/>
      </c>
      <c r="G4">
        <f>C4*BigPercent/100</f>
        <v/>
      </c>
      <c r="H4">
        <f>IF(UseRounding="TRUE",ROUNDDOWN(G4/LotStep,0)*LotStep,G4)</f>
        <v/>
      </c>
      <c r="I4">
        <f>SmallPercent</f>
        <v/>
      </c>
      <c r="J4">
        <f>C4*SmallPercent/100</f>
        <v/>
      </c>
      <c r="K4">
        <f>IF(UseRounding="TRUE",ROUNDUP(J4/LotStep,0)*LotStep,J4)</f>
        <v/>
      </c>
      <c r="L4">
        <f>CloseFarPercent</f>
        <v/>
      </c>
      <c r="M4">
        <f>C4*CloseFarPercent/100</f>
        <v/>
      </c>
      <c r="N4">
        <f>IF(AA4&lt;=0,0,ROUNDDOWN(AA4/AB4/LotStep,0)*LotStep)</f>
        <v/>
      </c>
      <c r="O4">
        <f>IF(CloseMode="THEORETICAL",MIN(M4,D4),MIN(M4,N4,D4))</f>
        <v/>
      </c>
      <c r="P4">
        <f>CloseMode</f>
        <v/>
      </c>
      <c r="Q4">
        <f>C4-G4+J4</f>
        <v/>
      </c>
      <c r="R4">
        <f>D4-O4</f>
        <v/>
      </c>
      <c r="S4">
        <f>MIN(Q4,R4)</f>
        <v/>
      </c>
      <c r="T4">
        <f>SUM($H$2:H4)</f>
        <v/>
      </c>
      <c r="U4">
        <f>SUM($K$2:K4)</f>
        <v/>
      </c>
      <c r="V4">
        <f>SUM($O$2:O4)</f>
        <v/>
      </c>
      <c r="W4">
        <f>IF(OR(H4&lt;LotStep,K4&lt;LotStep,O4&lt;LotStep,S4&lt;LotStep,AF4&gt;100,AJ4&lt;StopOutPercent,R4&lt;=0),"STOP","OK")</f>
        <v/>
      </c>
      <c r="X4">
        <f>IF(Direction="DOWN","Уровень "&amp;A4&amp;". Цена вниз. Big BUY "&amp;TEXT(H4,"0.00000")&amp;"; Small SELL "&amp;TEXT(K4,"0.00000")&amp;"; Close BUY "&amp;TEXT(O4,"0.00000"),"Уровень "&amp;A4&amp;". Цена вверх. Big SELL "&amp;TEXT(H4,"0.00000")&amp;"; Small BUY "&amp;TEXT(K4,"0.00000")&amp;"; Close SELL "&amp;TEXT(O4,"0.00000"))</f>
        <v/>
      </c>
      <c r="Y4">
        <f>(H4+K4)*PointValuePerLot</f>
        <v/>
      </c>
      <c r="Z4">
        <f>MAX(Y4*ProfitReservePercent/100,MinReserveMoney)</f>
        <v/>
      </c>
      <c r="AA4">
        <f>Y4-Z4</f>
        <v/>
      </c>
      <c r="AB4">
        <f>MaxAdversePoints*PointValuePerLot</f>
        <v/>
      </c>
      <c r="AC4">
        <f>IF(AND(CloseMode="SAFE_PROFIT_BUDGET",O4=0),"NO CLOSE","OK")</f>
        <v/>
      </c>
      <c r="AD4">
        <f>ContractSize*InstrumentPrice/Leverage</f>
        <v/>
      </c>
      <c r="AE4">
        <f>(T4+U4)*AD4</f>
        <v/>
      </c>
      <c r="AF4">
        <f>AE4/Balance*100</f>
        <v/>
      </c>
      <c r="AG4">
        <f>ABS(T4-U4)*MaxAdversePoints*PointValuePerLot</f>
        <v/>
      </c>
      <c r="AH4">
        <f>Balance-AG4</f>
        <v/>
      </c>
      <c r="AI4">
        <f>AH4-AE4</f>
        <v/>
      </c>
      <c r="AJ4">
        <f>IF(AE4=0,9999,AH4/AE4*100)</f>
        <v/>
      </c>
      <c r="AK4">
        <f>IF(OR(AF4&gt;70,AJ4&lt;100),"CRITICAL",IF(OR(AF4&gt;50,AJ4&lt;150),"DANGER",IF(OR(AF4&gt;=30,AJ4&lt;=300),"WARNING","OK")))</f>
        <v/>
      </c>
    </row>
    <row r="5">
      <c r="A5" t="n">
        <v>4</v>
      </c>
      <c r="B5">
        <f>Direction</f>
        <v/>
      </c>
      <c r="C5">
        <f>S4</f>
        <v/>
      </c>
      <c r="D5">
        <f>R4</f>
        <v/>
      </c>
      <c r="E5">
        <f>IF(Direction="DOWN","Start BUY","Start SELL")</f>
        <v/>
      </c>
      <c r="F5">
        <f>BigPercent</f>
        <v/>
      </c>
      <c r="G5">
        <f>C5*BigPercent/100</f>
        <v/>
      </c>
      <c r="H5">
        <f>IF(UseRounding="TRUE",ROUNDDOWN(G5/LotStep,0)*LotStep,G5)</f>
        <v/>
      </c>
      <c r="I5">
        <f>SmallPercent</f>
        <v/>
      </c>
      <c r="J5">
        <f>C5*SmallPercent/100</f>
        <v/>
      </c>
      <c r="K5">
        <f>IF(UseRounding="TRUE",ROUNDUP(J5/LotStep,0)*LotStep,J5)</f>
        <v/>
      </c>
      <c r="L5">
        <f>CloseFarPercent</f>
        <v/>
      </c>
      <c r="M5">
        <f>C5*CloseFarPercent/100</f>
        <v/>
      </c>
      <c r="N5">
        <f>IF(AA5&lt;=0,0,ROUNDDOWN(AA5/AB5/LotStep,0)*LotStep)</f>
        <v/>
      </c>
      <c r="O5">
        <f>IF(CloseMode="THEORETICAL",MIN(M5,D5),MIN(M5,N5,D5))</f>
        <v/>
      </c>
      <c r="P5">
        <f>CloseMode</f>
        <v/>
      </c>
      <c r="Q5">
        <f>C5-G5+J5</f>
        <v/>
      </c>
      <c r="R5">
        <f>D5-O5</f>
        <v/>
      </c>
      <c r="S5">
        <f>MIN(Q5,R5)</f>
        <v/>
      </c>
      <c r="T5">
        <f>SUM($H$2:H5)</f>
        <v/>
      </c>
      <c r="U5">
        <f>SUM($K$2:K5)</f>
        <v/>
      </c>
      <c r="V5">
        <f>SUM($O$2:O5)</f>
        <v/>
      </c>
      <c r="W5">
        <f>IF(OR(H5&lt;LotStep,K5&lt;LotStep,O5&lt;LotStep,S5&lt;LotStep,AF5&gt;100,AJ5&lt;StopOutPercent,R5&lt;=0),"STOP","OK")</f>
        <v/>
      </c>
      <c r="X5">
        <f>IF(Direction="DOWN","Уровень "&amp;A5&amp;". Цена вниз. Big BUY "&amp;TEXT(H5,"0.00000")&amp;"; Small SELL "&amp;TEXT(K5,"0.00000")&amp;"; Close BUY "&amp;TEXT(O5,"0.00000"),"Уровень "&amp;A5&amp;". Цена вверх. Big SELL "&amp;TEXT(H5,"0.00000")&amp;"; Small BUY "&amp;TEXT(K5,"0.00000")&amp;"; Close SELL "&amp;TEXT(O5,"0.00000"))</f>
        <v/>
      </c>
      <c r="Y5">
        <f>(H5+K5)*PointValuePerLot</f>
        <v/>
      </c>
      <c r="Z5">
        <f>MAX(Y5*ProfitReservePercent/100,MinReserveMoney)</f>
        <v/>
      </c>
      <c r="AA5">
        <f>Y5-Z5</f>
        <v/>
      </c>
      <c r="AB5">
        <f>MaxAdversePoints*PointValuePerLot</f>
        <v/>
      </c>
      <c r="AC5">
        <f>IF(AND(CloseMode="SAFE_PROFIT_BUDGET",O5=0),"NO CLOSE","OK")</f>
        <v/>
      </c>
      <c r="AD5">
        <f>ContractSize*InstrumentPrice/Leverage</f>
        <v/>
      </c>
      <c r="AE5">
        <f>(T5+U5)*AD5</f>
        <v/>
      </c>
      <c r="AF5">
        <f>AE5/Balance*100</f>
        <v/>
      </c>
      <c r="AG5">
        <f>ABS(T5-U5)*MaxAdversePoints*PointValuePerLot</f>
        <v/>
      </c>
      <c r="AH5">
        <f>Balance-AG5</f>
        <v/>
      </c>
      <c r="AI5">
        <f>AH5-AE5</f>
        <v/>
      </c>
      <c r="AJ5">
        <f>IF(AE5=0,9999,AH5/AE5*100)</f>
        <v/>
      </c>
      <c r="AK5">
        <f>IF(OR(AF5&gt;70,AJ5&lt;100),"CRITICAL",IF(OR(AF5&gt;50,AJ5&lt;150),"DANGER",IF(OR(AF5&gt;=30,AJ5&lt;=300),"WARNING","OK")))</f>
        <v/>
      </c>
    </row>
    <row r="6">
      <c r="A6" t="n">
        <v>5</v>
      </c>
      <c r="B6">
        <f>Direction</f>
        <v/>
      </c>
      <c r="C6">
        <f>S5</f>
        <v/>
      </c>
      <c r="D6">
        <f>R5</f>
        <v/>
      </c>
      <c r="E6">
        <f>IF(Direction="DOWN","Start BUY","Start SELL")</f>
        <v/>
      </c>
      <c r="F6">
        <f>BigPercent</f>
        <v/>
      </c>
      <c r="G6">
        <f>C6*BigPercent/100</f>
        <v/>
      </c>
      <c r="H6">
        <f>IF(UseRounding="TRUE",ROUNDDOWN(G6/LotStep,0)*LotStep,G6)</f>
        <v/>
      </c>
      <c r="I6">
        <f>SmallPercent</f>
        <v/>
      </c>
      <c r="J6">
        <f>C6*SmallPercent/100</f>
        <v/>
      </c>
      <c r="K6">
        <f>IF(UseRounding="TRUE",ROUNDUP(J6/LotStep,0)*LotStep,J6)</f>
        <v/>
      </c>
      <c r="L6">
        <f>CloseFarPercent</f>
        <v/>
      </c>
      <c r="M6">
        <f>C6*CloseFarPercent/100</f>
        <v/>
      </c>
      <c r="N6">
        <f>IF(AA6&lt;=0,0,ROUNDDOWN(AA6/AB6/LotStep,0)*LotStep)</f>
        <v/>
      </c>
      <c r="O6">
        <f>IF(CloseMode="THEORETICAL",MIN(M6,D6),MIN(M6,N6,D6))</f>
        <v/>
      </c>
      <c r="P6">
        <f>CloseMode</f>
        <v/>
      </c>
      <c r="Q6">
        <f>C6-G6+J6</f>
        <v/>
      </c>
      <c r="R6">
        <f>D6-O6</f>
        <v/>
      </c>
      <c r="S6">
        <f>MIN(Q6,R6)</f>
        <v/>
      </c>
      <c r="T6">
        <f>SUM($H$2:H6)</f>
        <v/>
      </c>
      <c r="U6">
        <f>SUM($K$2:K6)</f>
        <v/>
      </c>
      <c r="V6">
        <f>SUM($O$2:O6)</f>
        <v/>
      </c>
      <c r="W6">
        <f>IF(OR(H6&lt;LotStep,K6&lt;LotStep,O6&lt;LotStep,S6&lt;LotStep,AF6&gt;100,AJ6&lt;StopOutPercent,R6&lt;=0),"STOP","OK")</f>
        <v/>
      </c>
      <c r="X6">
        <f>IF(Direction="DOWN","Уровень "&amp;A6&amp;". Цена вниз. Big BUY "&amp;TEXT(H6,"0.00000")&amp;"; Small SELL "&amp;TEXT(K6,"0.00000")&amp;"; Close BUY "&amp;TEXT(O6,"0.00000"),"Уровень "&amp;A6&amp;". Цена вверх. Big SELL "&amp;TEXT(H6,"0.00000")&amp;"; Small BUY "&amp;TEXT(K6,"0.00000")&amp;"; Close SELL "&amp;TEXT(O6,"0.00000"))</f>
        <v/>
      </c>
      <c r="Y6">
        <f>(H6+K6)*PointValuePerLot</f>
        <v/>
      </c>
      <c r="Z6">
        <f>MAX(Y6*ProfitReservePercent/100,MinReserveMoney)</f>
        <v/>
      </c>
      <c r="AA6">
        <f>Y6-Z6</f>
        <v/>
      </c>
      <c r="AB6">
        <f>MaxAdversePoints*PointValuePerLot</f>
        <v/>
      </c>
      <c r="AC6">
        <f>IF(AND(CloseMode="SAFE_PROFIT_BUDGET",O6=0),"NO CLOSE","OK")</f>
        <v/>
      </c>
      <c r="AD6">
        <f>ContractSize*InstrumentPrice/Leverage</f>
        <v/>
      </c>
      <c r="AE6">
        <f>(T6+U6)*AD6</f>
        <v/>
      </c>
      <c r="AF6">
        <f>AE6/Balance*100</f>
        <v/>
      </c>
      <c r="AG6">
        <f>ABS(T6-U6)*MaxAdversePoints*PointValuePerLot</f>
        <v/>
      </c>
      <c r="AH6">
        <f>Balance-AG6</f>
        <v/>
      </c>
      <c r="AI6">
        <f>AH6-AE6</f>
        <v/>
      </c>
      <c r="AJ6">
        <f>IF(AE6=0,9999,AH6/AE6*100)</f>
        <v/>
      </c>
      <c r="AK6">
        <f>IF(OR(AF6&gt;70,AJ6&lt;100),"CRITICAL",IF(OR(AF6&gt;50,AJ6&lt;150),"DANGER",IF(OR(AF6&gt;=30,AJ6&lt;=300),"WARNING","OK")))</f>
        <v/>
      </c>
    </row>
    <row r="7"/>
    <row r="8"/>
    <row r="9"/>
    <row r="10">
      <c r="A10" s="1" t="inlineStr">
        <is>
          <t>ИТОГИ САМОСЖИМАЮЩЕЙСЯ МОДЕЛИ</t>
        </is>
      </c>
    </row>
    <row r="11">
      <c r="A11" t="inlineStr">
        <is>
          <t>Финальная сумма Big</t>
        </is>
      </c>
      <c r="B11">
        <f>SUM(H2:H6)</f>
        <v/>
      </c>
    </row>
    <row r="12">
      <c r="A12" t="inlineStr">
        <is>
          <t>Финальная сумма Small</t>
        </is>
      </c>
      <c r="B12">
        <f>SUM(K2:K6)</f>
        <v/>
      </c>
    </row>
    <row r="13">
      <c r="A13" t="inlineStr">
        <is>
          <t>Финальная сумма Close Far</t>
        </is>
      </c>
      <c r="B13">
        <f>SUM(O2:O6)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K2:AK6">
    <cfRule type="expression" priority="1" dxfId="0">
      <formula>AK2="OK"</formula>
    </cfRule>
    <cfRule type="expression" priority="2" dxfId="1">
      <formula>AK2="WARNING"</formula>
    </cfRule>
    <cfRule type="expression" priority="3" dxfId="2">
      <formula>AK2="DANGER"</formula>
    </cfRule>
    <cfRule type="expression" priority="4" dxfId="3">
      <formula>AK2="CRITICAL"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Уровень</t>
        </is>
      </c>
      <c r="B1" s="1" t="inlineStr">
        <is>
          <t>Total Big Lots</t>
        </is>
      </c>
      <c r="C1" s="1" t="inlineStr">
        <is>
          <t>Total Small Lots</t>
        </is>
      </c>
      <c r="D1" s="1" t="inlineStr">
        <is>
          <t>Total Open Lots</t>
        </is>
      </c>
      <c r="E1" s="1" t="inlineStr">
        <is>
          <t>Net Lot</t>
        </is>
      </c>
      <c r="F1" s="1" t="inlineStr">
        <is>
          <t>Margin Per Lot</t>
        </is>
      </c>
      <c r="G1" s="1" t="inlineStr">
        <is>
          <t>Required Margin</t>
        </is>
      </c>
      <c r="H1" s="1" t="inlineStr">
        <is>
          <t>Margin Load %</t>
        </is>
      </c>
      <c r="I1" s="1" t="inlineStr">
        <is>
          <t>Floating DD</t>
        </is>
      </c>
      <c r="J1" s="1" t="inlineStr">
        <is>
          <t>Equity After DD</t>
        </is>
      </c>
      <c r="K1" s="1" t="inlineStr">
        <is>
          <t>Free Margin</t>
        </is>
      </c>
      <c r="L1" s="1" t="inlineStr">
        <is>
          <t>Margin Level %</t>
        </is>
      </c>
      <c r="M1" s="1" t="inlineStr">
        <is>
          <t>Risk Status</t>
        </is>
      </c>
    </row>
    <row r="2">
      <c r="A2">
        <f>'Калькулятор'!A2</f>
        <v/>
      </c>
      <c r="B2">
        <f>'Калькулятор'!T2</f>
        <v/>
      </c>
      <c r="C2">
        <f>'Калькулятор'!U2</f>
        <v/>
      </c>
      <c r="D2">
        <f>'Калькулятор'!AE2</f>
        <v/>
      </c>
      <c r="E2">
        <f>'Калькулятор'!AF2</f>
        <v/>
      </c>
      <c r="F2">
        <f>'Калькулятор'!AD2</f>
        <v/>
      </c>
      <c r="G2">
        <f>'Калькулятор'!AE2</f>
        <v/>
      </c>
      <c r="H2">
        <f>'Калькулятор'!AF2</f>
        <v/>
      </c>
      <c r="I2">
        <f>'Калькулятор'!AG2</f>
        <v/>
      </c>
      <c r="J2">
        <f>'Калькулятор'!AH2</f>
        <v/>
      </c>
      <c r="K2">
        <f>'Калькулятор'!AI2</f>
        <v/>
      </c>
      <c r="L2">
        <f>'Калькулятор'!AJ2</f>
        <v/>
      </c>
      <c r="M2">
        <f>'Калькулятор'!AK2</f>
        <v/>
      </c>
    </row>
    <row r="3">
      <c r="A3">
        <f>'Калькулятор'!A3</f>
        <v/>
      </c>
      <c r="B3">
        <f>'Калькулятор'!T3</f>
        <v/>
      </c>
      <c r="C3">
        <f>'Калькулятор'!U3</f>
        <v/>
      </c>
      <c r="D3">
        <f>'Калькулятор'!AE3</f>
        <v/>
      </c>
      <c r="E3">
        <f>'Калькулятор'!AF3</f>
        <v/>
      </c>
      <c r="F3">
        <f>'Калькулятор'!AD3</f>
        <v/>
      </c>
      <c r="G3">
        <f>'Калькулятор'!AE3</f>
        <v/>
      </c>
      <c r="H3">
        <f>'Калькулятор'!AF3</f>
        <v/>
      </c>
      <c r="I3">
        <f>'Калькулятор'!AG3</f>
        <v/>
      </c>
      <c r="J3">
        <f>'Калькулятор'!AH3</f>
        <v/>
      </c>
      <c r="K3">
        <f>'Калькулятор'!AI3</f>
        <v/>
      </c>
      <c r="L3">
        <f>'Калькулятор'!AJ3</f>
        <v/>
      </c>
      <c r="M3">
        <f>'Калькулятор'!AK3</f>
        <v/>
      </c>
    </row>
    <row r="4">
      <c r="A4">
        <f>'Калькулятор'!A4</f>
        <v/>
      </c>
      <c r="B4">
        <f>'Калькулятор'!T4</f>
        <v/>
      </c>
      <c r="C4">
        <f>'Калькулятор'!U4</f>
        <v/>
      </c>
      <c r="D4">
        <f>'Калькулятор'!AE4</f>
        <v/>
      </c>
      <c r="E4">
        <f>'Калькулятор'!AF4</f>
        <v/>
      </c>
      <c r="F4">
        <f>'Калькулятор'!AD4</f>
        <v/>
      </c>
      <c r="G4">
        <f>'Калькулятор'!AE4</f>
        <v/>
      </c>
      <c r="H4">
        <f>'Калькулятор'!AF4</f>
        <v/>
      </c>
      <c r="I4">
        <f>'Калькулятор'!AG4</f>
        <v/>
      </c>
      <c r="J4">
        <f>'Калькулятор'!AH4</f>
        <v/>
      </c>
      <c r="K4">
        <f>'Калькулятор'!AI4</f>
        <v/>
      </c>
      <c r="L4">
        <f>'Калькулятор'!AJ4</f>
        <v/>
      </c>
      <c r="M4">
        <f>'Калькулятор'!AK4</f>
        <v/>
      </c>
    </row>
    <row r="5">
      <c r="A5">
        <f>'Калькулятор'!A5</f>
        <v/>
      </c>
      <c r="B5">
        <f>'Калькулятор'!T5</f>
        <v/>
      </c>
      <c r="C5">
        <f>'Калькулятор'!U5</f>
        <v/>
      </c>
      <c r="D5">
        <f>'Калькулятор'!AE5</f>
        <v/>
      </c>
      <c r="E5">
        <f>'Калькулятор'!AF5</f>
        <v/>
      </c>
      <c r="F5">
        <f>'Калькулятор'!AD5</f>
        <v/>
      </c>
      <c r="G5">
        <f>'Калькулятор'!AE5</f>
        <v/>
      </c>
      <c r="H5">
        <f>'Калькулятор'!AF5</f>
        <v/>
      </c>
      <c r="I5">
        <f>'Калькулятор'!AG5</f>
        <v/>
      </c>
      <c r="J5">
        <f>'Калькулятор'!AH5</f>
        <v/>
      </c>
      <c r="K5">
        <f>'Калькулятор'!AI5</f>
        <v/>
      </c>
      <c r="L5">
        <f>'Калькулятор'!AJ5</f>
        <v/>
      </c>
      <c r="M5">
        <f>'Калькулятор'!AK5</f>
        <v/>
      </c>
    </row>
    <row r="6">
      <c r="A6">
        <f>'Калькулятор'!A6</f>
        <v/>
      </c>
      <c r="B6">
        <f>'Калькулятор'!T6</f>
        <v/>
      </c>
      <c r="C6">
        <f>'Калькулятор'!U6</f>
        <v/>
      </c>
      <c r="D6">
        <f>'Калькулятор'!AE6</f>
        <v/>
      </c>
      <c r="E6">
        <f>'Калькулятор'!AF6</f>
        <v/>
      </c>
      <c r="F6">
        <f>'Калькулятор'!AD6</f>
        <v/>
      </c>
      <c r="G6">
        <f>'Калькулятор'!AE6</f>
        <v/>
      </c>
      <c r="H6">
        <f>'Калькулятор'!AF6</f>
        <v/>
      </c>
      <c r="I6">
        <f>'Калькулятор'!AG6</f>
        <v/>
      </c>
      <c r="J6">
        <f>'Калькулятор'!AH6</f>
        <v/>
      </c>
      <c r="K6">
        <f>'Калькулятор'!AI6</f>
        <v/>
      </c>
      <c r="L6">
        <f>'Калькулятор'!AJ6</f>
        <v/>
      </c>
      <c r="M6">
        <f>'Калькулятор'!AK6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M2:M6">
    <cfRule type="expression" priority="1" dxfId="0">
      <formula>M2="OK"</formula>
    </cfRule>
    <cfRule type="expression" priority="2" dxfId="1">
      <formula>M2="WARNING"</formula>
    </cfRule>
    <cfRule type="expression" priority="3" dxfId="2">
      <formula>M2="DANGER"</formula>
    </cfRule>
    <cfRule type="expression" priority="4" dxfId="3">
      <formula>M2="CRITICAL"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Проверка</t>
        </is>
      </c>
      <c r="B1" s="1" t="inlineStr">
        <is>
          <t>Статус</t>
        </is>
      </c>
    </row>
    <row r="2">
      <c r="A2" t="inlineStr">
        <is>
          <t>Big Raw</t>
        </is>
      </c>
      <c r="B2">
        <f>IF(ABS(Калькулятор!G2-(Калькулятор!C2*BigPercent/100))&lt;1E-8,"PASS","FAIL")</f>
        <v/>
      </c>
    </row>
    <row r="3">
      <c r="A3" t="inlineStr">
        <is>
          <t>Small Raw</t>
        </is>
      </c>
      <c r="B3">
        <f>IF(ABS(Калькулятор!J2-(Калькулятор!C2*SmallPercent/100))&lt;1E-8,"PASS","FAIL")</f>
        <v/>
      </c>
    </row>
    <row r="4">
      <c r="A4" t="inlineStr">
        <is>
          <t>Actual Close</t>
        </is>
      </c>
      <c r="B4">
        <f>IF(OR(CloseMode&lt;&gt;"THEORETICAL",ABS(Калькулятор!O2-(Калькулятор!C2*CloseFarPercent/100))&lt;1E-8),"PASS","FAIL")</f>
        <v/>
      </c>
    </row>
    <row r="5">
      <c r="A5" t="inlineStr">
        <is>
          <t>NewNear 50%</t>
        </is>
      </c>
      <c r="B5">
        <f>IF(ABS(Калькулятор!Q2-(Калькулятор!C2*0.5))&lt;1E-8,"PASS","FAIL")</f>
        <v/>
      </c>
    </row>
    <row r="6">
      <c r="A6" t="inlineStr">
        <is>
          <t>Risk not empty</t>
        </is>
      </c>
      <c r="B6">
        <f>IF(COUNTA(РИСК_АНАЛИЗ!A2:A6)=5,"PASS","FAIL")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См. MANUAL_RU.md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SELF-COMPRESSING LOCK RECOVERY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2026-05-26T05:09:34Z</dcterms:created>
  <dcterms:modified xsi:type="dcterms:W3CDTF">2026-05-26T05:09:34Z</dcterms:modified>
</cp:coreProperties>
</file>