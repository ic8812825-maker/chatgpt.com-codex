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ПАРАМЕТРЫ</t>
        </is>
      </c>
    </row>
    <row r="2">
      <c r="A2" t="inlineStr">
        <is>
          <t>StartLot</t>
        </is>
      </c>
      <c r="B2" t="n">
        <v>1</v>
      </c>
    </row>
    <row r="3">
      <c r="A3" t="inlineStr">
        <is>
          <t>Direction</t>
        </is>
      </c>
      <c r="B3" t="inlineStr">
        <is>
          <t>DOWN</t>
        </is>
      </c>
    </row>
    <row r="4">
      <c r="A4" t="inlineStr">
        <is>
          <t>MaxLevels</t>
        </is>
      </c>
      <c r="B4" t="n">
        <v>5</v>
      </c>
    </row>
    <row r="5">
      <c r="A5" t="inlineStr">
        <is>
          <t>LotStep</t>
        </is>
      </c>
      <c r="B5" t="n">
        <v>0.01</v>
      </c>
    </row>
    <row r="6">
      <c r="A6" t="inlineStr">
        <is>
          <t>UseRounding</t>
        </is>
      </c>
      <c r="B6" t="b">
        <v>1</v>
      </c>
    </row>
    <row r="7">
      <c r="A7" t="inlineStr">
        <is>
          <t>BigPercent</t>
        </is>
      </c>
      <c r="B7" t="n">
        <v>90</v>
      </c>
    </row>
    <row r="8">
      <c r="A8" t="inlineStr">
        <is>
          <t>SmallPercent</t>
        </is>
      </c>
      <c r="B8" t="n">
        <v>40</v>
      </c>
    </row>
    <row r="9">
      <c r="A9" t="inlineStr">
        <is>
          <t>CloseFarPercent</t>
        </is>
      </c>
      <c r="B9" t="n">
        <v>30</v>
      </c>
    </row>
    <row r="10">
      <c r="A10" t="inlineStr">
        <is>
          <t>UseProfitReserveClose</t>
        </is>
      </c>
      <c r="B10" t="b">
        <v>1</v>
      </c>
    </row>
    <row r="11">
      <c r="A11" t="inlineStr">
        <is>
          <t>ProfitToClosePercent</t>
        </is>
      </c>
      <c r="B11" t="n">
        <v>70</v>
      </c>
    </row>
    <row r="12">
      <c r="A12" t="inlineStr">
        <is>
          <t>ProfitReservePercent</t>
        </is>
      </c>
      <c r="B12" t="n">
        <v>30</v>
      </c>
    </row>
    <row r="13">
      <c r="A13" t="inlineStr">
        <is>
          <t>MinReserveMoney</t>
        </is>
      </c>
      <c r="B13" t="n">
        <v>5</v>
      </c>
    </row>
    <row r="14">
      <c r="A14" t="inlineStr">
        <is>
          <t>PointValuePerLot</t>
        </is>
      </c>
      <c r="B14" t="n">
        <v>10</v>
      </c>
    </row>
    <row r="15">
      <c r="A15" t="inlineStr">
        <is>
          <t>Balance</t>
        </is>
      </c>
      <c r="B15" t="n">
        <v>10000</v>
      </c>
    </row>
    <row r="16">
      <c r="A16" t="inlineStr">
        <is>
          <t>Leverage</t>
        </is>
      </c>
      <c r="B16" t="n">
        <v>100</v>
      </c>
    </row>
    <row r="17">
      <c r="A17" t="inlineStr">
        <is>
          <t>ContractSize</t>
        </is>
      </c>
      <c r="B17" t="n">
        <v>100000</v>
      </c>
    </row>
    <row r="18">
      <c r="A18" t="inlineStr">
        <is>
          <t>InstrumentPrice</t>
        </is>
      </c>
      <c r="B18" t="n">
        <v>1.1</v>
      </c>
    </row>
    <row r="19">
      <c r="A19" t="inlineStr">
        <is>
          <t>MaxAdversePoints</t>
        </is>
      </c>
      <c r="B19" t="n">
        <v>500</v>
      </c>
    </row>
    <row r="20">
      <c r="A20" t="inlineStr">
        <is>
          <t>StopOutPercent</t>
        </is>
      </c>
      <c r="B20" t="n">
        <v>50</v>
      </c>
    </row>
    <row r="21">
      <c r="A21" t="inlineStr">
        <is>
          <t>MarginCallPercent</t>
        </is>
      </c>
      <c r="B21" t="n">
        <v>100</v>
      </c>
    </row>
    <row r="24">
      <c r="A24" s="1" t="inlineStr">
        <is>
          <t>САМОСЖИМАЮЩАЯСЯ КОМПРЕССИЯ ЗАМКА</t>
        </is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</row>
    <row r="26">
      <c r="A26" t="inlineStr">
        <is>
          <t>Уровень</t>
        </is>
      </c>
      <c r="B26" t="inlineStr">
        <is>
          <t>Направление</t>
        </is>
      </c>
      <c r="C26" t="inlineStr">
        <is>
          <t>Ближний старт</t>
        </is>
      </c>
      <c r="D26" t="inlineStr">
        <is>
          <t>Дальний старт остаток</t>
        </is>
      </c>
      <c r="E26" t="inlineStr">
        <is>
          <t>Старт поз. самая дальняя</t>
        </is>
      </c>
      <c r="F26" t="inlineStr">
        <is>
          <t>Big %</t>
        </is>
      </c>
      <c r="G26" t="inlineStr">
        <is>
          <t>Big Lot Raw</t>
        </is>
      </c>
      <c r="H26" t="inlineStr">
        <is>
          <t>Big Lot Rounded</t>
        </is>
      </c>
      <c r="I26" t="inlineStr">
        <is>
          <t>Small %</t>
        </is>
      </c>
      <c r="J26" t="inlineStr">
        <is>
          <t>Small Lot Raw</t>
        </is>
      </c>
      <c r="K26" t="inlineStr">
        <is>
          <t>Small Lot Rounded</t>
        </is>
      </c>
      <c r="L26" t="inlineStr">
        <is>
          <t>Close Far %</t>
        </is>
      </c>
      <c r="M26" t="inlineStr">
        <is>
          <t>Max Close Far Lot</t>
        </is>
      </c>
      <c r="N26" t="inlineStr">
        <is>
          <t>Actual Close Far Lot</t>
        </is>
      </c>
      <c r="O26" t="inlineStr">
        <is>
          <t>Новый ближний старт</t>
        </is>
      </c>
      <c r="P26" t="inlineStr">
        <is>
          <t>Новый дальний остаток</t>
        </is>
      </c>
      <c r="Q26" t="inlineStr">
        <is>
          <t>Next Base Lot</t>
        </is>
      </c>
      <c r="R26" t="inlineStr">
        <is>
          <t>Сумма Big</t>
        </is>
      </c>
      <c r="S26" t="inlineStr">
        <is>
          <t>Сумма Small</t>
        </is>
      </c>
      <c r="T26" t="inlineStr">
        <is>
          <t>Сумма Close</t>
        </is>
      </c>
      <c r="U26" t="inlineStr">
        <is>
          <t>Статус</t>
        </is>
      </c>
      <c r="V26" t="inlineStr">
        <is>
          <t>Комментарий</t>
        </is>
      </c>
      <c r="W26" t="inlineStr">
        <is>
          <t>Прибыль пакета до Close</t>
        </is>
      </c>
      <c r="X26" t="inlineStr">
        <is>
          <t>Резерв %</t>
        </is>
      </c>
      <c r="Y26" t="inlineStr">
        <is>
          <t>Резерв деньги</t>
        </is>
      </c>
      <c r="Z26" t="inlineStr">
        <is>
          <t>Бюджет на Close</t>
        </is>
      </c>
      <c r="AA26" t="inlineStr">
        <is>
          <t>Убыток Far Start на 1 лот</t>
        </is>
      </c>
      <c r="AB26" t="inlineStr">
        <is>
          <t>Close по бюджету</t>
        </is>
      </c>
      <c r="AC26" t="inlineStr">
        <is>
          <t>Остаток резерва после Close</t>
        </is>
      </c>
      <c r="AD26" t="inlineStr">
        <is>
          <t>Close Status</t>
        </is>
      </c>
      <c r="AE26" t="inlineStr">
        <is>
          <t>Total Big Lots</t>
        </is>
      </c>
      <c r="AF26" t="inlineStr">
        <is>
          <t>Total Small Lots</t>
        </is>
      </c>
      <c r="AG26" t="inlineStr">
        <is>
          <t>Total Open Lots</t>
        </is>
      </c>
      <c r="AH26" t="inlineStr">
        <is>
          <t>Net Lot</t>
        </is>
      </c>
      <c r="AI26" t="inlineStr">
        <is>
          <t>Margin Per Lot</t>
        </is>
      </c>
      <c r="AJ26" t="inlineStr">
        <is>
          <t>Required Margin</t>
        </is>
      </c>
      <c r="AK26" t="inlineStr">
        <is>
          <t>Margin Load %</t>
        </is>
      </c>
      <c r="AL26" t="inlineStr">
        <is>
          <t>Floating DD</t>
        </is>
      </c>
      <c r="AM26" t="inlineStr">
        <is>
          <t>Equity After DD</t>
        </is>
      </c>
      <c r="AN26" t="inlineStr">
        <is>
          <t>Free Margin</t>
        </is>
      </c>
      <c r="AO26" t="inlineStr">
        <is>
          <t>Margin Level %</t>
        </is>
      </c>
      <c r="AP26" t="inlineStr">
        <is>
          <t>Risk Status</t>
        </is>
      </c>
    </row>
    <row r="27">
      <c r="A27" t="n">
        <v>1</v>
      </c>
      <c r="B27" t="inlineStr">
        <is>
          <t>DOWN</t>
        </is>
      </c>
      <c r="C27" t="n">
        <v>1</v>
      </c>
      <c r="D27" t="n">
        <v>1</v>
      </c>
      <c r="E27" t="inlineStr">
        <is>
          <t>Start BUY</t>
        </is>
      </c>
      <c r="F27" t="n">
        <v>90</v>
      </c>
      <c r="G27" t="n">
        <v>0.9</v>
      </c>
      <c r="H27" t="n">
        <v>0.9</v>
      </c>
      <c r="I27" t="n">
        <v>40</v>
      </c>
      <c r="J27" t="n">
        <v>0.4</v>
      </c>
      <c r="K27" t="n">
        <v>0.4</v>
      </c>
      <c r="L27" t="n">
        <v>30</v>
      </c>
      <c r="M27" t="n">
        <v>0.3</v>
      </c>
      <c r="N27" t="n">
        <v>0</v>
      </c>
      <c r="O27" t="n">
        <v>0.5</v>
      </c>
      <c r="P27" t="n">
        <v>1</v>
      </c>
      <c r="Q27" t="n">
        <v>0.5</v>
      </c>
      <c r="R27" t="n">
        <v>0.9</v>
      </c>
      <c r="S27" t="n">
        <v>0.4</v>
      </c>
      <c r="T27" t="n">
        <v>0</v>
      </c>
      <c r="U27" t="inlineStr">
        <is>
          <t>OK</t>
        </is>
      </c>
      <c r="V27" t="inlineStr">
        <is>
          <t>Уровень 1. Цена идёт вниз. Ближний старт=1.00000. Открыть Big BUY 0.90000. Открыть Small SELL 0.40000. Частично закрыть дальний Start BUY 0.00000. Новый ближний старт=0.50000. Остаток дальнего Start BUY=1.00000. Статус=OK.</t>
        </is>
      </c>
      <c r="W27" t="n">
        <v>13</v>
      </c>
      <c r="X27" t="n">
        <v>30</v>
      </c>
      <c r="Y27" t="n">
        <v>5</v>
      </c>
      <c r="Z27" t="n">
        <v>8</v>
      </c>
      <c r="AA27" t="n">
        <v>5000</v>
      </c>
      <c r="AB27" t="n">
        <v>0</v>
      </c>
      <c r="AC27" t="n">
        <v>13</v>
      </c>
      <c r="AD27" t="inlineStr">
        <is>
          <t>NO CLOSE</t>
        </is>
      </c>
      <c r="AE27" t="n">
        <v>0.9</v>
      </c>
      <c r="AF27" t="n">
        <v>0.4</v>
      </c>
      <c r="AG27" t="n">
        <v>1.3</v>
      </c>
      <c r="AH27" t="n">
        <v>0.5</v>
      </c>
      <c r="AI27" t="n">
        <v>1100</v>
      </c>
      <c r="AJ27" t="n">
        <v>1430</v>
      </c>
      <c r="AK27" t="n">
        <v>14.3</v>
      </c>
      <c r="AL27" t="n">
        <v>2500</v>
      </c>
      <c r="AM27" t="n">
        <v>7500</v>
      </c>
      <c r="AN27" t="n">
        <v>6070</v>
      </c>
      <c r="AO27" t="n">
        <v>524.4755244755244</v>
      </c>
      <c r="AP27" t="inlineStr">
        <is>
          <t>OK</t>
        </is>
      </c>
    </row>
    <row r="28">
      <c r="A28" t="n">
        <v>2</v>
      </c>
      <c r="B28" t="inlineStr">
        <is>
          <t>DOWN</t>
        </is>
      </c>
      <c r="C28" t="n">
        <v>0.5</v>
      </c>
      <c r="D28" t="n">
        <v>1</v>
      </c>
      <c r="E28" t="inlineStr">
        <is>
          <t>Start BUY</t>
        </is>
      </c>
      <c r="F28" t="n">
        <v>90</v>
      </c>
      <c r="G28" t="n">
        <v>0.45</v>
      </c>
      <c r="H28" t="n">
        <v>0.45</v>
      </c>
      <c r="I28" t="n">
        <v>40</v>
      </c>
      <c r="J28" t="n">
        <v>0.2</v>
      </c>
      <c r="K28" t="n">
        <v>0.2</v>
      </c>
      <c r="L28" t="n">
        <v>30</v>
      </c>
      <c r="M28" t="n">
        <v>0.15</v>
      </c>
      <c r="N28" t="n">
        <v>0</v>
      </c>
      <c r="O28" t="n">
        <v>0.25</v>
      </c>
      <c r="P28" t="n">
        <v>1</v>
      </c>
      <c r="Q28" t="n">
        <v>0.25</v>
      </c>
      <c r="R28" t="n">
        <v>1.35</v>
      </c>
      <c r="S28" t="n">
        <v>0.6000000000000001</v>
      </c>
      <c r="T28" t="n">
        <v>0</v>
      </c>
      <c r="U28" t="inlineStr">
        <is>
          <t>OK</t>
        </is>
      </c>
      <c r="V28" t="inlineStr">
        <is>
          <t>Уровень 2. Цена идёт вниз. Ближний старт=0.50000. Открыть Big BUY 0.45000. Открыть Small SELL 0.20000. Частично закрыть дальний Start BUY 0.00000. Новый ближний старт=0.25000. Остаток дальнего Start BUY=1.00000. Статус=OK.</t>
        </is>
      </c>
      <c r="W28" t="n">
        <v>6.5</v>
      </c>
      <c r="X28" t="n">
        <v>30</v>
      </c>
      <c r="Y28" t="n">
        <v>5</v>
      </c>
      <c r="Z28" t="n">
        <v>1.5</v>
      </c>
      <c r="AA28" t="n">
        <v>5000</v>
      </c>
      <c r="AB28" t="n">
        <v>0</v>
      </c>
      <c r="AC28" t="n">
        <v>6.5</v>
      </c>
      <c r="AD28" t="inlineStr">
        <is>
          <t>NO CLOSE</t>
        </is>
      </c>
      <c r="AE28" t="n">
        <v>1.35</v>
      </c>
      <c r="AF28" t="n">
        <v>0.6000000000000001</v>
      </c>
      <c r="AG28" t="n">
        <v>1.95</v>
      </c>
      <c r="AH28" t="n">
        <v>0.75</v>
      </c>
      <c r="AI28" t="n">
        <v>1100</v>
      </c>
      <c r="AJ28" t="n">
        <v>2145</v>
      </c>
      <c r="AK28" t="n">
        <v>21.45000000000001</v>
      </c>
      <c r="AL28" t="n">
        <v>3750</v>
      </c>
      <c r="AM28" t="n">
        <v>6250</v>
      </c>
      <c r="AN28" t="n">
        <v>4105</v>
      </c>
      <c r="AO28" t="n">
        <v>291.3752913752913</v>
      </c>
      <c r="AP28" t="inlineStr">
        <is>
          <t>WARNING</t>
        </is>
      </c>
    </row>
    <row r="29">
      <c r="A29" t="n">
        <v>3</v>
      </c>
      <c r="B29" t="inlineStr">
        <is>
          <t>DOWN</t>
        </is>
      </c>
      <c r="C29" t="n">
        <v>0.25</v>
      </c>
      <c r="D29" t="n">
        <v>1</v>
      </c>
      <c r="E29" t="inlineStr">
        <is>
          <t>Start BUY</t>
        </is>
      </c>
      <c r="F29" t="n">
        <v>90</v>
      </c>
      <c r="G29" t="n">
        <v>0.225</v>
      </c>
      <c r="H29" t="n">
        <v>0.22</v>
      </c>
      <c r="I29" t="n">
        <v>40</v>
      </c>
      <c r="J29" t="n">
        <v>0.1</v>
      </c>
      <c r="K29" t="n">
        <v>0.1</v>
      </c>
      <c r="L29" t="n">
        <v>30</v>
      </c>
      <c r="M29" t="n">
        <v>0.075</v>
      </c>
      <c r="N29" t="n">
        <v>0</v>
      </c>
      <c r="O29" t="n">
        <v>0.13</v>
      </c>
      <c r="P29" t="n">
        <v>1</v>
      </c>
      <c r="Q29" t="n">
        <v>0.13</v>
      </c>
      <c r="R29" t="n">
        <v>1.57</v>
      </c>
      <c r="S29" t="n">
        <v>0.7000000000000001</v>
      </c>
      <c r="T29" t="n">
        <v>0</v>
      </c>
      <c r="U29" t="inlineStr">
        <is>
          <t>OK</t>
        </is>
      </c>
      <c r="V29" t="inlineStr">
        <is>
          <t>Уровень 3. Цена идёт вниз. Ближний старт=0.25000. Открыть Big BUY 0.22000. Открыть Small SELL 0.10000. Частично закрыть дальний Start BUY 0.00000. Новый ближний старт=0.13000. Остаток дальнего Start BUY=1.00000. Статус=OK.</t>
        </is>
      </c>
      <c r="W29" t="n">
        <v>3.2</v>
      </c>
      <c r="X29" t="n">
        <v>30</v>
      </c>
      <c r="Y29" t="n">
        <v>5</v>
      </c>
      <c r="Z29" t="n">
        <v>-1.8</v>
      </c>
      <c r="AA29" t="n">
        <v>5000</v>
      </c>
      <c r="AB29" t="n">
        <v>0</v>
      </c>
      <c r="AC29" t="n">
        <v>3.2</v>
      </c>
      <c r="AD29" t="inlineStr">
        <is>
          <t>NO CLOSE</t>
        </is>
      </c>
      <c r="AE29" t="n">
        <v>1.57</v>
      </c>
      <c r="AF29" t="n">
        <v>0.7000000000000001</v>
      </c>
      <c r="AG29" t="n">
        <v>2.27</v>
      </c>
      <c r="AH29" t="n">
        <v>0.87</v>
      </c>
      <c r="AI29" t="n">
        <v>1100</v>
      </c>
      <c r="AJ29" t="n">
        <v>2497</v>
      </c>
      <c r="AK29" t="n">
        <v>24.97</v>
      </c>
      <c r="AL29" t="n">
        <v>4350</v>
      </c>
      <c r="AM29" t="n">
        <v>5650</v>
      </c>
      <c r="AN29" t="n">
        <v>3153</v>
      </c>
      <c r="AO29" t="n">
        <v>226.2715258309972</v>
      </c>
      <c r="AP29" t="inlineStr">
        <is>
          <t>WARNING</t>
        </is>
      </c>
    </row>
    <row r="30">
      <c r="A30" t="n">
        <v>4</v>
      </c>
      <c r="B30" t="inlineStr">
        <is>
          <t>DOWN</t>
        </is>
      </c>
      <c r="C30" t="n">
        <v>0.13</v>
      </c>
      <c r="D30" t="n">
        <v>1</v>
      </c>
      <c r="E30" t="inlineStr">
        <is>
          <t>Start BUY</t>
        </is>
      </c>
      <c r="F30" t="n">
        <v>90</v>
      </c>
      <c r="G30" t="n">
        <v>0.117</v>
      </c>
      <c r="H30" t="n">
        <v>0.11</v>
      </c>
      <c r="I30" t="n">
        <v>40</v>
      </c>
      <c r="J30" t="n">
        <v>0.052</v>
      </c>
      <c r="K30" t="n">
        <v>0.06</v>
      </c>
      <c r="L30" t="n">
        <v>30</v>
      </c>
      <c r="M30" t="n">
        <v>0.03900000000000001</v>
      </c>
      <c r="N30" t="n">
        <v>0</v>
      </c>
      <c r="O30" t="n">
        <v>0.08</v>
      </c>
      <c r="P30" t="n">
        <v>1</v>
      </c>
      <c r="Q30" t="n">
        <v>0.08</v>
      </c>
      <c r="R30" t="n">
        <v>1.68</v>
      </c>
      <c r="S30" t="n">
        <v>0.76</v>
      </c>
      <c r="T30" t="n">
        <v>0</v>
      </c>
      <c r="U30" t="inlineStr">
        <is>
          <t>OK</t>
        </is>
      </c>
      <c r="V30" t="inlineStr">
        <is>
          <t>Уровень 4. Цена идёт вниз. Ближний старт=0.13000. Открыть Big BUY 0.11000. Открыть Small SELL 0.06000. Частично закрыть дальний Start BUY 0.00000. Новый ближний старт=0.08000. Остаток дальнего Start BUY=1.00000. Статус=OK.</t>
        </is>
      </c>
      <c r="W30" t="n">
        <v>1.7</v>
      </c>
      <c r="X30" t="n">
        <v>30</v>
      </c>
      <c r="Y30" t="n">
        <v>5</v>
      </c>
      <c r="Z30" t="n">
        <v>-3.3</v>
      </c>
      <c r="AA30" t="n">
        <v>5000</v>
      </c>
      <c r="AB30" t="n">
        <v>0</v>
      </c>
      <c r="AC30" t="n">
        <v>1.7</v>
      </c>
      <c r="AD30" t="inlineStr">
        <is>
          <t>NO CLOSE</t>
        </is>
      </c>
      <c r="AE30" t="n">
        <v>1.68</v>
      </c>
      <c r="AF30" t="n">
        <v>0.76</v>
      </c>
      <c r="AG30" t="n">
        <v>2.44</v>
      </c>
      <c r="AH30" t="n">
        <v>0.9200000000000002</v>
      </c>
      <c r="AI30" t="n">
        <v>1100</v>
      </c>
      <c r="AJ30" t="n">
        <v>2684.000000000001</v>
      </c>
      <c r="AK30" t="n">
        <v>26.84000000000001</v>
      </c>
      <c r="AL30" t="n">
        <v>4600.000000000001</v>
      </c>
      <c r="AM30" t="n">
        <v>5399.999999999999</v>
      </c>
      <c r="AN30" t="n">
        <v>2715.999999999998</v>
      </c>
      <c r="AO30" t="n">
        <v>201.1922503725781</v>
      </c>
      <c r="AP30" t="inlineStr">
        <is>
          <t>WARNING</t>
        </is>
      </c>
    </row>
    <row r="31">
      <c r="A31" t="n">
        <v>5</v>
      </c>
      <c r="B31" t="inlineStr">
        <is>
          <t>DOWN</t>
        </is>
      </c>
      <c r="C31" t="n">
        <v>0.08</v>
      </c>
      <c r="D31" t="n">
        <v>1</v>
      </c>
      <c r="E31" t="inlineStr">
        <is>
          <t>Start BUY</t>
        </is>
      </c>
      <c r="F31" t="n">
        <v>90</v>
      </c>
      <c r="G31" t="n">
        <v>0.07200000000000001</v>
      </c>
      <c r="H31" t="n">
        <v>0.07000000000000001</v>
      </c>
      <c r="I31" t="n">
        <v>40</v>
      </c>
      <c r="J31" t="n">
        <v>0.032</v>
      </c>
      <c r="K31" t="n">
        <v>0.04</v>
      </c>
      <c r="L31" t="n">
        <v>30</v>
      </c>
      <c r="M31" t="n">
        <v>0.024</v>
      </c>
      <c r="N31" t="n">
        <v>0</v>
      </c>
      <c r="O31" t="n">
        <v>0.05</v>
      </c>
      <c r="P31" t="n">
        <v>1</v>
      </c>
      <c r="Q31" t="n">
        <v>0.05</v>
      </c>
      <c r="R31" t="n">
        <v>1.75</v>
      </c>
      <c r="S31" t="n">
        <v>0.8</v>
      </c>
      <c r="T31" t="n">
        <v>0</v>
      </c>
      <c r="U31" t="inlineStr">
        <is>
          <t>OK</t>
        </is>
      </c>
      <c r="V31" t="inlineStr">
        <is>
          <t>Уровень 5. Цена идёт вниз. Ближний старт=0.08000. Открыть Big BUY 0.07000. Открыть Small SELL 0.04000. Частично закрыть дальний Start BUY 0.00000. Новый ближний старт=0.05000. Остаток дальнего Start BUY=1.00000. Статус=OK.</t>
        </is>
      </c>
      <c r="W31" t="n">
        <v>1.1</v>
      </c>
      <c r="X31" t="n">
        <v>30</v>
      </c>
      <c r="Y31" t="n">
        <v>5</v>
      </c>
      <c r="Z31" t="n">
        <v>-3.9</v>
      </c>
      <c r="AA31" t="n">
        <v>5000</v>
      </c>
      <c r="AB31" t="n">
        <v>0</v>
      </c>
      <c r="AC31" t="n">
        <v>1.1</v>
      </c>
      <c r="AD31" t="inlineStr">
        <is>
          <t>NO CLOSE</t>
        </is>
      </c>
      <c r="AE31" t="n">
        <v>1.75</v>
      </c>
      <c r="AF31" t="n">
        <v>0.8</v>
      </c>
      <c r="AG31" t="n">
        <v>2.55</v>
      </c>
      <c r="AH31" t="n">
        <v>0.9500000000000002</v>
      </c>
      <c r="AI31" t="n">
        <v>1100</v>
      </c>
      <c r="AJ31" t="n">
        <v>2805.000000000001</v>
      </c>
      <c r="AK31" t="n">
        <v>28.05000000000001</v>
      </c>
      <c r="AL31" t="n">
        <v>4750.000000000001</v>
      </c>
      <c r="AM31" t="n">
        <v>5249.999999999999</v>
      </c>
      <c r="AN31" t="n">
        <v>2444.999999999998</v>
      </c>
      <c r="AO31" t="n">
        <v>187.1657754010694</v>
      </c>
      <c r="AP31" t="inlineStr">
        <is>
          <t>WARNING</t>
        </is>
      </c>
    </row>
    <row r="33">
      <c r="A33" s="1" t="inlineStr">
        <is>
          <t>ИТОГИ САМОСЖИМАЮЩЕЙСЯ МОДЕЛИ</t>
        </is>
      </c>
    </row>
    <row r="34">
      <c r="A34" t="inlineStr">
        <is>
          <t>StartLot</t>
        </is>
      </c>
      <c r="B34" t="n">
        <v>1</v>
      </c>
    </row>
    <row r="35">
      <c r="A35" t="inlineStr">
        <is>
          <t>Direction</t>
        </is>
      </c>
      <c r="B35" t="inlineStr">
        <is>
          <t>DOWN</t>
        </is>
      </c>
    </row>
    <row r="36">
      <c r="A36" t="inlineStr">
        <is>
          <t>Финальная сумма Big</t>
        </is>
      </c>
      <c r="B36" t="n">
        <v>1.75</v>
      </c>
    </row>
    <row r="37">
      <c r="A37" t="inlineStr">
        <is>
          <t>Финальная сумма Small</t>
        </is>
      </c>
      <c r="B37" t="n">
        <v>0.8</v>
      </c>
    </row>
    <row r="38">
      <c r="A38" t="inlineStr">
        <is>
          <t>Финальная сумма Close Far</t>
        </is>
      </c>
      <c r="B38" t="n">
        <v>0</v>
      </c>
    </row>
    <row r="39">
      <c r="A39" t="inlineStr">
        <is>
          <t>Финальный ближний старт</t>
        </is>
      </c>
      <c r="B39" t="n">
        <v>0.05</v>
      </c>
    </row>
    <row r="40">
      <c r="A40" t="inlineStr">
        <is>
          <t>Финальный дальний остаток</t>
        </is>
      </c>
      <c r="B40" t="n">
        <v>1</v>
      </c>
    </row>
    <row r="41">
      <c r="A41" t="inlineStr">
        <is>
          <t>Финальный NextBaseLot</t>
        </is>
      </c>
      <c r="B41" t="n">
        <v>0.05</v>
      </c>
    </row>
    <row r="42">
      <c r="A42" t="inlineStr">
        <is>
          <t>Количество уровней OK</t>
        </is>
      </c>
      <c r="B42">
        <f>COUNTIF(A26:A31,"&gt;0")-COUNTIF(U26:U31,"STOP")</f>
        <v/>
      </c>
    </row>
    <row r="43">
      <c r="A43" t="inlineStr">
        <is>
          <t>Количество STOP</t>
        </is>
      </c>
      <c r="B43">
        <f>COUNTIF(U26:U31,"STOP")</f>
        <v/>
      </c>
    </row>
    <row r="44">
      <c r="A44" t="inlineStr">
        <is>
          <t>Финальный статус системы</t>
        </is>
      </c>
      <c r="B44">
        <f>IF(COUNTIF(U26:U31,"STOP")&gt;0,"STOP","OK")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Проверка</t>
        </is>
      </c>
      <c r="B1" t="inlineStr">
        <is>
          <t>Статус</t>
        </is>
      </c>
    </row>
    <row r="2">
      <c r="A2" t="inlineStr">
        <is>
          <t>Big = NearStart × 90%</t>
        </is>
      </c>
      <c r="B2" t="inlineStr">
        <is>
          <t>PASS</t>
        </is>
      </c>
    </row>
    <row r="3">
      <c r="A3" t="inlineStr">
        <is>
          <t>Small = NearStart × 40%</t>
        </is>
      </c>
      <c r="B3" t="inlineStr">
        <is>
          <t>PASS</t>
        </is>
      </c>
    </row>
    <row r="4">
      <c r="A4" t="inlineStr">
        <is>
          <t>Close = NearStart × 30%</t>
        </is>
      </c>
      <c r="B4" t="inlineStr">
        <is>
          <t>PASS</t>
        </is>
      </c>
    </row>
    <row r="5">
      <c r="A5" t="inlineStr">
        <is>
          <t>NextNearStart = NearStart × 50%</t>
        </is>
      </c>
      <c r="B5" t="inlineStr">
        <is>
          <t>PASS</t>
        </is>
      </c>
    </row>
    <row r="6">
      <c r="A6" t="inlineStr">
        <is>
          <t>NextBaseLot = MIN(NewNearStart, NewFarRemaining)</t>
        </is>
      </c>
      <c r="B6" t="inlineStr">
        <is>
          <t>PASS</t>
        </is>
      </c>
    </row>
    <row r="7">
      <c r="A7" t="inlineStr">
        <is>
          <t>Big &gt; Small</t>
        </is>
      </c>
      <c r="B7" t="inlineStr">
        <is>
          <t>PASS</t>
        </is>
      </c>
    </row>
    <row r="8">
      <c r="A8" t="inlineStr">
        <is>
          <t>Close &lt;= FarRemaining</t>
        </is>
      </c>
      <c r="B8" t="inlineStr">
        <is>
          <t>PASS</t>
        </is>
      </c>
    </row>
    <row r="9">
      <c r="A9" t="inlineStr">
        <is>
          <t>No negative lot</t>
        </is>
      </c>
      <c r="B9" t="inlineStr">
        <is>
          <t>PASS</t>
        </is>
      </c>
    </row>
    <row r="10">
      <c r="A10" t="inlineStr">
        <is>
          <t>No #NAME?</t>
        </is>
      </c>
      <c r="B10" t="inlineStr">
        <is>
          <t>PASS</t>
        </is>
      </c>
    </row>
    <row r="11">
      <c r="A11" t="inlineStr">
        <is>
          <t>No #VALUE?</t>
        </is>
      </c>
      <c r="B11" t="inlineStr">
        <is>
          <t>PASS</t>
        </is>
      </c>
    </row>
    <row r="12">
      <c r="A12" t="inlineStr">
        <is>
          <t>No #REF?</t>
        </is>
      </c>
      <c r="B12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SELF-COMPRESSING LOCK RECOVERY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2026-05-26T04:19:56Z</dcterms:created>
  <dcterms:modified xsi:type="dcterms:W3CDTF">2026-05-26T04:19:56Z</dcterms:modified>
</cp:coreProperties>
</file>