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Калькулятор" sheetId="2" state="visible" r:id="rId2"/>
    <sheet name="РИСК_АНАЛИЗ" sheetId="3" state="visible" r:id="rId3"/>
    <sheet name="Тесты" sheetId="4" state="visible" r:id="rId4"/>
    <sheet name="Руководство" sheetId="5" state="visible" r:id="rId5"/>
    <sheet name="Описание" sheetId="6" state="visible" r:id="rId6"/>
  </sheets>
  <definedNames>
    <definedName name="StartLot">'ПАРАМЕТРЫ'!$B$2</definedName>
    <definedName name="Direction">'ПАРАМЕТРЫ'!$B$3</definedName>
    <definedName name="MaxLevels">'ПАРАМЕТРЫ'!$B$4</definedName>
    <definedName name="LotStep">'ПАРАМЕТРЫ'!$B$5</definedName>
    <definedName name="UseRounding">'ПАРАМЕТРЫ'!$B$6</definedName>
    <definedName name="BigPercent">'ПАРАМЕТРЫ'!$B$7</definedName>
    <definedName name="SmallPercent">'ПАРАМЕТРЫ'!$B$8</definedName>
    <definedName name="CloseFarPercent">'ПАРАМЕТРЫ'!$B$9</definedName>
    <definedName name="CloseMode">'ПАРАМЕТРЫ'!$B$10</definedName>
    <definedName name="ProfitReservePercent">'ПАРАМЕТРЫ'!$B$11</definedName>
    <definedName name="MinReserveMoney">'ПАРАМЕТРЫ'!$B$12</definedName>
    <definedName name="PointValuePerLot">'ПАРАМЕТРЫ'!$B$13</definedName>
    <definedName name="Balance">'ПАРАМЕТРЫ'!$B$14</definedName>
    <definedName name="Leverage">'ПАРАМЕТРЫ'!$B$15</definedName>
    <definedName name="ContractSize">'ПАРАМЕТРЫ'!$B$16</definedName>
    <definedName name="InstrumentPrice">'ПАРАМЕТРЫ'!$B$17</definedName>
    <definedName name="MaxAdversePoints">'ПАРАМЕТРЫ'!$B$18</definedName>
    <definedName name="StopOutPercent">'ПАРАМЕТРЫ'!$B$19</definedName>
    <definedName name="MarginCallPercent">'ПАРАМЕТРЫ'!$B$20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StartLot</t>
        </is>
      </c>
      <c r="B2" s="2" t="n">
        <v>1</v>
      </c>
    </row>
    <row r="3">
      <c r="A3" t="inlineStr">
        <is>
          <t>Direction</t>
        </is>
      </c>
      <c r="B3" s="2" t="inlineStr">
        <is>
          <t>DOWN</t>
        </is>
      </c>
    </row>
    <row r="4">
      <c r="A4" t="inlineStr">
        <is>
          <t>MaxLevels</t>
        </is>
      </c>
      <c r="B4" s="2" t="n">
        <v>5</v>
      </c>
    </row>
    <row r="5">
      <c r="A5" t="inlineStr">
        <is>
          <t>LotStep</t>
        </is>
      </c>
      <c r="B5" s="2" t="n">
        <v>0.01</v>
      </c>
    </row>
    <row r="6">
      <c r="A6" t="inlineStr">
        <is>
          <t>UseRounding</t>
        </is>
      </c>
      <c r="B6" s="2" t="inlineStr">
        <is>
          <t>TRUE</t>
        </is>
      </c>
    </row>
    <row r="7">
      <c r="A7" t="inlineStr">
        <is>
          <t>BigPercent</t>
        </is>
      </c>
      <c r="B7" s="2" t="n">
        <v>90</v>
      </c>
    </row>
    <row r="8">
      <c r="A8" t="inlineStr">
        <is>
          <t>SmallPercent</t>
        </is>
      </c>
      <c r="B8" s="2" t="n">
        <v>40</v>
      </c>
    </row>
    <row r="9">
      <c r="A9" t="inlineStr">
        <is>
          <t>CloseFarPercent</t>
        </is>
      </c>
      <c r="B9" s="2" t="n">
        <v>30</v>
      </c>
    </row>
    <row r="10">
      <c r="A10" t="inlineStr">
        <is>
          <t>CloseMode</t>
        </is>
      </c>
      <c r="B10" s="2" t="inlineStr">
        <is>
          <t>THEORETICAL</t>
        </is>
      </c>
    </row>
    <row r="11">
      <c r="A11" t="inlineStr">
        <is>
          <t>ProfitReservePercent</t>
        </is>
      </c>
      <c r="B11" s="2" t="n">
        <v>30</v>
      </c>
    </row>
    <row r="12">
      <c r="A12" t="inlineStr">
        <is>
          <t>MinReserveMoney</t>
        </is>
      </c>
      <c r="B12" s="2" t="n">
        <v>5</v>
      </c>
    </row>
    <row r="13">
      <c r="A13" t="inlineStr">
        <is>
          <t>PointValuePerLot</t>
        </is>
      </c>
      <c r="B13" s="2" t="n">
        <v>10</v>
      </c>
    </row>
    <row r="14">
      <c r="A14" t="inlineStr">
        <is>
          <t>Balance</t>
        </is>
      </c>
      <c r="B14" s="2" t="n">
        <v>10000</v>
      </c>
    </row>
    <row r="15">
      <c r="A15" t="inlineStr">
        <is>
          <t>Leverage</t>
        </is>
      </c>
      <c r="B15" s="2" t="n">
        <v>100</v>
      </c>
    </row>
    <row r="16">
      <c r="A16" t="inlineStr">
        <is>
          <t>ContractSize</t>
        </is>
      </c>
      <c r="B16" s="2" t="n">
        <v>100000</v>
      </c>
    </row>
    <row r="17">
      <c r="A17" t="inlineStr">
        <is>
          <t>InstrumentPrice</t>
        </is>
      </c>
      <c r="B17" s="2" t="n">
        <v>1.1</v>
      </c>
    </row>
    <row r="18">
      <c r="A18" t="inlineStr">
        <is>
          <t>MaxAdversePoints</t>
        </is>
      </c>
      <c r="B18" s="2" t="n">
        <v>500</v>
      </c>
    </row>
    <row r="19">
      <c r="A19" t="inlineStr">
        <is>
          <t>StopOutPercent</t>
        </is>
      </c>
      <c r="B19" s="2" t="n">
        <v>50</v>
      </c>
    </row>
    <row r="20">
      <c r="A20" t="inlineStr">
        <is>
          <t>MarginCallPercent</t>
        </is>
      </c>
      <c r="B20" s="2" t="n">
        <v>100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3" showDropDown="0" showInputMessage="0" showErrorMessage="0" allowBlank="0" type="list">
      <formula1>"DOWN,UP"</formula1>
    </dataValidation>
    <dataValidation sqref="B10" showDropDown="0" showInputMessage="0" showErrorMessage="0" allowBlank="0" type="list">
      <formula1>"THEORETICAL,SAFE_PROFIT_BUDGET"</formula1>
    </dataValidation>
    <dataValidation sqref="B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Уровень</t>
        </is>
      </c>
      <c r="B1" s="1" t="inlineStr">
        <is>
          <t>Направление</t>
        </is>
      </c>
      <c r="C1" s="1" t="inlineStr">
        <is>
          <t>Ближний старт</t>
        </is>
      </c>
      <c r="D1" s="1" t="inlineStr">
        <is>
          <t>Дальний старт остаток</t>
        </is>
      </c>
      <c r="E1" s="1" t="inlineStr">
        <is>
          <t>Старт поз. самая дальняя</t>
        </is>
      </c>
      <c r="F1" s="1" t="inlineStr">
        <is>
          <t>Big %</t>
        </is>
      </c>
      <c r="G1" s="1" t="inlineStr">
        <is>
          <t>Big Lot Raw</t>
        </is>
      </c>
      <c r="H1" s="1" t="inlineStr">
        <is>
          <t>Big Lot Rounded</t>
        </is>
      </c>
      <c r="I1" s="1" t="inlineStr">
        <is>
          <t>Small %</t>
        </is>
      </c>
      <c r="J1" s="1" t="inlineStr">
        <is>
          <t>Small Lot Raw</t>
        </is>
      </c>
      <c r="K1" s="1" t="inlineStr">
        <is>
          <t>Small Lot Rounded</t>
        </is>
      </c>
      <c r="L1" s="1" t="inlineStr">
        <is>
          <t>Close Far %</t>
        </is>
      </c>
      <c r="M1" s="1" t="inlineStr">
        <is>
          <t>Max Close Far Lot</t>
        </is>
      </c>
      <c r="N1" s="1" t="inlineStr">
        <is>
          <t>Close By Profit Budget</t>
        </is>
      </c>
      <c r="O1" s="1" t="inlineStr">
        <is>
          <t>Actual Close Far Lot</t>
        </is>
      </c>
      <c r="P1" s="1" t="inlineStr">
        <is>
          <t>Close Mode</t>
        </is>
      </c>
      <c r="Q1" s="1" t="inlineStr">
        <is>
          <t>Новый ближний старт</t>
        </is>
      </c>
      <c r="R1" s="1" t="inlineStr">
        <is>
          <t>Новый дальний остаток</t>
        </is>
      </c>
      <c r="S1" s="1" t="inlineStr">
        <is>
          <t>Next Base Lot</t>
        </is>
      </c>
      <c r="T1" s="1" t="inlineStr">
        <is>
          <t>Сумма Big</t>
        </is>
      </c>
      <c r="U1" s="1" t="inlineStr">
        <is>
          <t>Сумма Small</t>
        </is>
      </c>
      <c r="V1" s="1" t="inlineStr">
        <is>
          <t>Сумма Close</t>
        </is>
      </c>
      <c r="W1" s="1" t="inlineStr">
        <is>
          <t>Статус</t>
        </is>
      </c>
      <c r="X1" s="1" t="inlineStr">
        <is>
          <t>Комментарий</t>
        </is>
      </c>
      <c r="Y1" s="1" t="inlineStr">
        <is>
          <t>Прибыль пакета до Close</t>
        </is>
      </c>
      <c r="Z1" s="1" t="inlineStr">
        <is>
          <t>Резерв деньги</t>
        </is>
      </c>
      <c r="AA1" s="1" t="inlineStr">
        <is>
          <t>Бюджет на Close</t>
        </is>
      </c>
      <c r="AB1" s="1" t="inlineStr">
        <is>
          <t>Убыток Far Start на 1 лот</t>
        </is>
      </c>
      <c r="AC1" s="1" t="inlineStr">
        <is>
          <t>Close Status</t>
        </is>
      </c>
      <c r="AD1" s="1" t="inlineStr">
        <is>
          <t>Total Big Lots</t>
        </is>
      </c>
      <c r="AE1" s="1" t="inlineStr">
        <is>
          <t>Total Small Lots</t>
        </is>
      </c>
      <c r="AF1" s="1" t="inlineStr">
        <is>
          <t>Total Open Lots</t>
        </is>
      </c>
      <c r="AG1" s="1" t="inlineStr">
        <is>
          <t>Net Lot</t>
        </is>
      </c>
      <c r="AH1" s="1" t="inlineStr">
        <is>
          <t>Margin Per Lot</t>
        </is>
      </c>
      <c r="AI1" s="1" t="inlineStr">
        <is>
          <t>Required Margin</t>
        </is>
      </c>
      <c r="AJ1" s="1" t="inlineStr">
        <is>
          <t>Margin Load %</t>
        </is>
      </c>
      <c r="AK1" s="1" t="inlineStr">
        <is>
          <t>Floating DD</t>
        </is>
      </c>
      <c r="AL1" s="1" t="inlineStr">
        <is>
          <t>Equity After DD</t>
        </is>
      </c>
      <c r="AM1" s="1" t="inlineStr">
        <is>
          <t>Free Margin</t>
        </is>
      </c>
      <c r="AN1" s="1" t="inlineStr">
        <is>
          <t>Margin Level %</t>
        </is>
      </c>
      <c r="AO1" s="1" t="inlineStr">
        <is>
          <t>Risk Status</t>
        </is>
      </c>
    </row>
    <row r="2">
      <c r="A2" t="n">
        <v>1</v>
      </c>
      <c r="B2">
        <f>Direction</f>
        <v/>
      </c>
      <c r="C2">
        <f>StartLot</f>
        <v/>
      </c>
      <c r="D2">
        <f>StartLot</f>
        <v/>
      </c>
      <c r="E2">
        <f>IF(Direction="DOWN","Start BUY","Start SELL")</f>
        <v/>
      </c>
      <c r="F2">
        <f>BigPercent</f>
        <v/>
      </c>
      <c r="G2">
        <f>C2*BigPercent/100</f>
        <v/>
      </c>
      <c r="H2">
        <f>IF(UseRounding="TRUE",ROUNDDOWN(G2/LotStep,0)*LotStep,G2)</f>
        <v/>
      </c>
      <c r="I2">
        <f>SmallPercent</f>
        <v/>
      </c>
      <c r="J2">
        <f>C2*SmallPercent/100</f>
        <v/>
      </c>
      <c r="K2">
        <f>IF(UseRounding="TRUE",ROUNDUP(J2/LotStep,0)*LotStep,J2)</f>
        <v/>
      </c>
      <c r="L2">
        <f>CloseFarPercent</f>
        <v/>
      </c>
      <c r="M2">
        <f>C2*CloseFarPercent/100</f>
        <v/>
      </c>
      <c r="N2">
        <f>IF(AA2&lt;=0,0,ROUNDDOWN((AA2/AB2)/LotStep,0)*LotStep)</f>
        <v/>
      </c>
      <c r="O2">
        <f>IF(CloseMode="THEORETICAL",MIN(M2,D2),MIN(M2,N2,D2))</f>
        <v/>
      </c>
      <c r="P2">
        <f>CloseMode</f>
        <v/>
      </c>
      <c r="Q2">
        <f>C2-G2+J2</f>
        <v/>
      </c>
      <c r="R2">
        <f>D2-O2</f>
        <v/>
      </c>
      <c r="S2">
        <f>MIN(Q2,R2)</f>
        <v/>
      </c>
      <c r="T2">
        <f>SUM($H$2:H2)</f>
        <v/>
      </c>
      <c r="U2">
        <f>SUM($K$2:K2)</f>
        <v/>
      </c>
      <c r="V2">
        <f>SUM($O$2:O2)</f>
        <v/>
      </c>
      <c r="W2">
        <f>IF(OR(H2&lt;LotStep,K2&lt;LotStep,O2&lt;LotStep,S2&lt;LotStep,AJ2&gt;100,AN2&lt;StopOutPercent,R2&lt;=0),"STOP","OK")</f>
        <v/>
      </c>
      <c r="X2">
        <f>IF(Direction="DOWN","Уровень "&amp;A2&amp;". Цена идёт вниз. Ближний старт="&amp;ROUND(C2,5)&amp;". Открыть Big BUY "&amp;ROUND(H2,5)&amp;". Открыть Small SELL "&amp;ROUND(K2,5)&amp;". Частично закрыть дальний Start BUY "&amp;ROUND(O2,5)&amp;". Новый ближний старт="&amp;ROUND(Q2,5)&amp;". Остаток дальнего Start BUY="&amp;ROUND(R2,5)&amp;". Статус="&amp;W2&amp;".","Уровень "&amp;A2&amp;". Цена идёт вверх. Ближний старт="&amp;ROUND(C2,5)&amp;". Открыть Big SELL "&amp;ROUND(H2,5)&amp;". Открыть Small BUY "&amp;ROUND(K2,5)&amp;". Частично закрыть дальний Start SELL "&amp;ROUND(O2,5)&amp;". Новый ближний старт="&amp;ROUND(Q2,5)&amp;". Остаток дальнего Start SELL="&amp;ROUND(R2,5)&amp;". Статус="&amp;W2&amp;".")</f>
        <v/>
      </c>
      <c r="Y2">
        <f>(H2+K2)*PointValuePerLot</f>
        <v/>
      </c>
      <c r="Z2">
        <f>MAX(Y2*ProfitReservePercent/100,MinReserveMoney)</f>
        <v/>
      </c>
      <c r="AA2">
        <f>Y2-Z2</f>
        <v/>
      </c>
      <c r="AB2">
        <f>MaxAdversePoints*PointValuePerLot</f>
        <v/>
      </c>
      <c r="AC2">
        <f>IF(AND(CloseMode="SAFE_PROFIT_BUDGET",O2=0),"NO CLOSE","OK")</f>
        <v/>
      </c>
      <c r="AD2">
        <f>T2</f>
        <v/>
      </c>
      <c r="AE2">
        <f>U2</f>
        <v/>
      </c>
      <c r="AF2">
        <f>AD2+AE2</f>
        <v/>
      </c>
      <c r="AG2">
        <f>ABS(AD2-AE2)</f>
        <v/>
      </c>
      <c r="AH2">
        <f>ContractSize*InstrumentPrice/Leverage</f>
        <v/>
      </c>
      <c r="AI2">
        <f>AF2*AH2</f>
        <v/>
      </c>
      <c r="AJ2">
        <f>AI2/Balance*100</f>
        <v/>
      </c>
      <c r="AK2">
        <f>AG2*MaxAdversePoints*PointValuePerLot</f>
        <v/>
      </c>
      <c r="AL2">
        <f>Balance-AK2</f>
        <v/>
      </c>
      <c r="AM2">
        <f>AL2-AI2</f>
        <v/>
      </c>
      <c r="AN2">
        <f>IF(AI2=0,9999,AL2/AI2*100)</f>
        <v/>
      </c>
      <c r="AO2">
        <f>IF(OR(AJ2&gt;70,AN2&lt;100),"CRITICAL",IF(OR(AJ2&gt;50,AN2&lt;150),"DANGER",IF(OR(AJ2&gt;=30,AN2&lt;=300),"WARNING","OK")))</f>
        <v/>
      </c>
    </row>
    <row r="3">
      <c r="A3" t="n">
        <v>2</v>
      </c>
      <c r="B3">
        <f>Direction</f>
        <v/>
      </c>
      <c r="C3">
        <f>S2</f>
        <v/>
      </c>
      <c r="D3">
        <f>R2</f>
        <v/>
      </c>
      <c r="E3">
        <f>IF(Direction="DOWN","Start BUY","Start SELL")</f>
        <v/>
      </c>
      <c r="F3">
        <f>BigPercent</f>
        <v/>
      </c>
      <c r="G3">
        <f>C3*BigPercent/100</f>
        <v/>
      </c>
      <c r="H3">
        <f>IF(UseRounding="TRUE",ROUNDDOWN(G3/LotStep,0)*LotStep,G3)</f>
        <v/>
      </c>
      <c r="I3">
        <f>SmallPercent</f>
        <v/>
      </c>
      <c r="J3">
        <f>C3*SmallPercent/100</f>
        <v/>
      </c>
      <c r="K3">
        <f>IF(UseRounding="TRUE",ROUNDUP(J3/LotStep,0)*LotStep,J3)</f>
        <v/>
      </c>
      <c r="L3">
        <f>CloseFarPercent</f>
        <v/>
      </c>
      <c r="M3">
        <f>C3*CloseFarPercent/100</f>
        <v/>
      </c>
      <c r="N3">
        <f>IF(AA3&lt;=0,0,ROUNDDOWN((AA3/AB3)/LotStep,0)*LotStep)</f>
        <v/>
      </c>
      <c r="O3">
        <f>IF(CloseMode="THEORETICAL",MIN(M3,D3),MIN(M3,N3,D3))</f>
        <v/>
      </c>
      <c r="P3">
        <f>CloseMode</f>
        <v/>
      </c>
      <c r="Q3">
        <f>C3-G3+J3</f>
        <v/>
      </c>
      <c r="R3">
        <f>D3-O3</f>
        <v/>
      </c>
      <c r="S3">
        <f>MIN(Q3,R3)</f>
        <v/>
      </c>
      <c r="T3">
        <f>SUM($H$2:H3)</f>
        <v/>
      </c>
      <c r="U3">
        <f>SUM($K$2:K3)</f>
        <v/>
      </c>
      <c r="V3">
        <f>SUM($O$2:O3)</f>
        <v/>
      </c>
      <c r="W3">
        <f>IF(OR(H3&lt;LotStep,K3&lt;LotStep,O3&lt;LotStep,S3&lt;LotStep,AJ3&gt;100,AN3&lt;StopOutPercent,R3&lt;=0),"STOP","OK")</f>
        <v/>
      </c>
      <c r="X3">
        <f>IF(Direction="DOWN","Уровень "&amp;A3&amp;". Цена идёт вниз. Ближний старт="&amp;ROUND(C3,5)&amp;". Открыть Big BUY "&amp;ROUND(H3,5)&amp;". Открыть Small SELL "&amp;ROUND(K3,5)&amp;". Частично закрыть дальний Start BUY "&amp;ROUND(O3,5)&amp;". Новый ближний старт="&amp;ROUND(Q3,5)&amp;". Остаток дальнего Start BUY="&amp;ROUND(R3,5)&amp;". Статус="&amp;W3&amp;".","Уровень "&amp;A3&amp;". Цена идёт вверх. Ближний старт="&amp;ROUND(C3,5)&amp;". Открыть Big SELL "&amp;ROUND(H3,5)&amp;". Открыть Small BUY "&amp;ROUND(K3,5)&amp;". Частично закрыть дальний Start SELL "&amp;ROUND(O3,5)&amp;". Новый ближний старт="&amp;ROUND(Q3,5)&amp;". Остаток дальнего Start SELL="&amp;ROUND(R3,5)&amp;". Статус="&amp;W3&amp;".")</f>
        <v/>
      </c>
      <c r="Y3">
        <f>(H3+K3)*PointValuePerLot</f>
        <v/>
      </c>
      <c r="Z3">
        <f>MAX(Y3*ProfitReservePercent/100,MinReserveMoney)</f>
        <v/>
      </c>
      <c r="AA3">
        <f>Y3-Z3</f>
        <v/>
      </c>
      <c r="AB3">
        <f>MaxAdversePoints*PointValuePerLot</f>
        <v/>
      </c>
      <c r="AC3">
        <f>IF(AND(CloseMode="SAFE_PROFIT_BUDGET",O3=0),"NO CLOSE","OK")</f>
        <v/>
      </c>
      <c r="AD3">
        <f>T3</f>
        <v/>
      </c>
      <c r="AE3">
        <f>U3</f>
        <v/>
      </c>
      <c r="AF3">
        <f>AD3+AE3</f>
        <v/>
      </c>
      <c r="AG3">
        <f>ABS(AD3-AE3)</f>
        <v/>
      </c>
      <c r="AH3">
        <f>ContractSize*InstrumentPrice/Leverage</f>
        <v/>
      </c>
      <c r="AI3">
        <f>AF3*AH3</f>
        <v/>
      </c>
      <c r="AJ3">
        <f>AI3/Balance*100</f>
        <v/>
      </c>
      <c r="AK3">
        <f>AG3*MaxAdversePoints*PointValuePerLot</f>
        <v/>
      </c>
      <c r="AL3">
        <f>Balance-AK3</f>
        <v/>
      </c>
      <c r="AM3">
        <f>AL3-AI3</f>
        <v/>
      </c>
      <c r="AN3">
        <f>IF(AI3=0,9999,AL3/AI3*100)</f>
        <v/>
      </c>
      <c r="AO3">
        <f>IF(OR(AJ3&gt;70,AN3&lt;100),"CRITICAL",IF(OR(AJ3&gt;50,AN3&lt;150),"DANGER",IF(OR(AJ3&gt;=30,AN3&lt;=300),"WARNING","OK")))</f>
        <v/>
      </c>
    </row>
    <row r="4">
      <c r="A4" t="n">
        <v>3</v>
      </c>
      <c r="B4">
        <f>Direction</f>
        <v/>
      </c>
      <c r="C4">
        <f>S3</f>
        <v/>
      </c>
      <c r="D4">
        <f>R3</f>
        <v/>
      </c>
      <c r="E4">
        <f>IF(Direction="DOWN","Start BUY","Start SELL")</f>
        <v/>
      </c>
      <c r="F4">
        <f>BigPercent</f>
        <v/>
      </c>
      <c r="G4">
        <f>C4*BigPercent/100</f>
        <v/>
      </c>
      <c r="H4">
        <f>IF(UseRounding="TRUE",ROUNDDOWN(G4/LotStep,0)*LotStep,G4)</f>
        <v/>
      </c>
      <c r="I4">
        <f>SmallPercent</f>
        <v/>
      </c>
      <c r="J4">
        <f>C4*SmallPercent/100</f>
        <v/>
      </c>
      <c r="K4">
        <f>IF(UseRounding="TRUE",ROUNDUP(J4/LotStep,0)*LotStep,J4)</f>
        <v/>
      </c>
      <c r="L4">
        <f>CloseFarPercent</f>
        <v/>
      </c>
      <c r="M4">
        <f>C4*CloseFarPercent/100</f>
        <v/>
      </c>
      <c r="N4">
        <f>IF(AA4&lt;=0,0,ROUNDDOWN((AA4/AB4)/LotStep,0)*LotStep)</f>
        <v/>
      </c>
      <c r="O4">
        <f>IF(CloseMode="THEORETICAL",MIN(M4,D4),MIN(M4,N4,D4))</f>
        <v/>
      </c>
      <c r="P4">
        <f>CloseMode</f>
        <v/>
      </c>
      <c r="Q4">
        <f>C4-G4+J4</f>
        <v/>
      </c>
      <c r="R4">
        <f>D4-O4</f>
        <v/>
      </c>
      <c r="S4">
        <f>MIN(Q4,R4)</f>
        <v/>
      </c>
      <c r="T4">
        <f>SUM($H$2:H4)</f>
        <v/>
      </c>
      <c r="U4">
        <f>SUM($K$2:K4)</f>
        <v/>
      </c>
      <c r="V4">
        <f>SUM($O$2:O4)</f>
        <v/>
      </c>
      <c r="W4">
        <f>IF(OR(H4&lt;LotStep,K4&lt;LotStep,O4&lt;LotStep,S4&lt;LotStep,AJ4&gt;100,AN4&lt;StopOutPercent,R4&lt;=0),"STOP","OK")</f>
        <v/>
      </c>
      <c r="X4">
        <f>IF(Direction="DOWN","Уровень "&amp;A4&amp;". Цена идёт вниз. Ближний старт="&amp;ROUND(C4,5)&amp;". Открыть Big BUY "&amp;ROUND(H4,5)&amp;". Открыть Small SELL "&amp;ROUND(K4,5)&amp;". Частично закрыть дальний Start BUY "&amp;ROUND(O4,5)&amp;". Новый ближний старт="&amp;ROUND(Q4,5)&amp;". Остаток дальнего Start BUY="&amp;ROUND(R4,5)&amp;". Статус="&amp;W4&amp;".","Уровень "&amp;A4&amp;". Цена идёт вверх. Ближний старт="&amp;ROUND(C4,5)&amp;". Открыть Big SELL "&amp;ROUND(H4,5)&amp;". Открыть Small BUY "&amp;ROUND(K4,5)&amp;". Частично закрыть дальний Start SELL "&amp;ROUND(O4,5)&amp;". Новый ближний старт="&amp;ROUND(Q4,5)&amp;". Остаток дальнего Start SELL="&amp;ROUND(R4,5)&amp;". Статус="&amp;W4&amp;".")</f>
        <v/>
      </c>
      <c r="Y4">
        <f>(H4+K4)*PointValuePerLot</f>
        <v/>
      </c>
      <c r="Z4">
        <f>MAX(Y4*ProfitReservePercent/100,MinReserveMoney)</f>
        <v/>
      </c>
      <c r="AA4">
        <f>Y4-Z4</f>
        <v/>
      </c>
      <c r="AB4">
        <f>MaxAdversePoints*PointValuePerLot</f>
        <v/>
      </c>
      <c r="AC4">
        <f>IF(AND(CloseMode="SAFE_PROFIT_BUDGET",O4=0),"NO CLOSE","OK")</f>
        <v/>
      </c>
      <c r="AD4">
        <f>T4</f>
        <v/>
      </c>
      <c r="AE4">
        <f>U4</f>
        <v/>
      </c>
      <c r="AF4">
        <f>AD4+AE4</f>
        <v/>
      </c>
      <c r="AG4">
        <f>ABS(AD4-AE4)</f>
        <v/>
      </c>
      <c r="AH4">
        <f>ContractSize*InstrumentPrice/Leverage</f>
        <v/>
      </c>
      <c r="AI4">
        <f>AF4*AH4</f>
        <v/>
      </c>
      <c r="AJ4">
        <f>AI4/Balance*100</f>
        <v/>
      </c>
      <c r="AK4">
        <f>AG4*MaxAdversePoints*PointValuePerLot</f>
        <v/>
      </c>
      <c r="AL4">
        <f>Balance-AK4</f>
        <v/>
      </c>
      <c r="AM4">
        <f>AL4-AI4</f>
        <v/>
      </c>
      <c r="AN4">
        <f>IF(AI4=0,9999,AL4/AI4*100)</f>
        <v/>
      </c>
      <c r="AO4">
        <f>IF(OR(AJ4&gt;70,AN4&lt;100),"CRITICAL",IF(OR(AJ4&gt;50,AN4&lt;150),"DANGER",IF(OR(AJ4&gt;=30,AN4&lt;=300),"WARNING","OK")))</f>
        <v/>
      </c>
    </row>
    <row r="5">
      <c r="A5" t="n">
        <v>4</v>
      </c>
      <c r="B5">
        <f>Direction</f>
        <v/>
      </c>
      <c r="C5">
        <f>S4</f>
        <v/>
      </c>
      <c r="D5">
        <f>R4</f>
        <v/>
      </c>
      <c r="E5">
        <f>IF(Direction="DOWN","Start BUY","Start SELL")</f>
        <v/>
      </c>
      <c r="F5">
        <f>BigPercent</f>
        <v/>
      </c>
      <c r="G5">
        <f>C5*BigPercent/100</f>
        <v/>
      </c>
      <c r="H5">
        <f>IF(UseRounding="TRUE",ROUNDDOWN(G5/LotStep,0)*LotStep,G5)</f>
        <v/>
      </c>
      <c r="I5">
        <f>SmallPercent</f>
        <v/>
      </c>
      <c r="J5">
        <f>C5*SmallPercent/100</f>
        <v/>
      </c>
      <c r="K5">
        <f>IF(UseRounding="TRUE",ROUNDUP(J5/LotStep,0)*LotStep,J5)</f>
        <v/>
      </c>
      <c r="L5">
        <f>CloseFarPercent</f>
        <v/>
      </c>
      <c r="M5">
        <f>C5*CloseFarPercent/100</f>
        <v/>
      </c>
      <c r="N5">
        <f>IF(AA5&lt;=0,0,ROUNDDOWN((AA5/AB5)/LotStep,0)*LotStep)</f>
        <v/>
      </c>
      <c r="O5">
        <f>IF(CloseMode="THEORETICAL",MIN(M5,D5),MIN(M5,N5,D5))</f>
        <v/>
      </c>
      <c r="P5">
        <f>CloseMode</f>
        <v/>
      </c>
      <c r="Q5">
        <f>C5-G5+J5</f>
        <v/>
      </c>
      <c r="R5">
        <f>D5-O5</f>
        <v/>
      </c>
      <c r="S5">
        <f>MIN(Q5,R5)</f>
        <v/>
      </c>
      <c r="T5">
        <f>SUM($H$2:H5)</f>
        <v/>
      </c>
      <c r="U5">
        <f>SUM($K$2:K5)</f>
        <v/>
      </c>
      <c r="V5">
        <f>SUM($O$2:O5)</f>
        <v/>
      </c>
      <c r="W5">
        <f>IF(OR(H5&lt;LotStep,K5&lt;LotStep,O5&lt;LotStep,S5&lt;LotStep,AJ5&gt;100,AN5&lt;StopOutPercent,R5&lt;=0),"STOP","OK")</f>
        <v/>
      </c>
      <c r="X5">
        <f>IF(Direction="DOWN","Уровень "&amp;A5&amp;". Цена идёт вниз. Ближний старт="&amp;ROUND(C5,5)&amp;". Открыть Big BUY "&amp;ROUND(H5,5)&amp;". Открыть Small SELL "&amp;ROUND(K5,5)&amp;". Частично закрыть дальний Start BUY "&amp;ROUND(O5,5)&amp;". Новый ближний старт="&amp;ROUND(Q5,5)&amp;". Остаток дальнего Start BUY="&amp;ROUND(R5,5)&amp;". Статус="&amp;W5&amp;".","Уровень "&amp;A5&amp;". Цена идёт вверх. Ближний старт="&amp;ROUND(C5,5)&amp;". Открыть Big SELL "&amp;ROUND(H5,5)&amp;". Открыть Small BUY "&amp;ROUND(K5,5)&amp;". Частично закрыть дальний Start SELL "&amp;ROUND(O5,5)&amp;". Новый ближний старт="&amp;ROUND(Q5,5)&amp;". Остаток дальнего Start SELL="&amp;ROUND(R5,5)&amp;". Статус="&amp;W5&amp;".")</f>
        <v/>
      </c>
      <c r="Y5">
        <f>(H5+K5)*PointValuePerLot</f>
        <v/>
      </c>
      <c r="Z5">
        <f>MAX(Y5*ProfitReservePercent/100,MinReserveMoney)</f>
        <v/>
      </c>
      <c r="AA5">
        <f>Y5-Z5</f>
        <v/>
      </c>
      <c r="AB5">
        <f>MaxAdversePoints*PointValuePerLot</f>
        <v/>
      </c>
      <c r="AC5">
        <f>IF(AND(CloseMode="SAFE_PROFIT_BUDGET",O5=0),"NO CLOSE","OK")</f>
        <v/>
      </c>
      <c r="AD5">
        <f>T5</f>
        <v/>
      </c>
      <c r="AE5">
        <f>U5</f>
        <v/>
      </c>
      <c r="AF5">
        <f>AD5+AE5</f>
        <v/>
      </c>
      <c r="AG5">
        <f>ABS(AD5-AE5)</f>
        <v/>
      </c>
      <c r="AH5">
        <f>ContractSize*InstrumentPrice/Leverage</f>
        <v/>
      </c>
      <c r="AI5">
        <f>AF5*AH5</f>
        <v/>
      </c>
      <c r="AJ5">
        <f>AI5/Balance*100</f>
        <v/>
      </c>
      <c r="AK5">
        <f>AG5*MaxAdversePoints*PointValuePerLot</f>
        <v/>
      </c>
      <c r="AL5">
        <f>Balance-AK5</f>
        <v/>
      </c>
      <c r="AM5">
        <f>AL5-AI5</f>
        <v/>
      </c>
      <c r="AN5">
        <f>IF(AI5=0,9999,AL5/AI5*100)</f>
        <v/>
      </c>
      <c r="AO5">
        <f>IF(OR(AJ5&gt;70,AN5&lt;100),"CRITICAL",IF(OR(AJ5&gt;50,AN5&lt;150),"DANGER",IF(OR(AJ5&gt;=30,AN5&lt;=300),"WARNING","OK")))</f>
        <v/>
      </c>
    </row>
    <row r="6">
      <c r="A6" t="n">
        <v>5</v>
      </c>
      <c r="B6">
        <f>Direction</f>
        <v/>
      </c>
      <c r="C6">
        <f>S5</f>
        <v/>
      </c>
      <c r="D6">
        <f>R5</f>
        <v/>
      </c>
      <c r="E6">
        <f>IF(Direction="DOWN","Start BUY","Start SELL")</f>
        <v/>
      </c>
      <c r="F6">
        <f>BigPercent</f>
        <v/>
      </c>
      <c r="G6">
        <f>C6*BigPercent/100</f>
        <v/>
      </c>
      <c r="H6">
        <f>IF(UseRounding="TRUE",ROUNDDOWN(G6/LotStep,0)*LotStep,G6)</f>
        <v/>
      </c>
      <c r="I6">
        <f>SmallPercent</f>
        <v/>
      </c>
      <c r="J6">
        <f>C6*SmallPercent/100</f>
        <v/>
      </c>
      <c r="K6">
        <f>IF(UseRounding="TRUE",ROUNDUP(J6/LotStep,0)*LotStep,J6)</f>
        <v/>
      </c>
      <c r="L6">
        <f>CloseFarPercent</f>
        <v/>
      </c>
      <c r="M6">
        <f>C6*CloseFarPercent/100</f>
        <v/>
      </c>
      <c r="N6">
        <f>IF(AA6&lt;=0,0,ROUNDDOWN((AA6/AB6)/LotStep,0)*LotStep)</f>
        <v/>
      </c>
      <c r="O6">
        <f>IF(CloseMode="THEORETICAL",MIN(M6,D6),MIN(M6,N6,D6))</f>
        <v/>
      </c>
      <c r="P6">
        <f>CloseMode</f>
        <v/>
      </c>
      <c r="Q6">
        <f>C6-G6+J6</f>
        <v/>
      </c>
      <c r="R6">
        <f>D6-O6</f>
        <v/>
      </c>
      <c r="S6">
        <f>MIN(Q6,R6)</f>
        <v/>
      </c>
      <c r="T6">
        <f>SUM($H$2:H6)</f>
        <v/>
      </c>
      <c r="U6">
        <f>SUM($K$2:K6)</f>
        <v/>
      </c>
      <c r="V6">
        <f>SUM($O$2:O6)</f>
        <v/>
      </c>
      <c r="W6">
        <f>IF(OR(H6&lt;LotStep,K6&lt;LotStep,O6&lt;LotStep,S6&lt;LotStep,AJ6&gt;100,AN6&lt;StopOutPercent,R6&lt;=0),"STOP","OK")</f>
        <v/>
      </c>
      <c r="X6">
        <f>IF(Direction="DOWN","Уровень "&amp;A6&amp;". Цена идёт вниз. Ближний старт="&amp;ROUND(C6,5)&amp;". Открыть Big BUY "&amp;ROUND(H6,5)&amp;". Открыть Small SELL "&amp;ROUND(K6,5)&amp;". Частично закрыть дальний Start BUY "&amp;ROUND(O6,5)&amp;". Новый ближний старт="&amp;ROUND(Q6,5)&amp;". Остаток дальнего Start BUY="&amp;ROUND(R6,5)&amp;". Статус="&amp;W6&amp;".","Уровень "&amp;A6&amp;". Цена идёт вверх. Ближний старт="&amp;ROUND(C6,5)&amp;". Открыть Big SELL "&amp;ROUND(H6,5)&amp;". Открыть Small BUY "&amp;ROUND(K6,5)&amp;". Частично закрыть дальний Start SELL "&amp;ROUND(O6,5)&amp;". Новый ближний старт="&amp;ROUND(Q6,5)&amp;". Остаток дальнего Start SELL="&amp;ROUND(R6,5)&amp;". Статус="&amp;W6&amp;".")</f>
        <v/>
      </c>
      <c r="Y6">
        <f>(H6+K6)*PointValuePerLot</f>
        <v/>
      </c>
      <c r="Z6">
        <f>MAX(Y6*ProfitReservePercent/100,MinReserveMoney)</f>
        <v/>
      </c>
      <c r="AA6">
        <f>Y6-Z6</f>
        <v/>
      </c>
      <c r="AB6">
        <f>MaxAdversePoints*PointValuePerLot</f>
        <v/>
      </c>
      <c r="AC6">
        <f>IF(AND(CloseMode="SAFE_PROFIT_BUDGET",O6=0),"NO CLOSE","OK")</f>
        <v/>
      </c>
      <c r="AD6">
        <f>T6</f>
        <v/>
      </c>
      <c r="AE6">
        <f>U6</f>
        <v/>
      </c>
      <c r="AF6">
        <f>AD6+AE6</f>
        <v/>
      </c>
      <c r="AG6">
        <f>ABS(AD6-AE6)</f>
        <v/>
      </c>
      <c r="AH6">
        <f>ContractSize*InstrumentPrice/Leverage</f>
        <v/>
      </c>
      <c r="AI6">
        <f>AF6*AH6</f>
        <v/>
      </c>
      <c r="AJ6">
        <f>AI6/Balance*100</f>
        <v/>
      </c>
      <c r="AK6">
        <f>AG6*MaxAdversePoints*PointValuePerLot</f>
        <v/>
      </c>
      <c r="AL6">
        <f>Balance-AK6</f>
        <v/>
      </c>
      <c r="AM6">
        <f>AL6-AI6</f>
        <v/>
      </c>
      <c r="AN6">
        <f>IF(AI6=0,9999,AL6/AI6*100)</f>
        <v/>
      </c>
      <c r="AO6">
        <f>IF(OR(AJ6&gt;70,AN6&lt;100),"CRITICAL",IF(OR(AJ6&gt;50,AN6&lt;150),"DANGER",IF(OR(AJ6&gt;=30,AN6&lt;=300),"WARNING","OK")))</f>
        <v/>
      </c>
    </row>
    <row r="7"/>
    <row r="8"/>
    <row r="9">
      <c r="A9" s="1" t="inlineStr">
        <is>
          <t>ИТОГИ САМОСЖИМАЮЩЕЙСЯ МОДЕЛИ</t>
        </is>
      </c>
    </row>
    <row r="10">
      <c r="A10" t="inlineStr">
        <is>
          <t>StartLot</t>
        </is>
      </c>
      <c r="B10">
        <f>StartLot</f>
        <v/>
      </c>
    </row>
    <row r="11">
      <c r="A11" t="inlineStr">
        <is>
          <t>Direction</t>
        </is>
      </c>
      <c r="B11">
        <f>Direction</f>
        <v/>
      </c>
    </row>
    <row r="12">
      <c r="A12" t="inlineStr">
        <is>
          <t>Финальная сумма Big</t>
        </is>
      </c>
      <c r="B12">
        <f>T6</f>
        <v/>
      </c>
    </row>
    <row r="13">
      <c r="A13" t="inlineStr">
        <is>
          <t>Финальная сумма Small</t>
        </is>
      </c>
      <c r="B13">
        <f>U6</f>
        <v/>
      </c>
    </row>
    <row r="14">
      <c r="A14" t="inlineStr">
        <is>
          <t>Финальная сумма Close Far</t>
        </is>
      </c>
      <c r="B14">
        <f>V6</f>
        <v/>
      </c>
    </row>
    <row r="15">
      <c r="A15" t="inlineStr">
        <is>
          <t>Финальный ближний старт</t>
        </is>
      </c>
      <c r="B15">
        <f>Q6</f>
        <v/>
      </c>
    </row>
    <row r="16">
      <c r="A16" t="inlineStr">
        <is>
          <t>Финальный дальний остаток</t>
        </is>
      </c>
      <c r="B16">
        <f>R6</f>
        <v/>
      </c>
    </row>
    <row r="17">
      <c r="A17" t="inlineStr">
        <is>
          <t>Финальный NextBaseLot</t>
        </is>
      </c>
      <c r="B17">
        <f>S6</f>
        <v/>
      </c>
    </row>
    <row r="18">
      <c r="A18" t="inlineStr">
        <is>
          <t>Количество уровней OK</t>
        </is>
      </c>
      <c r="B18">
        <f>COUNTIF(W2:W6,"OK")</f>
        <v/>
      </c>
    </row>
    <row r="19">
      <c r="A19" t="inlineStr">
        <is>
          <t>Количество STOP</t>
        </is>
      </c>
      <c r="B19">
        <f>COUNTIF(W2:W6,"STOP")</f>
        <v/>
      </c>
    </row>
    <row r="20">
      <c r="A20" t="inlineStr">
        <is>
          <t>Финальный статус системы</t>
        </is>
      </c>
      <c r="B20">
        <f>IF(COUNTIF(W2:W6,"STOP")&gt;0,"STOP","OK")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O2:AO6">
    <cfRule type="expression" priority="1" dxfId="0">
      <formula>AO2="OK"</formula>
    </cfRule>
    <cfRule type="expression" priority="2" dxfId="1">
      <formula>AO2="WARNING"</formula>
    </cfRule>
    <cfRule type="expression" priority="3" dxfId="2">
      <formula>AO2="DANGER"</formula>
    </cfRule>
    <cfRule type="expression" priority="4" dxfId="3">
      <formula>AO2="CRITICAL"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Уровень</t>
        </is>
      </c>
      <c r="B1" s="1" t="inlineStr">
        <is>
          <t>Total Big Lots</t>
        </is>
      </c>
      <c r="C1" s="1" t="inlineStr">
        <is>
          <t>Total Small Lots</t>
        </is>
      </c>
      <c r="D1" s="1" t="inlineStr">
        <is>
          <t>Total Open Lots</t>
        </is>
      </c>
      <c r="E1" s="1" t="inlineStr">
        <is>
          <t>Net Lot</t>
        </is>
      </c>
      <c r="F1" s="1" t="inlineStr">
        <is>
          <t>Margin Per Lot</t>
        </is>
      </c>
      <c r="G1" s="1" t="inlineStr">
        <is>
          <t>Required Margin</t>
        </is>
      </c>
      <c r="H1" s="1" t="inlineStr">
        <is>
          <t>Margin Load %</t>
        </is>
      </c>
      <c r="I1" s="1" t="inlineStr">
        <is>
          <t>Floating DD</t>
        </is>
      </c>
      <c r="J1" s="1" t="inlineStr">
        <is>
          <t>Equity After DD</t>
        </is>
      </c>
      <c r="K1" s="1" t="inlineStr">
        <is>
          <t>Free Margin</t>
        </is>
      </c>
      <c r="L1" s="1" t="inlineStr">
        <is>
          <t>Margin Level %</t>
        </is>
      </c>
      <c r="M1" s="1" t="inlineStr">
        <is>
          <t>Risk Status</t>
        </is>
      </c>
    </row>
    <row r="2">
      <c r="A2">
        <f>'Калькулятор'!A2</f>
        <v/>
      </c>
      <c r="B2">
        <f>'Калькулятор'!AD2</f>
        <v/>
      </c>
      <c r="C2">
        <f>'Калькулятор'!AE2</f>
        <v/>
      </c>
      <c r="D2">
        <f>'Калькулятор'!AF2</f>
        <v/>
      </c>
      <c r="E2">
        <f>'Калькулятор'!AG2</f>
        <v/>
      </c>
      <c r="F2">
        <f>'Калькулятор'!AH2</f>
        <v/>
      </c>
      <c r="G2">
        <f>'Калькулятор'!AI2</f>
        <v/>
      </c>
      <c r="H2">
        <f>'Калькулятор'!AJ2</f>
        <v/>
      </c>
      <c r="I2">
        <f>'Калькулятор'!AK2</f>
        <v/>
      </c>
      <c r="J2">
        <f>'Калькулятор'!AL2</f>
        <v/>
      </c>
      <c r="K2">
        <f>'Калькулятор'!AM2</f>
        <v/>
      </c>
      <c r="L2">
        <f>'Калькулятор'!AN2</f>
        <v/>
      </c>
      <c r="M2">
        <f>'Калькулятор'!AO2</f>
        <v/>
      </c>
    </row>
    <row r="3">
      <c r="A3">
        <f>'Калькулятор'!A3</f>
        <v/>
      </c>
      <c r="B3">
        <f>'Калькулятор'!AD3</f>
        <v/>
      </c>
      <c r="C3">
        <f>'Калькулятор'!AE3</f>
        <v/>
      </c>
      <c r="D3">
        <f>'Калькулятор'!AF3</f>
        <v/>
      </c>
      <c r="E3">
        <f>'Калькулятор'!AG3</f>
        <v/>
      </c>
      <c r="F3">
        <f>'Калькулятор'!AH3</f>
        <v/>
      </c>
      <c r="G3">
        <f>'Калькулятор'!AI3</f>
        <v/>
      </c>
      <c r="H3">
        <f>'Калькулятор'!AJ3</f>
        <v/>
      </c>
      <c r="I3">
        <f>'Калькулятор'!AK3</f>
        <v/>
      </c>
      <c r="J3">
        <f>'Калькулятор'!AL3</f>
        <v/>
      </c>
      <c r="K3">
        <f>'Калькулятор'!AM3</f>
        <v/>
      </c>
      <c r="L3">
        <f>'Калькулятор'!AN3</f>
        <v/>
      </c>
      <c r="M3">
        <f>'Калькулятор'!AO3</f>
        <v/>
      </c>
    </row>
    <row r="4">
      <c r="A4">
        <f>'Калькулятор'!A4</f>
        <v/>
      </c>
      <c r="B4">
        <f>'Калькулятор'!AD4</f>
        <v/>
      </c>
      <c r="C4">
        <f>'Калькулятор'!AE4</f>
        <v/>
      </c>
      <c r="D4">
        <f>'Калькулятор'!AF4</f>
        <v/>
      </c>
      <c r="E4">
        <f>'Калькулятор'!AG4</f>
        <v/>
      </c>
      <c r="F4">
        <f>'Калькулятор'!AH4</f>
        <v/>
      </c>
      <c r="G4">
        <f>'Калькулятор'!AI4</f>
        <v/>
      </c>
      <c r="H4">
        <f>'Калькулятор'!AJ4</f>
        <v/>
      </c>
      <c r="I4">
        <f>'Калькулятор'!AK4</f>
        <v/>
      </c>
      <c r="J4">
        <f>'Калькулятор'!AL4</f>
        <v/>
      </c>
      <c r="K4">
        <f>'Калькулятор'!AM4</f>
        <v/>
      </c>
      <c r="L4">
        <f>'Калькулятор'!AN4</f>
        <v/>
      </c>
      <c r="M4">
        <f>'Калькулятор'!AO4</f>
        <v/>
      </c>
    </row>
    <row r="5">
      <c r="A5">
        <f>'Калькулятор'!A5</f>
        <v/>
      </c>
      <c r="B5">
        <f>'Калькулятор'!AD5</f>
        <v/>
      </c>
      <c r="C5">
        <f>'Калькулятор'!AE5</f>
        <v/>
      </c>
      <c r="D5">
        <f>'Калькулятор'!AF5</f>
        <v/>
      </c>
      <c r="E5">
        <f>'Калькулятор'!AG5</f>
        <v/>
      </c>
      <c r="F5">
        <f>'Калькулятор'!AH5</f>
        <v/>
      </c>
      <c r="G5">
        <f>'Калькулятор'!AI5</f>
        <v/>
      </c>
      <c r="H5">
        <f>'Калькулятор'!AJ5</f>
        <v/>
      </c>
      <c r="I5">
        <f>'Калькулятор'!AK5</f>
        <v/>
      </c>
      <c r="J5">
        <f>'Калькулятор'!AL5</f>
        <v/>
      </c>
      <c r="K5">
        <f>'Калькулятор'!AM5</f>
        <v/>
      </c>
      <c r="L5">
        <f>'Калькулятор'!AN5</f>
        <v/>
      </c>
      <c r="M5">
        <f>'Калькулятор'!AO5</f>
        <v/>
      </c>
    </row>
    <row r="6">
      <c r="A6">
        <f>'Калькулятор'!A6</f>
        <v/>
      </c>
      <c r="B6">
        <f>'Калькулятор'!AD6</f>
        <v/>
      </c>
      <c r="C6">
        <f>'Калькулятор'!AE6</f>
        <v/>
      </c>
      <c r="D6">
        <f>'Калькулятор'!AF6</f>
        <v/>
      </c>
      <c r="E6">
        <f>'Калькулятор'!AG6</f>
        <v/>
      </c>
      <c r="F6">
        <f>'Калькулятор'!AH6</f>
        <v/>
      </c>
      <c r="G6">
        <f>'Калькулятор'!AI6</f>
        <v/>
      </c>
      <c r="H6">
        <f>'Калькулятор'!AJ6</f>
        <v/>
      </c>
      <c r="I6">
        <f>'Калькулятор'!AK6</f>
        <v/>
      </c>
      <c r="J6">
        <f>'Калькулятор'!AL6</f>
        <v/>
      </c>
      <c r="K6">
        <f>'Калькулятор'!AM6</f>
        <v/>
      </c>
      <c r="L6">
        <f>'Калькулятор'!AN6</f>
        <v/>
      </c>
      <c r="M6">
        <f>'Калькулятор'!AO6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M2:M6">
    <cfRule type="expression" priority="1" dxfId="0">
      <formula>M2="OK"</formula>
    </cfRule>
    <cfRule type="expression" priority="2" dxfId="1">
      <formula>M2="WARNING"</formula>
    </cfRule>
    <cfRule type="expression" priority="3" dxfId="2">
      <formula>M2="DANGER"</formula>
    </cfRule>
    <cfRule type="expression" priority="4" dxfId="3">
      <formula>M2="CRITICAL"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Проверка</t>
        </is>
      </c>
      <c r="B1" s="1" t="inlineStr">
        <is>
          <t>Формула</t>
        </is>
      </c>
      <c r="C1" s="1" t="inlineStr">
        <is>
          <t>Статус</t>
        </is>
      </c>
    </row>
    <row r="2">
      <c r="A2" t="inlineStr">
        <is>
          <t>No #VALUE/#ЗНАЧ in comments</t>
        </is>
      </c>
      <c r="B2">
        <f>IF(COUNTIF(Калькулятор!X2:X6,"#VALUE!")+COUNTIF(Калькулятор!X2:X6,"#ЗНАЧ!")=0,"PASS","FAIL")</f>
        <v/>
      </c>
      <c r="C2">
        <f>B2</f>
        <v/>
      </c>
    </row>
    <row r="3">
      <c r="A3" t="inlineStr">
        <is>
          <t>No #NAME/#ИМЯ</t>
        </is>
      </c>
      <c r="B3">
        <f>IF(COUNTIF(Калькулятор!A1:AO40,"#NAME?")+COUNTIF(Калькулятор!A1:AO40,"#ИМЯ?")+COUNTIF(РИСК_АНАЛИЗ!A1:M10,"#NAME?")+COUNTIF(РИСК_АНАЛИЗ!A1:M10,"#ИМЯ?")=0,"PASS","FAIL")</f>
        <v/>
      </c>
      <c r="C3">
        <f>B3</f>
        <v/>
      </c>
    </row>
    <row r="4">
      <c r="A4" t="inlineStr">
        <is>
          <t>No #REF/#ССЫЛКА</t>
        </is>
      </c>
      <c r="B4">
        <f>IF(COUNTIF(Калькулятор!A1:AO40,"#REF!")+COUNTIF(Калькулятор!A1:AO40,"#ССЫЛКА!")+COUNTIF(РИСК_АНАЛИЗ!A1:M10,"#REF!")+COUNTIF(РИСК_АНАЛИЗ!A1:M10,"#ССЫЛКА!")=0,"PASS","FAIL")</f>
        <v/>
      </c>
      <c r="C4">
        <f>B4</f>
        <v/>
      </c>
    </row>
    <row r="5">
      <c r="A5" t="inlineStr">
        <is>
          <t>No #DIV/0/#ДЕЛ/0</t>
        </is>
      </c>
      <c r="B5">
        <f>IF(COUNTIF(Калькулятор!A1:AO40,"#DIV/0!")+COUNTIF(Калькулятор!A1:AO40,"#ДЕЛ/0!")+COUNTIF(РИСК_АНАЛИЗ!A1:M10,"#DIV/0!")+COUNTIF(РИСК_АНАЛИЗ!A1:M10,"#ДЕЛ/0!")=0,"PASS","FAIL")</f>
        <v/>
      </c>
      <c r="C5">
        <f>B5</f>
        <v/>
      </c>
    </row>
    <row r="6">
      <c r="A6" t="inlineStr">
        <is>
          <t>L1 Actual Close formula</t>
        </is>
      </c>
      <c r="B6">
        <f>IF(OR(CloseMode&lt;&gt;"THEORETICAL",ABS(Калькулятор!O2-(Калькулятор!C2*CloseFarPercent/100))&lt;1E-8),"PASS","FAIL")</f>
        <v/>
      </c>
      <c r="C6">
        <f>B6</f>
        <v/>
      </c>
    </row>
    <row r="7">
      <c r="A7" t="inlineStr">
        <is>
          <t>L1 OpenLots=Big+Small</t>
        </is>
      </c>
      <c r="B7">
        <f>IF(ABS(Калькулятор!AF2-(Калькулятор!AD2+Калькулятор!AE2))&lt;1E-8,"PASS","FAIL")</f>
        <v/>
      </c>
      <c r="C7">
        <f>B7</f>
        <v/>
      </c>
    </row>
    <row r="8">
      <c r="A8" t="inlineStr">
        <is>
          <t>L1 Net=ABS(Big-Small)</t>
        </is>
      </c>
      <c r="B8">
        <f>IF(ABS(Калькулятор!AG2-ABS(Калькулятор!AD2-Калькулятор!AE2))&lt;1E-8,"PASS","FAIL")</f>
        <v/>
      </c>
      <c r="C8">
        <f>B8</f>
        <v/>
      </c>
    </row>
    <row r="9">
      <c r="A9" t="inlineStr">
        <is>
          <t>L1 RequiredMargin</t>
        </is>
      </c>
      <c r="B9">
        <f>IF(ABS(Калькулятор!AI2-(Калькулятор!AF2*Калькулятор!AH2))&lt;1E-8,"PASS","FAIL")</f>
        <v/>
      </c>
      <c r="C9">
        <f>B9</f>
        <v/>
      </c>
    </row>
    <row r="10">
      <c r="A10" t="inlineStr">
        <is>
          <t>L2 Actual Close formula</t>
        </is>
      </c>
      <c r="B10">
        <f>IF(OR(CloseMode&lt;&gt;"THEORETICAL",ABS(Калькулятор!O3-(Калькулятор!C3*CloseFarPercent/100))&lt;1E-8),"PASS","FAIL")</f>
        <v/>
      </c>
      <c r="C10">
        <f>B10</f>
        <v/>
      </c>
    </row>
    <row r="11">
      <c r="A11" t="inlineStr">
        <is>
          <t>L2 OpenLots=Big+Small</t>
        </is>
      </c>
      <c r="B11">
        <f>IF(ABS(Калькулятор!AF3-(Калькулятор!AD3+Калькулятор!AE3))&lt;1E-8,"PASS","FAIL")</f>
        <v/>
      </c>
      <c r="C11">
        <f>B11</f>
        <v/>
      </c>
    </row>
    <row r="12">
      <c r="A12" t="inlineStr">
        <is>
          <t>L2 Net=ABS(Big-Small)</t>
        </is>
      </c>
      <c r="B12">
        <f>IF(ABS(Калькулятор!AG3-ABS(Калькулятор!AD3-Калькулятор!AE3))&lt;1E-8,"PASS","FAIL")</f>
        <v/>
      </c>
      <c r="C12">
        <f>B12</f>
        <v/>
      </c>
    </row>
    <row r="13">
      <c r="A13" t="inlineStr">
        <is>
          <t>L2 RequiredMargin</t>
        </is>
      </c>
      <c r="B13">
        <f>IF(ABS(Калькулятор!AI3-(Калькулятор!AF3*Калькулятор!AH3))&lt;1E-8,"PASS","FAIL")</f>
        <v/>
      </c>
      <c r="C13">
        <f>B13</f>
        <v/>
      </c>
    </row>
    <row r="14">
      <c r="A14" t="inlineStr">
        <is>
          <t>L3 Actual Close formula</t>
        </is>
      </c>
      <c r="B14">
        <f>IF(OR(CloseMode&lt;&gt;"THEORETICAL",ABS(Калькулятор!O4-(Калькулятор!C4*CloseFarPercent/100))&lt;1E-8),"PASS","FAIL")</f>
        <v/>
      </c>
      <c r="C14">
        <f>B14</f>
        <v/>
      </c>
    </row>
    <row r="15">
      <c r="A15" t="inlineStr">
        <is>
          <t>L3 OpenLots=Big+Small</t>
        </is>
      </c>
      <c r="B15">
        <f>IF(ABS(Калькулятор!AF4-(Калькулятор!AD4+Калькулятор!AE4))&lt;1E-8,"PASS","FAIL")</f>
        <v/>
      </c>
      <c r="C15">
        <f>B15</f>
        <v/>
      </c>
    </row>
    <row r="16">
      <c r="A16" t="inlineStr">
        <is>
          <t>L3 Net=ABS(Big-Small)</t>
        </is>
      </c>
      <c r="B16">
        <f>IF(ABS(Калькулятор!AG4-ABS(Калькулятор!AD4-Калькулятор!AE4))&lt;1E-8,"PASS","FAIL")</f>
        <v/>
      </c>
      <c r="C16">
        <f>B16</f>
        <v/>
      </c>
    </row>
    <row r="17">
      <c r="A17" t="inlineStr">
        <is>
          <t>L3 RequiredMargin</t>
        </is>
      </c>
      <c r="B17">
        <f>IF(ABS(Калькулятор!AI4-(Калькулятор!AF4*Калькулятор!AH4))&lt;1E-8,"PASS","FAIL")</f>
        <v/>
      </c>
      <c r="C17">
        <f>B17</f>
        <v/>
      </c>
    </row>
    <row r="18">
      <c r="A18" t="inlineStr">
        <is>
          <t>L4 Actual Close formula</t>
        </is>
      </c>
      <c r="B18">
        <f>IF(OR(CloseMode&lt;&gt;"THEORETICAL",ABS(Калькулятор!O5-(Калькулятор!C5*CloseFarPercent/100))&lt;1E-8),"PASS","FAIL")</f>
        <v/>
      </c>
      <c r="C18">
        <f>B18</f>
        <v/>
      </c>
    </row>
    <row r="19">
      <c r="A19" t="inlineStr">
        <is>
          <t>L4 OpenLots=Big+Small</t>
        </is>
      </c>
      <c r="B19">
        <f>IF(ABS(Калькулятор!AF5-(Калькулятор!AD5+Калькулятор!AE5))&lt;1E-8,"PASS","FAIL")</f>
        <v/>
      </c>
      <c r="C19">
        <f>B19</f>
        <v/>
      </c>
    </row>
    <row r="20">
      <c r="A20" t="inlineStr">
        <is>
          <t>L4 Net=ABS(Big-Small)</t>
        </is>
      </c>
      <c r="B20">
        <f>IF(ABS(Калькулятор!AG5-ABS(Калькулятор!AD5-Калькулятор!AE5))&lt;1E-8,"PASS","FAIL")</f>
        <v/>
      </c>
      <c r="C20">
        <f>B20</f>
        <v/>
      </c>
    </row>
    <row r="21">
      <c r="A21" t="inlineStr">
        <is>
          <t>L4 RequiredMargin</t>
        </is>
      </c>
      <c r="B21">
        <f>IF(ABS(Калькулятор!AI5-(Калькулятор!AF5*Калькулятор!AH5))&lt;1E-8,"PASS","FAIL")</f>
        <v/>
      </c>
      <c r="C21">
        <f>B21</f>
        <v/>
      </c>
    </row>
    <row r="22">
      <c r="A22" t="inlineStr">
        <is>
          <t>L5 Actual Close formula</t>
        </is>
      </c>
      <c r="B22">
        <f>IF(OR(CloseMode&lt;&gt;"THEORETICAL",ABS(Калькулятор!O6-(Калькулятор!C6*CloseFarPercent/100))&lt;1E-8),"PASS","FAIL")</f>
        <v/>
      </c>
      <c r="C22">
        <f>B22</f>
        <v/>
      </c>
    </row>
    <row r="23">
      <c r="A23" t="inlineStr">
        <is>
          <t>L5 OpenLots=Big+Small</t>
        </is>
      </c>
      <c r="B23">
        <f>IF(ABS(Калькулятор!AF6-(Калькулятор!AD6+Калькулятор!AE6))&lt;1E-8,"PASS","FAIL")</f>
        <v/>
      </c>
      <c r="C23">
        <f>B23</f>
        <v/>
      </c>
    </row>
    <row r="24">
      <c r="A24" t="inlineStr">
        <is>
          <t>L5 Net=ABS(Big-Small)</t>
        </is>
      </c>
      <c r="B24">
        <f>IF(ABS(Калькулятор!AG6-ABS(Калькулятор!AD6-Калькулятор!AE6))&lt;1E-8,"PASS","FAIL")</f>
        <v/>
      </c>
      <c r="C24">
        <f>B24</f>
        <v/>
      </c>
    </row>
    <row r="25">
      <c r="A25" t="inlineStr">
        <is>
          <t>L5 RequiredMargin</t>
        </is>
      </c>
      <c r="B25">
        <f>IF(ABS(Калькулятор!AI6-(Калькулятор!AF6*Калькулятор!AH6))&lt;1E-8,"PASS","FAIL")</f>
        <v/>
      </c>
      <c r="C25">
        <f>B25</f>
        <v/>
      </c>
    </row>
    <row r="26">
      <c r="A26" t="inlineStr">
        <is>
          <t>StartLot=2 L1 close=0.6 or SKIP</t>
        </is>
      </c>
      <c r="B26">
        <f>IF(StartLot&lt;&gt;2,"SKIP",IF(AND(CloseMode="THEORETICAL",ABS(Калькулятор!O2-0.6)&lt;1E-8),"PASS","FAIL"))</f>
        <v/>
      </c>
      <c r="C26">
        <f>B26</f>
        <v/>
      </c>
    </row>
    <row r="27">
      <c r="A27" t="inlineStr">
        <is>
          <t>StartLot=2 L2 close=0.3 or SKIP</t>
        </is>
      </c>
      <c r="B27">
        <f>IF(StartLot&lt;&gt;2,"SKIP",IF(AND(CloseMode="THEORETICAL",ABS(Калькулятор!O3-0.3)&lt;1E-8),"PASS","FAIL"))</f>
        <v/>
      </c>
      <c r="C27">
        <f>B27</f>
        <v/>
      </c>
    </row>
    <row r="28">
      <c r="A28" t="inlineStr">
        <is>
          <t>StartLot=2 L3 close=0.15 or SKIP</t>
        </is>
      </c>
      <c r="B28">
        <f>IF(StartLot&lt;&gt;2,"SKIP",IF(AND(CloseMode="THEORETICAL",ABS(Калькулятор!O4-0.15)&lt;1E-8),"PASS","FAIL"))</f>
        <v/>
      </c>
      <c r="C28">
        <f>B28</f>
        <v/>
      </c>
    </row>
    <row r="29">
      <c r="A29" t="inlineStr">
        <is>
          <t>StartLot=2 L4 close=0.075 or SKIP</t>
        </is>
      </c>
      <c r="B29">
        <f>IF(StartLot&lt;&gt;2,"SKIP",IF(AND(CloseMode="THEORETICAL",ABS(Калькулятор!O5-0.075)&lt;1E-8),"PASS","FAIL"))</f>
        <v/>
      </c>
      <c r="C29">
        <f>B29</f>
        <v/>
      </c>
    </row>
    <row r="30">
      <c r="A30" t="inlineStr">
        <is>
          <t>StartLot=2 L5 close=0.0375 or SKIP</t>
        </is>
      </c>
      <c r="B30">
        <f>IF(StartLot&lt;&gt;2,"SKIP",IF(AND(CloseMode="THEORETICAL",ABS(Калькулятор!O6-0.0375)&lt;1E-8),"PASS","FAIL"))</f>
        <v/>
      </c>
      <c r="C30">
        <f>B30</f>
        <v/>
      </c>
    </row>
    <row r="31">
      <c r="A31" t="inlineStr">
        <is>
          <t>Comment contains Big BUY or Big SELL</t>
        </is>
      </c>
      <c r="B31">
        <f>IF(OR(ISNUMBER(SEARCH("Big BUY",Калькулятор!X2)),ISNUMBER(SEARCH("Big SELL",Калькулятор!X2))),"PASS","FAIL")</f>
        <v/>
      </c>
      <c r="C31">
        <f>B31</f>
        <v/>
      </c>
    </row>
    <row r="32">
      <c r="A32" t="inlineStr">
        <is>
          <t>Comment not empty</t>
        </is>
      </c>
      <c r="B32">
        <f>IF(LEN(Калькулятор!X2)&gt;20,"PASS","FAIL")</f>
        <v/>
      </c>
      <c r="C32">
        <f>B32</f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См. MANUAL_RU.md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SELF-COMPRESSING LOCK RECOVERY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2026-05-26T05:38:29Z</dcterms:created>
  <dcterms:modified xsi:type="dcterms:W3CDTF">2026-05-26T05:38:29Z</dcterms:modified>
</cp:coreProperties>
</file>