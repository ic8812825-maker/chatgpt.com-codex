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roker_Params" sheetId="2" state="visible" r:id="rId2"/>
    <sheet name="Symbol_Params" sheetId="3" state="visible" r:id="rId3"/>
    <sheet name="System_Params" sheetId="4" state="visible" r:id="rId4"/>
    <sheet name="Current_Positions" sheetId="5" state="visible" r:id="rId5"/>
    <sheet name="Market_Data" sheetId="6" state="visible" r:id="rId6"/>
    <sheet name="Calculations" sheetId="7" state="visible" r:id="rId7"/>
    <sheet name="Recommendations" sheetId="8" state="visible" r:id="rId8"/>
    <sheet name="Scenario_Up" sheetId="9" state="visible" r:id="rId9"/>
    <sheet name="Scenario_Down" sheetId="10" state="visible" r:id="rId10"/>
    <sheet name="Risk_Control" sheetId="11" state="visible" r:id="rId11"/>
    <sheet name="Trade_Log" sheetId="12" state="visible" r:id="rId12"/>
    <sheet name="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Калькулятор Adaptive Lock EV (демо)</t>
        </is>
      </c>
    </row>
    <row r="2">
      <c r="A2" t="inlineStr">
        <is>
          <t>Назначение: расчет следующего допустимого шага системы.</t>
        </is>
      </c>
    </row>
    <row r="3">
      <c r="A3" t="inlineStr">
        <is>
          <t>Важно: калькулятор не торгует, только рассчитывает.</t>
        </is>
      </c>
    </row>
    <row r="4">
      <c r="A4" t="inlineStr">
        <is>
          <t>Логика следующего шага рассчитывается на листах Calculations/Scenario_Up/Scenario_Down/Recommendations.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  <c r="C1" t="inlineStr">
        <is>
          <t>Комментарий</t>
        </is>
      </c>
    </row>
    <row r="2">
      <c r="A2" t="inlineStr">
        <is>
          <t>Баланс счёта</t>
        </is>
      </c>
      <c r="B2" t="n">
        <v>10000</v>
      </c>
      <c r="C2" t="inlineStr">
        <is>
          <t>Демо</t>
        </is>
      </c>
    </row>
    <row r="3">
      <c r="A3" t="inlineStr">
        <is>
          <t>Эквити</t>
        </is>
      </c>
      <c r="B3" t="n">
        <v>10000</v>
      </c>
      <c r="C3" t="inlineStr">
        <is>
          <t>Демо</t>
        </is>
      </c>
    </row>
    <row r="4">
      <c r="A4" t="inlineStr">
        <is>
          <t>Плечо</t>
        </is>
      </c>
      <c r="B4" t="n">
        <v>100</v>
      </c>
      <c r="C4" t="inlineStr">
        <is>
          <t>1:100</t>
        </is>
      </c>
    </row>
    <row r="5">
      <c r="A5" t="inlineStr">
        <is>
          <t>Спред (пункты)</t>
        </is>
      </c>
      <c r="B5" t="n">
        <v>2</v>
      </c>
      <c r="C5" t="inlineStr">
        <is>
          <t>Демо</t>
        </is>
      </c>
    </row>
    <row r="6">
      <c r="A6" t="inlineStr">
        <is>
          <t>Комиссия за 1 лот</t>
        </is>
      </c>
      <c r="B6" t="n">
        <v>0.5</v>
      </c>
      <c r="C6" t="inlineStr">
        <is>
          <t>Демо</t>
        </is>
      </c>
    </row>
    <row r="7">
      <c r="A7" t="inlineStr">
        <is>
          <t>Проскальзывание (пункты)</t>
        </is>
      </c>
      <c r="B7" t="n">
        <v>1</v>
      </c>
      <c r="C7" t="inlineStr">
        <is>
          <t>Демо</t>
        </is>
      </c>
    </row>
    <row r="8">
      <c r="A8" t="inlineStr">
        <is>
          <t>Своп BUY</t>
        </is>
      </c>
      <c r="B8" t="n">
        <v>0</v>
      </c>
      <c r="C8" t="inlineStr">
        <is>
          <t>Демо</t>
        </is>
      </c>
    </row>
    <row r="9">
      <c r="A9" t="inlineStr">
        <is>
          <t>Своп SELL</t>
        </is>
      </c>
      <c r="B9" t="n">
        <v>0</v>
      </c>
      <c r="C9" t="inlineStr">
        <is>
          <t>Демо</t>
        </is>
      </c>
    </row>
    <row r="10">
      <c r="A10" t="inlineStr">
        <is>
          <t>Маржа на 1 лот</t>
        </is>
      </c>
      <c r="B10" t="n">
        <v>1000</v>
      </c>
      <c r="C10" t="inlineStr">
        <is>
          <t>Демо</t>
        </is>
      </c>
    </row>
    <row r="11">
      <c r="A11" t="inlineStr">
        <is>
          <t>Мин. лот</t>
        </is>
      </c>
      <c r="B11" t="n">
        <v>0.01</v>
      </c>
      <c r="C11" t="inlineStr">
        <is>
          <t>Демо</t>
        </is>
      </c>
    </row>
    <row r="12">
      <c r="A12" t="inlineStr">
        <is>
          <t>Шаг лота</t>
        </is>
      </c>
      <c r="B12" t="n">
        <v>0.01</v>
      </c>
      <c r="C12" t="inlineStr">
        <is>
          <t>Демо</t>
        </is>
      </c>
    </row>
    <row r="13">
      <c r="A13" t="inlineStr">
        <is>
          <t>Макс. лот</t>
        </is>
      </c>
      <c r="B13" t="n">
        <v>100</v>
      </c>
      <c r="C13" t="inlineStr">
        <is>
          <t>Демо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  <c r="C1" t="inlineStr">
        <is>
          <t>Комментарий</t>
        </is>
      </c>
    </row>
    <row r="2">
      <c r="A2" t="inlineStr">
        <is>
          <t>Символ</t>
        </is>
      </c>
      <c r="B2" t="inlineStr">
        <is>
          <t>EURUSD</t>
        </is>
      </c>
      <c r="C2" t="inlineStr">
        <is>
          <t>Демо</t>
        </is>
      </c>
    </row>
    <row r="3">
      <c r="A3" t="inlineStr">
        <is>
          <t>Digits</t>
        </is>
      </c>
      <c r="B3" t="n">
        <v>5</v>
      </c>
      <c r="C3" t="inlineStr">
        <is>
          <t>Точность</t>
        </is>
      </c>
    </row>
    <row r="4">
      <c r="A4" t="inlineStr">
        <is>
          <t>Point</t>
        </is>
      </c>
      <c r="B4" t="n">
        <v>0.0001</v>
      </c>
      <c r="C4" t="inlineStr">
        <is>
          <t>Шаг цены</t>
        </is>
      </c>
    </row>
    <row r="5">
      <c r="A5" t="inlineStr">
        <is>
          <t>Tick Size</t>
        </is>
      </c>
      <c r="B5" t="n">
        <v>0.0001</v>
      </c>
      <c r="C5" t="inlineStr">
        <is>
          <t>Размер тика</t>
        </is>
      </c>
    </row>
    <row r="6">
      <c r="A6" t="inlineStr">
        <is>
          <t>Tick Value</t>
        </is>
      </c>
      <c r="B6" t="n">
        <v>1</v>
      </c>
      <c r="C6" t="inlineStr">
        <is>
          <t>Стоимость тика</t>
        </is>
      </c>
    </row>
    <row r="7">
      <c r="A7" t="inlineStr">
        <is>
          <t>Pip Value 1 Lot</t>
        </is>
      </c>
      <c r="B7" t="n">
        <v>10</v>
      </c>
      <c r="C7" t="inlineStr">
        <is>
          <t>Стоимость пункта</t>
        </is>
      </c>
    </row>
    <row r="8">
      <c r="A8" t="inlineStr">
        <is>
          <t>Contract Size</t>
        </is>
      </c>
      <c r="B8" t="n">
        <v>100000</v>
      </c>
      <c r="C8" t="inlineStr">
        <is>
          <t>Контракт</t>
        </is>
      </c>
    </row>
    <row r="9">
      <c r="A9" t="inlineStr">
        <is>
          <t>ATR Period Short</t>
        </is>
      </c>
      <c r="B9" t="n">
        <v>14</v>
      </c>
      <c r="C9" t="inlineStr">
        <is>
          <t>Демо</t>
        </is>
      </c>
    </row>
    <row r="10">
      <c r="A10" t="inlineStr">
        <is>
          <t>ATR Period Long</t>
        </is>
      </c>
      <c r="B10" t="n">
        <v>100</v>
      </c>
      <c r="C10" t="inlineStr">
        <is>
          <t>Демо</t>
        </is>
      </c>
    </row>
    <row r="11">
      <c r="A11" t="inlineStr">
        <is>
          <t>EMA Period</t>
        </is>
      </c>
      <c r="B11" t="n">
        <v>50</v>
      </c>
      <c r="C11" t="inlineStr">
        <is>
          <t>Демо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Base Lock Buy Lot</t>
        </is>
      </c>
      <c r="B2" t="n">
        <v>0.1</v>
      </c>
    </row>
    <row r="3">
      <c r="A3" t="inlineStr">
        <is>
          <t>Base Lock Sell Lot</t>
        </is>
      </c>
      <c r="B3" t="n">
        <v>0.1</v>
      </c>
    </row>
    <row r="4">
      <c r="A4" t="inlineStr">
        <is>
          <t>Q Min</t>
        </is>
      </c>
      <c r="B4" t="n">
        <v>0.01</v>
      </c>
    </row>
    <row r="5">
      <c r="A5" t="inlineStr">
        <is>
          <t>Q Max</t>
        </is>
      </c>
      <c r="B5" t="n">
        <v>0.02</v>
      </c>
    </row>
    <row r="6">
      <c r="A6" t="inlineStr">
        <is>
          <t>Max Total Lot</t>
        </is>
      </c>
      <c r="B6" t="n">
        <v>0.3</v>
      </c>
    </row>
    <row r="7">
      <c r="A7" t="inlineStr">
        <is>
          <t>Max Exposure</t>
        </is>
      </c>
      <c r="B7" t="n">
        <v>0.05</v>
      </c>
    </row>
    <row r="8">
      <c r="A8" t="inlineStr">
        <is>
          <t>Z Entry Level</t>
        </is>
      </c>
      <c r="B8" t="n">
        <v>1.5</v>
      </c>
    </row>
    <row r="9">
      <c r="A9" t="inlineStr">
        <is>
          <t>V Mean Revert Max</t>
        </is>
      </c>
      <c r="B9" t="n">
        <v>1.2</v>
      </c>
    </row>
    <row r="10">
      <c r="A10" t="inlineStr">
        <is>
          <t>V Volatile Stop</t>
        </is>
      </c>
      <c r="B10" t="n">
        <v>1.5</v>
      </c>
    </row>
    <row r="11">
      <c r="A11" t="inlineStr">
        <is>
          <t>DD Stress Level</t>
        </is>
      </c>
      <c r="B11" t="n">
        <v>0.07000000000000001</v>
      </c>
    </row>
    <row r="12">
      <c r="A12" t="inlineStr">
        <is>
          <t>DD Escape Level</t>
        </is>
      </c>
      <c r="B12" t="n">
        <v>0.15</v>
      </c>
    </row>
    <row r="13">
      <c r="A13" t="inlineStr">
        <is>
          <t>DD Beta Protection</t>
        </is>
      </c>
      <c r="B13" t="n">
        <v>0.1</v>
      </c>
    </row>
    <row r="14">
      <c r="A14" t="inlineStr">
        <is>
          <t>Beta DD Protection</t>
        </is>
      </c>
      <c r="B14" t="n">
        <v>0.8</v>
      </c>
    </row>
    <row r="15">
      <c r="A15" t="inlineStr">
        <is>
          <t>Min EV Required</t>
        </is>
      </c>
      <c r="B15" t="n">
        <v>0</v>
      </c>
    </row>
    <row r="16">
      <c r="A16" t="inlineStr">
        <is>
          <t>Safety Cost Multiplier</t>
        </is>
      </c>
      <c r="B16" t="n">
        <v>1.2</v>
      </c>
    </row>
    <row r="17">
      <c r="A17" t="inlineStr">
        <is>
          <t>Expected Mu</t>
        </is>
      </c>
      <c r="B1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Тип</t>
        </is>
      </c>
      <c r="C1" t="inlineStr">
        <is>
          <t>Лот</t>
        </is>
      </c>
      <c r="D1" t="inlineStr">
        <is>
          <t>Цена открытия</t>
        </is>
      </c>
      <c r="E1" t="inlineStr">
        <is>
          <t>Плавающий PnL</t>
        </is>
      </c>
      <c r="F1" t="inlineStr">
        <is>
          <t>Комментарий</t>
        </is>
      </c>
      <c r="G1" t="inlineStr">
        <is>
          <t>Убыток (USD)</t>
        </is>
      </c>
      <c r="H1" t="inlineStr">
        <is>
          <t>Убыток (пункты)</t>
        </is>
      </c>
      <c r="J1" t="inlineStr">
        <is>
          <t>Сумма BUY</t>
        </is>
      </c>
      <c r="K1">
        <f>SUMIFS(C2:C100,B2:B100,"BUY")</f>
        <v/>
      </c>
    </row>
    <row r="2">
      <c r="A2" t="n">
        <v>1</v>
      </c>
      <c r="B2" t="inlineStr">
        <is>
          <t>BUY</t>
        </is>
      </c>
      <c r="C2" t="n">
        <v>0.01</v>
      </c>
      <c r="D2" t="n">
        <v>1.17385</v>
      </c>
      <c r="E2">
        <f>(Market_Data!B2-D2)/Symbol_Params!B4*C2*Symbol_Params!B7</f>
        <v/>
      </c>
      <c r="F2" t="inlineStr">
        <is>
          <t>минусовой замок</t>
        </is>
      </c>
      <c r="G2" t="n">
        <v>-144.06</v>
      </c>
      <c r="H2" t="inlineStr"/>
      <c r="J2" t="inlineStr">
        <is>
          <t>Сумма SELL</t>
        </is>
      </c>
      <c r="K2">
        <f>SUMIFS(C2:C100,B2:B100,"SELL")</f>
        <v/>
      </c>
    </row>
    <row r="3">
      <c r="A3" t="n">
        <v>2</v>
      </c>
      <c r="B3" t="inlineStr">
        <is>
          <t>SELL</t>
        </is>
      </c>
      <c r="C3" t="n">
        <v>0.01</v>
      </c>
      <c r="D3" t="n">
        <v>1.17175</v>
      </c>
      <c r="E3">
        <f>(D3-Market_Data!B2)/Symbol_Params!B4*C3*Symbol_Params!B7</f>
        <v/>
      </c>
      <c r="F3" t="inlineStr">
        <is>
          <t>противоположная нога</t>
        </is>
      </c>
      <c r="G3" t="inlineStr"/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Текущая цена</t>
        </is>
      </c>
      <c r="B2" t="n">
        <v>1.17193</v>
      </c>
    </row>
    <row r="3">
      <c r="A3" t="inlineStr">
        <is>
          <t>EMA</t>
        </is>
      </c>
      <c r="B3" t="n">
        <v>1.1726</v>
      </c>
    </row>
    <row r="4">
      <c r="A4" t="inlineStr">
        <is>
          <t>ATR Short</t>
        </is>
      </c>
      <c r="B4" t="n">
        <v>0.0018</v>
      </c>
    </row>
    <row r="5">
      <c r="A5" t="inlineStr">
        <is>
          <t>ATR Long</t>
        </is>
      </c>
      <c r="B5" t="n">
        <v>0.0024</v>
      </c>
    </row>
    <row r="6">
      <c r="A6" t="inlineStr">
        <is>
          <t>Текущий DD</t>
        </is>
      </c>
      <c r="B6" t="n">
        <v>0.02</v>
      </c>
    </row>
    <row r="7">
      <c r="A7" t="inlineStr">
        <is>
          <t>Последний PnL 10 циклов</t>
        </is>
      </c>
      <c r="B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>
        <f>(Market_Data!B2-Market_Data!B3)/Market_Data!B4</f>
        <v/>
      </c>
    </row>
    <row r="2">
      <c r="A2" t="inlineStr">
        <is>
          <t>V</t>
        </is>
      </c>
      <c r="B2">
        <f>Market_Data!B4/Market_Data!B5</f>
        <v/>
      </c>
    </row>
    <row r="3">
      <c r="A3" t="inlineStr">
        <is>
          <t>Regime</t>
        </is>
      </c>
      <c r="B3">
        <f>IF(B2&gt;System_Params!B10,"VOLATILE",IF(B2&lt;System_Params!B9,"MEAN_REVERT","NEUTRAL"))</f>
        <v/>
      </c>
    </row>
    <row r="4">
      <c r="A4" t="inlineStr">
        <is>
          <t>Confidence</t>
        </is>
      </c>
      <c r="B4">
        <f>MIN(ABS(B1)/2,1)</f>
        <v/>
      </c>
    </row>
    <row r="5">
      <c r="A5" t="inlineStr">
        <is>
          <t>Q</t>
        </is>
      </c>
      <c r="B5">
        <f>MIN(MAX(System_Params!B4+System_Params!B4*B4,System_Params!B4),System_Params!B5)</f>
        <v/>
      </c>
    </row>
    <row r="6">
      <c r="A6" t="inlineStr">
        <is>
          <t>Q adj</t>
        </is>
      </c>
      <c r="B6">
        <f>IF(B3="NEUTRAL",B5*0.5,IF(B3="VOLATILE",0,B5))</f>
        <v/>
      </c>
    </row>
    <row r="7">
      <c r="A7" t="inlineStr">
        <is>
          <t>Beta</t>
        </is>
      </c>
      <c r="B7">
        <f>IF(Market_Data!B6&gt;System_Params!B13,System_Params!B14,0.7-0.4*B4)</f>
        <v/>
      </c>
    </row>
    <row r="8">
      <c r="A8" t="inlineStr">
        <is>
          <t>Cost</t>
        </is>
      </c>
      <c r="B8">
        <f>(Broker_Params!B5*B6*Symbol_Params!B7)+(Broker_Params!B6*B6)+(Broker_Params!B7*B6*Symbol_Params!B7)</f>
        <v/>
      </c>
    </row>
    <row r="9">
      <c r="A9" t="inlineStr">
        <is>
          <t>EV</t>
        </is>
      </c>
      <c r="B9">
        <f>(System_Params!B17*B6*Symbol_Params!B7)-B8</f>
        <v/>
      </c>
    </row>
    <row r="10">
      <c r="A10" t="inlineStr">
        <is>
          <t>MinMovePoints</t>
        </is>
      </c>
      <c r="B10">
        <f>(B8*System_Params!B16)/(B6*Symbol_Params!B7)</f>
        <v/>
      </c>
    </row>
    <row r="11">
      <c r="A11" t="inlineStr">
        <is>
          <t>MinMovePrice</t>
        </is>
      </c>
      <c r="B11">
        <f>B10*Symbol_Params!B4</f>
        <v/>
      </c>
    </row>
    <row r="12">
      <c r="A12" t="inlineStr">
        <is>
          <t>TotalLot</t>
        </is>
      </c>
      <c r="B12">
        <f>Current_Positions!K1+Current_Positions!K2</f>
        <v/>
      </c>
    </row>
    <row r="13">
      <c r="A13" t="inlineStr">
        <is>
          <t>Exposure</t>
        </is>
      </c>
      <c r="B13">
        <f>ABS(Current_Positions!K1-Current_Positions!K2)</f>
        <v/>
      </c>
    </row>
    <row r="14">
      <c r="A14" t="inlineStr">
        <is>
          <t>RiskOK</t>
        </is>
      </c>
      <c r="B14">
        <f>IF(AND(B12&lt;=System_Params!B6,B13&lt;=System_Params!B7),"YES","NO")</f>
        <v/>
      </c>
    </row>
    <row r="15">
      <c r="A15" t="inlineStr">
        <is>
          <t>EV_OK</t>
        </is>
      </c>
      <c r="B15">
        <f>IF(B9&gt;System_Params!B15,"ALLOW","BLOCK")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Action</t>
        </is>
      </c>
      <c r="C1" t="inlineStr">
        <is>
          <t>Type</t>
        </is>
      </c>
      <c r="D1" t="inlineStr">
        <is>
          <t>Price</t>
        </is>
      </c>
      <c r="E1" t="inlineStr">
        <is>
          <t>Lot</t>
        </is>
      </c>
      <c r="F1" t="inlineStr">
        <is>
          <t>Comment</t>
        </is>
      </c>
    </row>
    <row r="2">
      <c r="A2" t="inlineStr">
        <is>
          <t>UP</t>
        </is>
      </c>
      <c r="B2">
        <f>Scenario_Up!B2</f>
        <v/>
      </c>
      <c r="C2">
        <f>Scenario_Up!B3</f>
        <v/>
      </c>
      <c r="D2">
        <f>Scenario_Up!B1</f>
        <v/>
      </c>
      <c r="E2">
        <f>Scenario_Up!B4</f>
        <v/>
      </c>
      <c r="F2">
        <f>Scenario_Up!B5</f>
        <v/>
      </c>
    </row>
    <row r="3">
      <c r="A3" t="inlineStr">
        <is>
          <t>DOWN</t>
        </is>
      </c>
      <c r="B3">
        <f>Scenario_Down!B2</f>
        <v/>
      </c>
      <c r="C3">
        <f>Scenario_Down!B3</f>
        <v/>
      </c>
      <c r="D3">
        <f>Scenario_Down!B1</f>
        <v/>
      </c>
      <c r="E3">
        <f>Scenario_Down!B4</f>
        <v/>
      </c>
      <c r="F3">
        <f>Scenario_Down!B5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TriggerUp</t>
        </is>
      </c>
      <c r="B1">
        <f>Market_Data!B2+Calculations!B11</f>
        <v/>
      </c>
    </row>
    <row r="2">
      <c r="A2" t="inlineStr">
        <is>
          <t>Action</t>
        </is>
      </c>
      <c r="B2">
        <f>IF(AND(Calculations!B1&gt;System_Params!B8,Calculations!B3="MEAN_REVERT",Calculations!B14="YES",Calculations!B15="ALLOW"),"OPEN","NO_ACTION")</f>
        <v/>
      </c>
    </row>
    <row r="3">
      <c r="A3" t="inlineStr">
        <is>
          <t>Type</t>
        </is>
      </c>
      <c r="B3">
        <f>IF(B2="OPEN","SELL","")</f>
        <v/>
      </c>
    </row>
    <row r="4">
      <c r="A4" t="inlineStr">
        <is>
          <t>Lot</t>
        </is>
      </c>
      <c r="B4">
        <f>IF(B2="OPEN",Calculations!B6,0)</f>
        <v/>
      </c>
    </row>
    <row r="5">
      <c r="A5" t="inlineStr">
        <is>
          <t>Comment</t>
        </is>
      </c>
      <c r="B5">
        <f>IF(B2="OPEN","Mean reversion SELL","Блокировка условий")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TriggerDown</t>
        </is>
      </c>
      <c r="B1">
        <f>Market_Data!B2-Calculations!B11</f>
        <v/>
      </c>
    </row>
    <row r="2">
      <c r="A2" t="inlineStr">
        <is>
          <t>Action</t>
        </is>
      </c>
      <c r="B2">
        <f>IF(AND(Calculations!B1&lt;-System_Params!B8,Calculations!B3="MEAN_REVERT",Calculations!B14="YES",Calculations!B15="ALLOW"),"OPEN","NO_ACTION")</f>
        <v/>
      </c>
    </row>
    <row r="3">
      <c r="A3" t="inlineStr">
        <is>
          <t>Type</t>
        </is>
      </c>
      <c r="B3">
        <f>IF(B2="OPEN","BUY","")</f>
        <v/>
      </c>
    </row>
    <row r="4">
      <c r="A4" t="inlineStr">
        <is>
          <t>Lot</t>
        </is>
      </c>
      <c r="B4">
        <f>IF(B2="OPEN",Calculations!B6,0)</f>
        <v/>
      </c>
    </row>
    <row r="5">
      <c r="A5" t="inlineStr">
        <is>
          <t>Comment</t>
        </is>
      </c>
      <c r="B5">
        <f>IF(B2="OPEN","Mean reversion BUY","Блокировка условий")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Демо-данные заполнены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Демо-данные заполнены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Демо-данные заполнены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2026-05-03T14:24:00Z</dcterms:created>
  <dcterms:modified xsi:type="dcterms:W3CDTF">2026-05-03T14:24:00Z</dcterms:modified>
</cp:coreProperties>
</file>