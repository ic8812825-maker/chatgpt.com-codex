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roker_Params" sheetId="2" state="visible" r:id="rId2"/>
    <sheet name="Symbol_Params" sheetId="3" state="visible" r:id="rId3"/>
    <sheet name="System_Params" sheetId="4" state="visible" r:id="rId4"/>
    <sheet name="Current_Positions" sheetId="5" state="visible" r:id="rId5"/>
    <sheet name="Market_Data" sheetId="6" state="visible" r:id="rId6"/>
    <sheet name="Calculations" sheetId="7" state="visible" r:id="rId7"/>
    <sheet name="Recommendations" sheetId="8" state="visible" r:id="rId8"/>
    <sheet name="Scenario_Up" sheetId="9" state="visible" r:id="rId9"/>
    <sheet name="Scenario_Down" sheetId="10" state="visible" r:id="rId10"/>
    <sheet name="Risk_Control" sheetId="11" state="visible" r:id="rId11"/>
    <sheet name="Trade_Log" sheetId="12" state="visible" r:id="rId12"/>
    <sheet name="Change_Log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Калькулятор Adaptive Lock EV (демо)</t>
        </is>
      </c>
    </row>
    <row r="2">
      <c r="A2" t="inlineStr">
        <is>
          <t>Назначение: расчет следующего допустимого шага системы.</t>
        </is>
      </c>
    </row>
    <row r="3">
      <c r="A3" t="inlineStr">
        <is>
          <t>Важно: калькулятор не торгует, только рассчитывает.</t>
        </is>
      </c>
    </row>
    <row r="5">
      <c r="A5" t="inlineStr">
        <is>
          <t>Все параметры ниже заполнены демо-данными на русском языке.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</t>
        </is>
      </c>
      <c r="B1" t="inlineStr">
        <is>
          <t>Значение</t>
        </is>
      </c>
      <c r="C1" t="inlineStr">
        <is>
          <t>Комментарий</t>
        </is>
      </c>
    </row>
    <row r="2">
      <c r="A2" t="inlineStr">
        <is>
          <t>Баланс счёта</t>
        </is>
      </c>
      <c r="B2" t="n">
        <v>10000</v>
      </c>
      <c r="C2" t="inlineStr">
        <is>
          <t>Демо</t>
        </is>
      </c>
    </row>
    <row r="3">
      <c r="A3" t="inlineStr">
        <is>
          <t>Эквити</t>
        </is>
      </c>
      <c r="B3" t="n">
        <v>10000</v>
      </c>
      <c r="C3" t="inlineStr">
        <is>
          <t>Демо</t>
        </is>
      </c>
    </row>
    <row r="4">
      <c r="A4" t="inlineStr">
        <is>
          <t>Плечо</t>
        </is>
      </c>
      <c r="B4" t="n">
        <v>100</v>
      </c>
      <c r="C4" t="inlineStr">
        <is>
          <t>1:100</t>
        </is>
      </c>
    </row>
    <row r="5">
      <c r="A5" t="inlineStr">
        <is>
          <t>Спред (пункты)</t>
        </is>
      </c>
      <c r="B5" t="n">
        <v>2</v>
      </c>
      <c r="C5" t="inlineStr">
        <is>
          <t>Демо</t>
        </is>
      </c>
    </row>
    <row r="6">
      <c r="A6" t="inlineStr">
        <is>
          <t>Комиссия за 1 лот</t>
        </is>
      </c>
      <c r="B6" t="n">
        <v>0.5</v>
      </c>
      <c r="C6" t="inlineStr">
        <is>
          <t>Демо</t>
        </is>
      </c>
    </row>
    <row r="7">
      <c r="A7" t="inlineStr">
        <is>
          <t>Проскальзывание (пункты)</t>
        </is>
      </c>
      <c r="B7" t="n">
        <v>1</v>
      </c>
      <c r="C7" t="inlineStr">
        <is>
          <t>Демо</t>
        </is>
      </c>
    </row>
    <row r="8">
      <c r="A8" t="inlineStr">
        <is>
          <t>Своп BUY</t>
        </is>
      </c>
      <c r="B8" t="n">
        <v>0</v>
      </c>
      <c r="C8" t="inlineStr">
        <is>
          <t>Демо</t>
        </is>
      </c>
    </row>
    <row r="9">
      <c r="A9" t="inlineStr">
        <is>
          <t>Своп SELL</t>
        </is>
      </c>
      <c r="B9" t="n">
        <v>0</v>
      </c>
      <c r="C9" t="inlineStr">
        <is>
          <t>Демо</t>
        </is>
      </c>
    </row>
    <row r="10">
      <c r="A10" t="inlineStr">
        <is>
          <t>Маржа на 1 лот</t>
        </is>
      </c>
      <c r="B10" t="n">
        <v>1000</v>
      </c>
      <c r="C10" t="inlineStr">
        <is>
          <t>Демо</t>
        </is>
      </c>
    </row>
    <row r="11">
      <c r="A11" t="inlineStr">
        <is>
          <t>Мин. лот</t>
        </is>
      </c>
      <c r="B11" t="n">
        <v>0.01</v>
      </c>
      <c r="C11" t="inlineStr">
        <is>
          <t>Демо</t>
        </is>
      </c>
    </row>
    <row r="12">
      <c r="A12" t="inlineStr">
        <is>
          <t>Шаг лота</t>
        </is>
      </c>
      <c r="B12" t="n">
        <v>0.01</v>
      </c>
      <c r="C12" t="inlineStr">
        <is>
          <t>Демо</t>
        </is>
      </c>
    </row>
    <row r="13">
      <c r="A13" t="inlineStr">
        <is>
          <t>Макс. лот</t>
        </is>
      </c>
      <c r="B13" t="n">
        <v>100</v>
      </c>
      <c r="C13" t="inlineStr">
        <is>
          <t>Демо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</t>
        </is>
      </c>
      <c r="B1" t="inlineStr">
        <is>
          <t>Значение</t>
        </is>
      </c>
      <c r="C1" t="inlineStr">
        <is>
          <t>Комментарий</t>
        </is>
      </c>
    </row>
    <row r="2">
      <c r="A2" t="inlineStr">
        <is>
          <t>Символ</t>
        </is>
      </c>
      <c r="B2" t="inlineStr">
        <is>
          <t>EURUSD</t>
        </is>
      </c>
      <c r="C2" t="inlineStr">
        <is>
          <t>Демо</t>
        </is>
      </c>
    </row>
    <row r="3">
      <c r="A3" t="inlineStr">
        <is>
          <t>Digits</t>
        </is>
      </c>
      <c r="B3" t="n">
        <v>5</v>
      </c>
      <c r="C3" t="inlineStr">
        <is>
          <t>Точность</t>
        </is>
      </c>
    </row>
    <row r="4">
      <c r="A4" t="inlineStr">
        <is>
          <t>Point</t>
        </is>
      </c>
      <c r="B4" t="n">
        <v>0.0001</v>
      </c>
      <c r="C4" t="inlineStr">
        <is>
          <t>Шаг цены</t>
        </is>
      </c>
    </row>
    <row r="5">
      <c r="A5" t="inlineStr">
        <is>
          <t>Tick Size</t>
        </is>
      </c>
      <c r="B5" t="n">
        <v>0.0001</v>
      </c>
      <c r="C5" t="inlineStr">
        <is>
          <t>Размер тика</t>
        </is>
      </c>
    </row>
    <row r="6">
      <c r="A6" t="inlineStr">
        <is>
          <t>Tick Value</t>
        </is>
      </c>
      <c r="B6" t="n">
        <v>1</v>
      </c>
      <c r="C6" t="inlineStr">
        <is>
          <t>Стоимость тика</t>
        </is>
      </c>
    </row>
    <row r="7">
      <c r="A7" t="inlineStr">
        <is>
          <t>Pip Value 1 Lot</t>
        </is>
      </c>
      <c r="B7" t="n">
        <v>10</v>
      </c>
      <c r="C7" t="inlineStr">
        <is>
          <t>Стоимость пункта</t>
        </is>
      </c>
    </row>
    <row r="8">
      <c r="A8" t="inlineStr">
        <is>
          <t>Contract Size</t>
        </is>
      </c>
      <c r="B8" t="n">
        <v>100000</v>
      </c>
      <c r="C8" t="inlineStr">
        <is>
          <t>Контракт</t>
        </is>
      </c>
    </row>
    <row r="9">
      <c r="A9" t="inlineStr">
        <is>
          <t>ATR Period Short</t>
        </is>
      </c>
      <c r="B9" t="n">
        <v>14</v>
      </c>
      <c r="C9" t="inlineStr">
        <is>
          <t>Демо</t>
        </is>
      </c>
    </row>
    <row r="10">
      <c r="A10" t="inlineStr">
        <is>
          <t>ATR Period Long</t>
        </is>
      </c>
      <c r="B10" t="n">
        <v>100</v>
      </c>
      <c r="C10" t="inlineStr">
        <is>
          <t>Демо</t>
        </is>
      </c>
    </row>
    <row r="11">
      <c r="A11" t="inlineStr">
        <is>
          <t>EMA Period</t>
        </is>
      </c>
      <c r="B11" t="n">
        <v>50</v>
      </c>
      <c r="C11" t="inlineStr">
        <is>
          <t>Демо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</t>
        </is>
      </c>
      <c r="B1" t="inlineStr">
        <is>
          <t>Значение</t>
        </is>
      </c>
    </row>
    <row r="2">
      <c r="A2" t="inlineStr">
        <is>
          <t>Base Lock Buy Lot</t>
        </is>
      </c>
      <c r="B2" t="n">
        <v>0.1</v>
      </c>
    </row>
    <row r="3">
      <c r="A3" t="inlineStr">
        <is>
          <t>Base Lock Sell Lot</t>
        </is>
      </c>
      <c r="B3" t="n">
        <v>0.1</v>
      </c>
    </row>
    <row r="4">
      <c r="A4" t="inlineStr">
        <is>
          <t>Q Min</t>
        </is>
      </c>
      <c r="B4" t="n">
        <v>0.01</v>
      </c>
    </row>
    <row r="5">
      <c r="A5" t="inlineStr">
        <is>
          <t>Q Max</t>
        </is>
      </c>
      <c r="B5" t="n">
        <v>0.02</v>
      </c>
    </row>
    <row r="6">
      <c r="A6" t="inlineStr">
        <is>
          <t>Max Total Lot</t>
        </is>
      </c>
      <c r="B6" t="n">
        <v>0.3</v>
      </c>
    </row>
    <row r="7">
      <c r="A7" t="inlineStr">
        <is>
          <t>Max Exposure</t>
        </is>
      </c>
      <c r="B7" t="n">
        <v>0.05</v>
      </c>
    </row>
    <row r="8">
      <c r="A8" t="inlineStr">
        <is>
          <t>Z Entry Level</t>
        </is>
      </c>
      <c r="B8" t="n">
        <v>1.5</v>
      </c>
    </row>
    <row r="9">
      <c r="A9" t="inlineStr">
        <is>
          <t>V Mean Revert Max</t>
        </is>
      </c>
      <c r="B9" t="n">
        <v>1.2</v>
      </c>
    </row>
    <row r="10">
      <c r="A10" t="inlineStr">
        <is>
          <t>V Volatile Stop</t>
        </is>
      </c>
      <c r="B10" t="n">
        <v>1.5</v>
      </c>
    </row>
    <row r="11">
      <c r="A11" t="inlineStr">
        <is>
          <t>DD Stress Level</t>
        </is>
      </c>
      <c r="B11" t="n">
        <v>0.07000000000000001</v>
      </c>
    </row>
    <row r="12">
      <c r="A12" t="inlineStr">
        <is>
          <t>DD Escape Level</t>
        </is>
      </c>
      <c r="B12" t="n">
        <v>0.15</v>
      </c>
    </row>
    <row r="13">
      <c r="A13" t="inlineStr">
        <is>
          <t>DD Beta Protection</t>
        </is>
      </c>
      <c r="B13" t="n">
        <v>0.1</v>
      </c>
    </row>
    <row r="14">
      <c r="A14" t="inlineStr">
        <is>
          <t>Beta Min</t>
        </is>
      </c>
      <c r="B14" t="n">
        <v>0.3</v>
      </c>
    </row>
    <row r="15">
      <c r="A15" t="inlineStr">
        <is>
          <t>Beta Max</t>
        </is>
      </c>
      <c r="B15" t="n">
        <v>0.7</v>
      </c>
    </row>
    <row r="16">
      <c r="A16" t="inlineStr">
        <is>
          <t>Beta DD Protection</t>
        </is>
      </c>
      <c r="B16" t="n">
        <v>0.8</v>
      </c>
    </row>
    <row r="17">
      <c r="A17" t="inlineStr">
        <is>
          <t>Min EV Required</t>
        </is>
      </c>
      <c r="B17" t="n">
        <v>0</v>
      </c>
    </row>
    <row r="18">
      <c r="A18" t="inlineStr">
        <is>
          <t>Safety Cost Multiplier</t>
        </is>
      </c>
      <c r="B18" t="n">
        <v>1.2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Параметр</t>
        </is>
      </c>
      <c r="B1" t="inlineStr">
        <is>
          <t>Значение</t>
        </is>
      </c>
    </row>
    <row r="2">
      <c r="A2" t="inlineStr">
        <is>
          <t>Текущая цена</t>
        </is>
      </c>
      <c r="B2" t="n">
        <v>1.1</v>
      </c>
    </row>
    <row r="3">
      <c r="A3" t="inlineStr">
        <is>
          <t>EMA</t>
        </is>
      </c>
      <c r="B3" t="n">
        <v>1.0985</v>
      </c>
    </row>
    <row r="4">
      <c r="A4" t="inlineStr">
        <is>
          <t>ATR Short</t>
        </is>
      </c>
      <c r="B4" t="n">
        <v>0.0018</v>
      </c>
    </row>
    <row r="5">
      <c r="A5" t="inlineStr">
        <is>
          <t>ATR Long</t>
        </is>
      </c>
      <c r="B5" t="n">
        <v>0.002</v>
      </c>
    </row>
    <row r="6">
      <c r="A6" t="inlineStr">
        <is>
          <t>Текущий DD</t>
        </is>
      </c>
      <c r="B6" t="n">
        <v>0.02</v>
      </c>
    </row>
    <row r="7">
      <c r="A7" t="inlineStr">
        <is>
          <t>Последний PnL 10 циклов</t>
        </is>
      </c>
      <c r="B7" t="n">
        <v>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Z</t>
        </is>
      </c>
      <c r="B1">
        <f>(Market_Data!B2-Market_Data!B3)/Market_Data!B4</f>
        <v/>
      </c>
    </row>
    <row r="2">
      <c r="A2" t="inlineStr">
        <is>
          <t>V</t>
        </is>
      </c>
      <c r="B2">
        <f>Market_Data!B4/Market_Data!B5</f>
        <v/>
      </c>
    </row>
    <row r="3">
      <c r="A3" t="inlineStr">
        <is>
          <t>Confidence</t>
        </is>
      </c>
      <c r="B3">
        <f>MIN(ABS(B1)/2,1)</f>
        <v/>
      </c>
    </row>
    <row r="4">
      <c r="A4" t="inlineStr">
        <is>
          <t>Q</t>
        </is>
      </c>
      <c r="B4">
        <f>MIN(MAX(System_Params!B4+System_Params!B4*B3,System_Params!B4),System_Params!B5)</f>
        <v/>
      </c>
    </row>
    <row r="5">
      <c r="A5" t="inlineStr">
        <is>
          <t>Beta</t>
        </is>
      </c>
      <c r="B5">
        <f>IF(Market_Data!B6&gt;System_Params!B13,System_Params!B17,0.7-0.4*B3)</f>
        <v/>
      </c>
    </row>
    <row r="6">
      <c r="A6" t="inlineStr">
        <is>
          <t>Cost</t>
        </is>
      </c>
      <c r="B6">
        <f>(Broker_Params!B5*B4*Symbol_Params!B7)+(Broker_Params!B6*B4)+(Broker_Params!B7*B4*Symbol_Params!B7)</f>
        <v/>
      </c>
    </row>
    <row r="7">
      <c r="A7" t="inlineStr">
        <is>
          <t>EV</t>
        </is>
      </c>
      <c r="B7">
        <f>(6*B4*Symbol_Params!B7)-B6</f>
        <v/>
      </c>
    </row>
    <row r="8">
      <c r="A8" t="inlineStr">
        <is>
          <t>MinMovePoints</t>
        </is>
      </c>
      <c r="B8">
        <f>(B6*System_Params!B19)/(B4*Symbol_Params!B7)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Демо-данные заполнены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2026-05-03T13:35:06Z</dcterms:created>
  <dcterms:modified xsi:type="dcterms:W3CDTF">2026-05-03T13:35:06Z</dcterms:modified>
</cp:coreProperties>
</file>