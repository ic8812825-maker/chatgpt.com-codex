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2" customWidth="1" min="3" max="3"/>
    <col width="24" customWidth="1" min="5" max="5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 t="n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 t="n">
        <v>1.15</v>
      </c>
      <c r="C3" s="3" t="inlineStr">
        <is>
          <t>Big = FarStart × 115%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 t="n">
        <v>0.38</v>
      </c>
      <c r="C4" s="3" t="inlineStr">
        <is>
          <t>Small = Big × 38%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 t="n">
        <v>0.2</v>
      </c>
      <c r="C5" s="3" t="inlineStr">
        <is>
          <t>максимум 20% чистой прибыли на хвост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 t="n">
        <v>0.8</v>
      </c>
      <c r="C6" s="3" t="inlineStr">
        <is>
          <t>80%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 t="n">
        <v>0.22</v>
      </c>
      <c r="C7" s="3" t="inlineStr">
        <is>
          <t>закрытие Big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 t="n">
        <v>0.78</v>
      </c>
      <c r="C8" s="3" t="inlineStr">
        <is>
          <t>остаток Big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 t="n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 t="n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 t="n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 t="n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 t="n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 t="n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 t="n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 t="n">
        <v>1.2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 t="n">
        <v>0.45</v>
      </c>
      <c r="C17" s="3" t="inlineStr">
        <is>
          <t>лимит Small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IF($B3="BLOCKED",IF($BB3&gt;0,$BB3,$BA3),IF($B3="SMALL_SIDE",$AM3,$W3))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IF(AND($AQ3="MANUAL_READY",$BG3="YES"),"SMALL_SIDE",IF(OR($AP3="NO",$AQ3="DUAL_TAIL",$AQ3="DANGER",$AQ3="STOP",$AQ3="MANUAL_READY",$AQ3="STOP_CLEARED"),"BLOCKED","SMALL_SIDE"))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80</v>
      </c>
      <c r="L4" s="13" t="n">
        <v>60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IF($B4="BIG_SIDE",IF($AX4&gt;0,$AX4-$AS4,0),IF($S4&gt;0,$S4*0.5,0))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YES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>
        <f>IF(AND($AQ4="MANUAL_READY",$BG4="YES"),"BIG_SIDE",IF(OR($AP4="NO",$AQ4="DUAL_TAIL",$AQ4="DANGER",$AQ4="STOP",$AQ4="MANUAL_READY",$AQ4="STOP_CLEARED"),"BLOCKED","BIG_SIDE"))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IF($B5="BIG_SIDE",IF($AX5&gt;0,$AX5-$AS5,0),IF($S5&gt;0,$S5*0.5,0))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IF($B5="BLOCKED",IF($BB5&gt;0,$BB5,$BA5),IF($B5="SMALL_SIDE",$AM5,$W5))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/>
      </c>
      <c r="O6" s="14">
        <f>IF($B6="SMALL_SIDE",$J6*ABS($L6)*Settings!$B$9,0)</f>
        <v/>
      </c>
      <c r="P6" s="15">
        <f>IF($B6="BIG_SIDE",$J6*ABS($L6)*Settings!$B$9,0)</f>
        <v/>
      </c>
      <c r="Q6" s="15">
        <f>IF($B6="SMALL_SIDE",$AL6*ABS($K6)*Settings!$B$9,0)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MAX(0,$M6*Settings!$B$9)</f>
        <v/>
      </c>
      <c r="V6" s="12">
        <f>IF($B6="BIG_SIDE",IFERROR(MIN($D6,MAX(0,$T6/$U6)),0),0)</f>
        <v/>
      </c>
      <c r="W6" s="12">
        <f>IF($B6="BIG_SIDE",MAX(0,$D6-$V6),$AJ6)</f>
        <v/>
      </c>
      <c r="X6" s="19">
        <f>IF($B6="BIG_SIDE",IF($AX6&gt;0,$AX6-$AS6,0),IF($S6&gt;0,$S6*0.5,0))</f>
        <v/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/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>
        <f>IF(AND($AQ6="MANUAL_READY",$BG6="YES"),"SMALL_SIDE",IF(OR($AP6="NO",$AQ6="DUAL_TAIL",$AQ6="DANGER",$AQ6="STOP",$AQ6="MANUAL_READY",$AQ6="STOP_CLEARED"),"BLOCKED","SMALL_SIDE"))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/>
      </c>
      <c r="O7" s="14">
        <f>IF($B7="SMALL_SIDE",$J7*ABS($L7)*Settings!$B$9,0)</f>
        <v/>
      </c>
      <c r="P7" s="15">
        <f>IF($B7="BIG_SIDE",$J7*ABS($L7)*Settings!$B$9,0)</f>
        <v/>
      </c>
      <c r="Q7" s="15">
        <f>IF($B7="SMALL_SIDE",$AL7*ABS($K7)*Settings!$B$9,0)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MAX(0,$M7*Settings!$B$9)</f>
        <v/>
      </c>
      <c r="V7" s="12">
        <f>IF($B7="BIG_SIDE",IFERROR(MIN($D7,MAX(0,$T7/$U7)),0),0)</f>
        <v/>
      </c>
      <c r="W7" s="12">
        <f>IF($B7="BIG_SIDE",MAX(0,$D7-$V7),$AJ7)</f>
        <v/>
      </c>
      <c r="X7" s="19">
        <f>IF($B7="BIG_SIDE",IF($AX7&gt;0,$AX7-$AS7,0),IF($S7&gt;0,$S7*0.5,0))</f>
        <v/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/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/>
      </c>
      <c r="O8" s="14">
        <f>IF($B8="SMALL_SIDE",$J8*ABS($L8)*Settings!$B$9,0)</f>
        <v/>
      </c>
      <c r="P8" s="15">
        <f>IF($B8="BIG_SIDE",$J8*ABS($L8)*Settings!$B$9,0)</f>
        <v/>
      </c>
      <c r="Q8" s="15">
        <f>IF($B8="SMALL_SIDE",$AL8*ABS($K8)*Settings!$B$9,0)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MAX(0,$M8*Settings!$B$9)</f>
        <v/>
      </c>
      <c r="V8" s="12">
        <f>IF($B8="BIG_SIDE",IFERROR(MIN($D8,MAX(0,$T8/$U8)),0),0)</f>
        <v/>
      </c>
      <c r="W8" s="12">
        <f>IF($B8="BIG_SIDE",MAX(0,$D8-$V8),$AJ8)</f>
        <v/>
      </c>
      <c r="X8" s="19">
        <f>IF($B8="BIG_SIDE",IF($AX8&gt;0,$AX8-$AS8,0),IF($S8&gt;0,$S8*0.5,0))</f>
        <v/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/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>
        <f>IF(AND($AQ8="MANUAL_READY",$BG8="YES"),"BIG_SIDE",IF(OR($AP8="NO",$AQ8="DUAL_TAIL",$AQ8="DANGER",$AQ8="STOP",$AQ8="MANUAL_READY",$AQ8="STOP_CLEARED"),"BLOCKED","BIG_SIDE"))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/>
      </c>
      <c r="O9" s="14">
        <f>IF($B9="SMALL_SIDE",$J9*ABS($L9)*Settings!$B$9,0)</f>
        <v/>
      </c>
      <c r="P9" s="15">
        <f>IF($B9="BIG_SIDE",$J9*ABS($L9)*Settings!$B$9,0)</f>
        <v/>
      </c>
      <c r="Q9" s="15">
        <f>IF($B9="SMALL_SIDE",$AL9*ABS($K9)*Settings!$B$9,0)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MAX(0,$M9*Settings!$B$9)</f>
        <v/>
      </c>
      <c r="V9" s="12">
        <f>IF($B9="BIG_SIDE",IFERROR(MIN($D9,MAX(0,$T9/$U9)),0),0)</f>
        <v/>
      </c>
      <c r="W9" s="12">
        <f>IF($B9="BIG_SIDE",MAX(0,$D9-$V9),$AJ9)</f>
        <v/>
      </c>
      <c r="X9" s="19">
        <f>IF($B9="BIG_SIDE",IF($AX9&gt;0,$AX9-$AS9,0),IF($S9&gt;0,$S9*0.5,0))</f>
        <v/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/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>
        <f>IF(AND($AQ9="MANUAL_READY",$BG9="YES"),"BIG_SIDE",IF(OR($AP9="NO",$AQ9="DUAL_TAIL",$AQ9="DANGER",$AQ9="STOP",$AQ9="MANUAL_READY",$AQ9="STOP_CLEARED"),"BLOCKED","BIG_SIDE"))</f>
        <v/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/>
      </c>
      <c r="O10" s="14">
        <f>IF($B10="SMALL_SIDE",$J10*ABS($L10)*Settings!$B$9,0)</f>
        <v/>
      </c>
      <c r="P10" s="15">
        <f>IF($B10="BIG_SIDE",$J10*ABS($L10)*Settings!$B$9,0)</f>
        <v/>
      </c>
      <c r="Q10" s="15">
        <f>IF($B10="SMALL_SIDE",$AL10*ABS($K10)*Settings!$B$9,0)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MAX(0,$M10*Settings!$B$9)</f>
        <v/>
      </c>
      <c r="V10" s="12">
        <f>IF($B10="BIG_SIDE",IFERROR(MIN($D10,MAX(0,$T10/$U10)),0),0)</f>
        <v/>
      </c>
      <c r="W10" s="12">
        <f>IF($B10="BIG_SIDE",MAX(0,$D10-$V10),$AJ10)</f>
        <v/>
      </c>
      <c r="X10" s="19">
        <f>IF($B10="BIG_SIDE",IF($AX10&gt;0,$AX10-$AS10,0),IF($S10&gt;0,$S10*0.5,0))</f>
        <v/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/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/>
      </c>
      <c r="O11" s="14">
        <f>IF($B11="SMALL_SIDE",$J11*ABS($L11)*Settings!$B$9,0)</f>
        <v/>
      </c>
      <c r="P11" s="15">
        <f>IF($B11="BIG_SIDE",$J11*ABS($L11)*Settings!$B$9,0)</f>
        <v/>
      </c>
      <c r="Q11" s="15">
        <f>IF($B11="SMALL_SIDE",$AL11*ABS($K11)*Settings!$B$9,0)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MAX(0,$M11*Settings!$B$9)</f>
        <v/>
      </c>
      <c r="V11" s="12">
        <f>IF($B11="BIG_SIDE",IFERROR(MIN($D11,MAX(0,$T11/$U11)),0),0)</f>
        <v/>
      </c>
      <c r="W11" s="12">
        <f>IF($B11="BIG_SIDE",MAX(0,$D11-$V11),$AJ11)</f>
        <v/>
      </c>
      <c r="X11" s="19">
        <f>IF($B11="BIG_SIDE",IF($AX11&gt;0,$AX11-$AS11,0),IF($S11&gt;0,$S11*0.5,0))</f>
        <v/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/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IF($B3="BLOCKED",IF($BB3&gt;0,$BB3,$BA3),IF($B3="SMALL_SIDE",$AM3,$W3))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IF(AND($AQ3="MANUAL_READY",$BG3="YES"),"BIG_SIDE",IF(OR($AP3="NO",$AQ3="DUAL_TAIL",$AQ3="DANGER",$AQ3="STOP",$AQ3="MANUAL_READY",$AQ3="STOP_CLEARED"),"BLOCKED","BIG_SIDE"))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IF($B4="BIG_SIDE",IF($AX4&gt;0,$AX4-$AS4,0),IF($S4&gt;0,$S4*0.5,0))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>
        <f>IF(AND($AQ4="MANUAL_READY",$BG4="YES"),"SMALL_SIDE",IF(OR($AP4="NO",$AQ4="DUAL_TAIL",$AQ4="DANGER",$AQ4="STOP",$AQ4="MANUAL_READY",$AQ4="STOP_CLEARED"),"BLOCKED","SMALL_SIDE"))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80</v>
      </c>
      <c r="L5" s="13" t="n">
        <v>60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IF($B5="BIG_SIDE",IF($AX5&gt;0,$AX5-$AS5,0),IF($S5&gt;0,$S5*0.5,0))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IF($B5="BLOCKED",IF($BB5&gt;0,$BB5,$BA5),IF($B5="SMALL_SIDE",$AM5,$W5))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/>
      </c>
      <c r="O6" s="14">
        <f>IF($B6="SMALL_SIDE",$J6*ABS($L6)*Settings!$B$9,0)</f>
        <v/>
      </c>
      <c r="P6" s="15">
        <f>IF($B6="BIG_SIDE",$J6*ABS($L6)*Settings!$B$9,0)</f>
        <v/>
      </c>
      <c r="Q6" s="15">
        <f>IF($B6="SMALL_SIDE",$AL6*ABS($K6)*Settings!$B$9,0)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MAX(0,$M6*Settings!$B$9)</f>
        <v/>
      </c>
      <c r="V6" s="12">
        <f>IF($B6="BIG_SIDE",IFERROR(MIN($D6,MAX(0,$T6/$U6)),0),0)</f>
        <v/>
      </c>
      <c r="W6" s="12">
        <f>IF($B6="BIG_SIDE",MAX(0,$D6-$V6),$AJ6)</f>
        <v/>
      </c>
      <c r="X6" s="19">
        <f>IF($B6="BIG_SIDE",IF($AX6&gt;0,$AX6-$AS6,0),IF($S6&gt;0,$S6*0.5,0))</f>
        <v/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/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>
        <f>IF(AND($AQ6="MANUAL_READY",$BG6="YES"),"BIG_SIDE",IF(OR($AP6="NO",$AQ6="DUAL_TAIL",$AQ6="DANGER",$AQ6="STOP",$AQ6="MANUAL_READY",$AQ6="STOP_CLEARED"),"BLOCKED","BIG_SIDE"))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 t="n">
        <v>100</v>
      </c>
      <c r="L7" s="13" t="n">
        <v>-40</v>
      </c>
      <c r="M7" s="13" t="n">
        <v>100</v>
      </c>
      <c r="N7" s="14">
        <f>IF($B7="BIG_SIDE",$G7*MAX(0,$K7)*Settings!$B$9,0)</f>
        <v/>
      </c>
      <c r="O7" s="14">
        <f>IF($B7="SMALL_SIDE",$J7*ABS($L7)*Settings!$B$9,0)</f>
        <v/>
      </c>
      <c r="P7" s="15">
        <f>IF($B7="BIG_SIDE",$J7*ABS($L7)*Settings!$B$9,0)</f>
        <v/>
      </c>
      <c r="Q7" s="15">
        <f>IF($B7="SMALL_SIDE",$AL7*ABS($K7)*Settings!$B$9,0)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MAX(0,$M7*Settings!$B$9)</f>
        <v/>
      </c>
      <c r="V7" s="12">
        <f>IF($B7="BIG_SIDE",IFERROR(MIN($D7,MAX(0,$T7/$U7)),0),0)</f>
        <v/>
      </c>
      <c r="W7" s="12">
        <f>IF($B7="BIG_SIDE",MAX(0,$D7-$V7),$AJ7)</f>
        <v/>
      </c>
      <c r="X7" s="19">
        <f>IF($B7="BIG_SIDE",IF($AX7&gt;0,$AX7-$AS7,0),IF($S7&gt;0,$S7*0.5,0))</f>
        <v/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NO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/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/>
      </c>
      <c r="O8" s="14">
        <f>IF($B8="SMALL_SIDE",$J8*ABS($L8)*Settings!$B$9,0)</f>
        <v/>
      </c>
      <c r="P8" s="15">
        <f>IF($B8="BIG_SIDE",$J8*ABS($L8)*Settings!$B$9,0)</f>
        <v/>
      </c>
      <c r="Q8" s="15">
        <f>IF($B8="SMALL_SIDE",$AL8*ABS($K8)*Settings!$B$9,0)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MAX(0,$M8*Settings!$B$9)</f>
        <v/>
      </c>
      <c r="V8" s="12">
        <f>IF($B8="BIG_SIDE",IFERROR(MIN($D8,MAX(0,$T8/$U8)),0),0)</f>
        <v/>
      </c>
      <c r="W8" s="12">
        <f>IF($B8="BIG_SIDE",MAX(0,$D8-$V8),$AJ8)</f>
        <v/>
      </c>
      <c r="X8" s="19">
        <f>IF($B8="BIG_SIDE",IF($AX8&gt;0,$AX8-$AS8,0),IF($S8&gt;0,$S8*0.5,0))</f>
        <v/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/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>
        <f>IF(AND($AQ8="MANUAL_READY",$BG8="YES"),"SMALL_SIDE",IF(OR($AP8="NO",$AQ8="DUAL_TAIL",$AQ8="DANGER",$AQ8="STOP",$AQ8="MANUAL_READY",$AQ8="STOP_CLEARED"),"BLOCKED","SMALL_SIDE"))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 t="n">
        <v>80</v>
      </c>
      <c r="L9" s="13" t="n">
        <v>60</v>
      </c>
      <c r="M9" s="13" t="n">
        <v>100</v>
      </c>
      <c r="N9" s="14">
        <f>IF($B9="BIG_SIDE",$G9*MAX(0,$K9)*Settings!$B$9,0)</f>
        <v/>
      </c>
      <c r="O9" s="14">
        <f>IF($B9="SMALL_SIDE",$J9*ABS($L9)*Settings!$B$9,0)</f>
        <v/>
      </c>
      <c r="P9" s="15">
        <f>IF($B9="BIG_SIDE",$J9*ABS($L9)*Settings!$B$9,0)</f>
        <v/>
      </c>
      <c r="Q9" s="15">
        <f>IF($B9="SMALL_SIDE",$AL9*ABS($K9)*Settings!$B$9,0)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MAX(0,$M9*Settings!$B$9)</f>
        <v/>
      </c>
      <c r="V9" s="12">
        <f>IF($B9="BIG_SIDE",IFERROR(MIN($D9,MAX(0,$T9/$U9)),0),0)</f>
        <v/>
      </c>
      <c r="W9" s="12">
        <f>IF($B9="BIG_SIDE",MAX(0,$D9-$V9),$AJ9)</f>
        <v/>
      </c>
      <c r="X9" s="19">
        <f>IF($B9="BIG_SIDE",IF($AX9&gt;0,$AX9-$AS9,0),IF($S9&gt;0,$S9*0.5,0))</f>
        <v/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/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>
        <f>IF(AND($AQ9="MANUAL_READY",$BG9="YES"),"BIG_SIDE",IF(OR($AP9="NO",$AQ9="DUAL_TAIL",$AQ9="DANGER",$AQ9="STOP",$AQ9="MANUAL_READY",$AQ9="STOP_CLEARED"),"BLOCKED","BIG_SIDE"))</f>
        <v/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/>
      </c>
      <c r="O10" s="14">
        <f>IF($B10="SMALL_SIDE",$J10*ABS($L10)*Settings!$B$9,0)</f>
        <v/>
      </c>
      <c r="P10" s="15">
        <f>IF($B10="BIG_SIDE",$J10*ABS($L10)*Settings!$B$9,0)</f>
        <v/>
      </c>
      <c r="Q10" s="15">
        <f>IF($B10="SMALL_SIDE",$AL10*ABS($K10)*Settings!$B$9,0)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MAX(0,$M10*Settings!$B$9)</f>
        <v/>
      </c>
      <c r="V10" s="12">
        <f>IF($B10="BIG_SIDE",IFERROR(MIN($D10,MAX(0,$T10/$U10)),0),0)</f>
        <v/>
      </c>
      <c r="W10" s="12">
        <f>IF($B10="BIG_SIDE",MAX(0,$D10-$V10),$AJ10)</f>
        <v/>
      </c>
      <c r="X10" s="19">
        <f>IF($B10="BIG_SIDE",IF($AX10&gt;0,$AX10-$AS10,0),IF($S10&gt;0,$S10*0.5,0))</f>
        <v/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/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/>
      </c>
      <c r="O11" s="14">
        <f>IF($B11="SMALL_SIDE",$J11*ABS($L11)*Settings!$B$9,0)</f>
        <v/>
      </c>
      <c r="P11" s="15">
        <f>IF($B11="BIG_SIDE",$J11*ABS($L11)*Settings!$B$9,0)</f>
        <v/>
      </c>
      <c r="Q11" s="15">
        <f>IF($B11="SMALL_SIDE",$AL11*ABS($K11)*Settings!$B$9,0)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MAX(0,$M11*Settings!$B$9)</f>
        <v/>
      </c>
      <c r="V11" s="12">
        <f>IF($B11="BIG_SIDE",IFERROR(MIN($D11,MAX(0,$T11/$U11)),0),0)</f>
        <v/>
      </c>
      <c r="W11" s="12">
        <f>IF($B11="BIG_SIDE",MAX(0,$D11-$V11),$AJ11)</f>
        <v/>
      </c>
      <c r="X11" s="19">
        <f>IF($B11="BIG_SIDE",IF($AX11&gt;0,$AX11-$AS11,0),IF($S11&gt;0,$S11*0.5,0))</f>
        <v/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/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BUY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IF(AND($AQ2="MANUAL_READY",$BG2="YES"),"SMALL_SIDE",IF(OR($AP2="NO",$AQ2="DUAL_TAIL",$AQ2="DANGER",$AQ2="STOP",$AQ2="MANUAL_READY",$AQ2="STOP_CLEARED"),"BLOCKED","SMALL_SIDE"))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80</v>
      </c>
      <c r="L3" s="13" t="n">
        <v>60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IF($B3="BLOCKED",IF($BB3&gt;0,$BB3,$BA3),IF($B3="SMALL_SIDE",$AM3,$W3))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IF(AND($AQ3="MANUAL_READY",$BG3="YES"),"BIG_SIDE",IF(OR($AP3="NO",$AQ3="DUAL_TAIL",$AQ3="DANGER",$AQ3="STOP",$AQ3="MANUAL_READY",$AQ3="STOP_CLEARED"),"BLOCKED","BIG_SIDE"))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IF($B4="BIG_SIDE",IF($AX4&gt;0,$AX4-$AS4,0),IF($S4&gt;0,$S4*0.5,0))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>
        <f>IF(AND($AQ4="MANUAL_READY",$BG4="YES"),"BIG_SIDE",IF(OR($AP4="NO",$AQ4="DUAL_TAIL",$AQ4="DANGER",$AQ4="STOP",$AQ4="MANUAL_READY",$AQ4="STOP_CLEARED"),"BLOCKED","BIG_SIDE"))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IF($B5="BIG_SIDE",IF($AX5&gt;0,$AX5-$AS5,0),IF($S5&gt;0,$S5*0.5,0))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IF($B5="BLOCKED",IF($BB5&gt;0,$BB5,$BA5),IF($B5="SMALL_SIDE",$AM5,$W5))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/>
      </c>
      <c r="O6" s="14">
        <f>IF($B6="SMALL_SIDE",$J6*ABS($L6)*Settings!$B$9,0)</f>
        <v/>
      </c>
      <c r="P6" s="15">
        <f>IF($B6="BIG_SIDE",$J6*ABS($L6)*Settings!$B$9,0)</f>
        <v/>
      </c>
      <c r="Q6" s="15">
        <f>IF($B6="SMALL_SIDE",$AL6*ABS($K6)*Settings!$B$9,0)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MAX(0,$M6*Settings!$B$9)</f>
        <v/>
      </c>
      <c r="V6" s="12">
        <f>IF($B6="BIG_SIDE",IFERROR(MIN($D6,MAX(0,$T6/$U6)),0),0)</f>
        <v/>
      </c>
      <c r="W6" s="12">
        <f>IF($B6="BIG_SIDE",MAX(0,$D6-$V6),$AJ6)</f>
        <v/>
      </c>
      <c r="X6" s="19">
        <f>IF($B6="BIG_SIDE",IF($AX6&gt;0,$AX6-$AS6,0),IF($S6&gt;0,$S6*0.5,0))</f>
        <v/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/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>
        <f>IF(AND($AQ6="MANUAL_READY",$BG6="YES"),"SMALL_SIDE",IF(OR($AP6="NO",$AQ6="DUAL_TAIL",$AQ6="DANGER",$AQ6="STOP",$AQ6="MANUAL_READY",$AQ6="STOP_CLEARED"),"BLOCKED","SMALL_SIDE"))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/>
      </c>
      <c r="O7" s="14">
        <f>IF($B7="SMALL_SIDE",$J7*ABS($L7)*Settings!$B$9,0)</f>
        <v/>
      </c>
      <c r="P7" s="15">
        <f>IF($B7="BIG_SIDE",$J7*ABS($L7)*Settings!$B$9,0)</f>
        <v/>
      </c>
      <c r="Q7" s="15">
        <f>IF($B7="SMALL_SIDE",$AL7*ABS($K7)*Settings!$B$9,0)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MAX(0,$M7*Settings!$B$9)</f>
        <v/>
      </c>
      <c r="V7" s="12">
        <f>IF($B7="BIG_SIDE",IFERROR(MIN($D7,MAX(0,$T7/$U7)),0),0)</f>
        <v/>
      </c>
      <c r="W7" s="12">
        <f>IF($B7="BIG_SIDE",MAX(0,$D7-$V7),$AJ7)</f>
        <v/>
      </c>
      <c r="X7" s="19">
        <f>IF($B7="BIG_SIDE",IF($AX7&gt;0,$AX7-$AS7,0),IF($S7&gt;0,$S7*0.5,0))</f>
        <v/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/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/>
      </c>
      <c r="O8" s="14">
        <f>IF($B8="SMALL_SIDE",$J8*ABS($L8)*Settings!$B$9,0)</f>
        <v/>
      </c>
      <c r="P8" s="15">
        <f>IF($B8="BIG_SIDE",$J8*ABS($L8)*Settings!$B$9,0)</f>
        <v/>
      </c>
      <c r="Q8" s="15">
        <f>IF($B8="SMALL_SIDE",$AL8*ABS($K8)*Settings!$B$9,0)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MAX(0,$M8*Settings!$B$9)</f>
        <v/>
      </c>
      <c r="V8" s="12">
        <f>IF($B8="BIG_SIDE",IFERROR(MIN($D8,MAX(0,$T8/$U8)),0),0)</f>
        <v/>
      </c>
      <c r="W8" s="12">
        <f>IF($B8="BIG_SIDE",MAX(0,$D8-$V8),$AJ8)</f>
        <v/>
      </c>
      <c r="X8" s="19">
        <f>IF($B8="BIG_SIDE",IF($AX8&gt;0,$AX8-$AS8,0),IF($S8&gt;0,$S8*0.5,0))</f>
        <v/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/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>
        <f>IF(AND($AQ8="MANUAL_READY",$BG8="YES"),"BIG_SIDE",IF(OR($AP8="NO",$AQ8="DUAL_TAIL",$AQ8="DANGER",$AQ8="STOP",$AQ8="MANUAL_READY",$AQ8="STOP_CLEARED"),"BLOCKED","BIG_SIDE"))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/>
      </c>
      <c r="O9" s="14">
        <f>IF($B9="SMALL_SIDE",$J9*ABS($L9)*Settings!$B$9,0)</f>
        <v/>
      </c>
      <c r="P9" s="15">
        <f>IF($B9="BIG_SIDE",$J9*ABS($L9)*Settings!$B$9,0)</f>
        <v/>
      </c>
      <c r="Q9" s="15">
        <f>IF($B9="SMALL_SIDE",$AL9*ABS($K9)*Settings!$B$9,0)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MAX(0,$M9*Settings!$B$9)</f>
        <v/>
      </c>
      <c r="V9" s="12">
        <f>IF($B9="BIG_SIDE",IFERROR(MIN($D9,MAX(0,$T9/$U9)),0),0)</f>
        <v/>
      </c>
      <c r="W9" s="12">
        <f>IF($B9="BIG_SIDE",MAX(0,$D9-$V9),$AJ9)</f>
        <v/>
      </c>
      <c r="X9" s="19">
        <f>IF($B9="BIG_SIDE",IF($AX9&gt;0,$AX9-$AS9,0),IF($S9&gt;0,$S9*0.5,0))</f>
        <v/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/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>
        <f>IF(AND($AQ9="MANUAL_READY",$BG9="YES"),"BIG_SIDE",IF(OR($AP9="NO",$AQ9="DUAL_TAIL",$AQ9="DANGER",$AQ9="STOP",$AQ9="MANUAL_READY",$AQ9="STOP_CLEARED"),"BLOCKED","BIG_SIDE"))</f>
        <v/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/>
      </c>
      <c r="O10" s="14">
        <f>IF($B10="SMALL_SIDE",$J10*ABS($L10)*Settings!$B$9,0)</f>
        <v/>
      </c>
      <c r="P10" s="15">
        <f>IF($B10="BIG_SIDE",$J10*ABS($L10)*Settings!$B$9,0)</f>
        <v/>
      </c>
      <c r="Q10" s="15">
        <f>IF($B10="SMALL_SIDE",$AL10*ABS($K10)*Settings!$B$9,0)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MAX(0,$M10*Settings!$B$9)</f>
        <v/>
      </c>
      <c r="V10" s="12">
        <f>IF($B10="BIG_SIDE",IFERROR(MIN($D10,MAX(0,$T10/$U10)),0),0)</f>
        <v/>
      </c>
      <c r="W10" s="12">
        <f>IF($B10="BIG_SIDE",MAX(0,$D10-$V10),$AJ10)</f>
        <v/>
      </c>
      <c r="X10" s="19">
        <f>IF($B10="BIG_SIDE",IF($AX10&gt;0,$AX10-$AS10,0),IF($S10&gt;0,$S10*0.5,0))</f>
        <v/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/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/>
      </c>
      <c r="O11" s="14">
        <f>IF($B11="SMALL_SIDE",$J11*ABS($L11)*Settings!$B$9,0)</f>
        <v/>
      </c>
      <c r="P11" s="15">
        <f>IF($B11="BIG_SIDE",$J11*ABS($L11)*Settings!$B$9,0)</f>
        <v/>
      </c>
      <c r="Q11" s="15">
        <f>IF($B11="SMALL_SIDE",$AL11*ABS($K11)*Settings!$B$9,0)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MAX(0,$M11*Settings!$B$9)</f>
        <v/>
      </c>
      <c r="V11" s="12">
        <f>IF($B11="BIG_SIDE",IFERROR(MIN($D11,MAX(0,$T11/$U11)),0),0)</f>
        <v/>
      </c>
      <c r="W11" s="12">
        <f>IF($B11="BIG_SIDE",MAX(0,$D11-$V11),$AJ11)</f>
        <v/>
      </c>
      <c r="X11" s="19">
        <f>IF($B11="BIG_SIDE",IF($AX11&gt;0,$AX11-$AS11,0),IF($S11&gt;0,$S11*0.5,0))</f>
        <v/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/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38" customWidth="1" min="3" max="3"/>
  </cols>
  <sheetData>
    <row r="1">
      <c r="A1" s="1" t="inlineStr">
        <is>
          <t>Показатель</t>
        </is>
      </c>
      <c r="B1" s="1" t="inlineStr">
        <is>
          <t>Формула / источник</t>
        </is>
      </c>
      <c r="C1" s="1" t="inlineStr">
        <is>
          <t>Значение</t>
        </is>
      </c>
    </row>
    <row r="2">
      <c r="A2" s="3" t="inlineStr">
        <is>
          <t>Total Closed Profit</t>
        </is>
      </c>
      <c r="B2" s="3" t="inlineStr">
        <is>
          <t>SUM ProfitBig + ProfitSmall + positive OldFarClosePL</t>
        </is>
      </c>
      <c r="C2" s="3">
        <f>SUM(Calculator!N2:O11)+SUMIF(Calculator!AI2:AI11,"&gt;0",Calculator!AI2:AI11)</f>
        <v/>
      </c>
    </row>
    <row r="3">
      <c r="A3" s="3" t="inlineStr">
        <is>
          <t>Total Closed Loss</t>
        </is>
      </c>
      <c r="B3" s="3" t="inlineStr">
        <is>
          <t>LossSmall + LossClosedBig + Costs + RealizedFarLoss + negative OldFarClosePL</t>
        </is>
      </c>
      <c r="C3" s="3">
        <f>SUM(Calculator!P2:Q11)+SUM(Calculator!R2:R11)+SUM(Calculator!AS2:AS11)-SUMIF(Calculator!AI2:AI11,"&lt;0",Calculator!AI2:AI11)</f>
        <v/>
      </c>
    </row>
    <row r="4">
      <c r="A4" s="3" t="inlineStr">
        <is>
          <t>Total Realized Far Loss</t>
        </is>
      </c>
      <c r="B4" s="3" t="inlineStr">
        <is>
          <t>SUM RealizedFarLoss</t>
        </is>
      </c>
      <c r="C4" s="3">
        <f>SUM(Calculator!AS2:AS11)</f>
        <v/>
      </c>
    </row>
    <row r="5">
      <c r="A5" s="3" t="inlineStr">
        <is>
          <t>Final Balance</t>
        </is>
      </c>
      <c r="B5" s="3" t="inlineStr">
        <is>
          <t>last BalanceAfter</t>
        </is>
      </c>
      <c r="C5" s="3">
        <f>LOOKUP(2,1/(Calculator!AA2:AA11&lt;&gt;""),Calculator!AA2:AA11)</f>
        <v/>
      </c>
    </row>
    <row r="6">
      <c r="A6" s="3" t="inlineStr">
        <is>
          <t>Final Reserve</t>
        </is>
      </c>
      <c r="B6" s="3" t="inlineStr">
        <is>
          <t>last TotalReserve</t>
        </is>
      </c>
      <c r="C6" s="3">
        <f>LOOKUP(2,1/(Calculator!Y2:Y11&lt;&gt;""),Calculator!Y2:Y11)</f>
        <v/>
      </c>
    </row>
    <row r="7">
      <c r="A7" s="3" t="inlineStr">
        <is>
          <t>Max Margin</t>
        </is>
      </c>
      <c r="B7" s="3" t="inlineStr">
        <is>
          <t>MAX MarginBefore</t>
        </is>
      </c>
      <c r="C7" s="3">
        <f>MAX(Calculator!AD2:AD11)</f>
        <v/>
      </c>
    </row>
    <row r="8">
      <c r="A8" s="3" t="inlineStr">
        <is>
          <t>Max Open Lots</t>
        </is>
      </c>
      <c r="B8" s="3" t="inlineStr">
        <is>
          <t>MAX OpenLotsBefore</t>
        </is>
      </c>
      <c r="C8" s="3">
        <f>MAX(Calculator!AB2:AB11)</f>
        <v/>
      </c>
    </row>
    <row r="9">
      <c r="A9" s="3" t="inlineStr">
        <is>
          <t>Final Far Lot</t>
        </is>
      </c>
      <c r="B9" s="3" t="inlineStr">
        <is>
          <t>last NewFarStartLot</t>
        </is>
      </c>
      <c r="C9" s="3">
        <f>LOOKUP(2,1/(Calculator!AG2:AG11&lt;&gt;""),Calculator!AG2:AG11)</f>
        <v/>
      </c>
    </row>
    <row r="10">
      <c r="A10" s="3" t="inlineStr">
        <is>
          <t>Number of BIG_SIDE</t>
        </is>
      </c>
      <c r="B10" s="3" t="inlineStr">
        <is>
          <t>COUNTIF Scenario</t>
        </is>
      </c>
      <c r="C10" s="3">
        <f>COUNTIF(Calculator!B2:B11,"BIG_SIDE")</f>
        <v/>
      </c>
    </row>
    <row r="11">
      <c r="A11" s="3" t="inlineStr">
        <is>
          <t>Number of SMALL_SIDE</t>
        </is>
      </c>
      <c r="B11" s="3" t="inlineStr">
        <is>
          <t>COUNTIF Scenario</t>
        </is>
      </c>
      <c r="C11" s="3">
        <f>COUNTIF(Calculator!B2:B11,"SMALL_SIDE")</f>
        <v/>
      </c>
    </row>
    <row r="12">
      <c r="A12" s="3" t="inlineStr">
        <is>
          <t>Dual Tail Count</t>
        </is>
      </c>
      <c r="B12" s="3" t="inlineStr">
        <is>
          <t>COUNTIF Status DUAL_TAIL</t>
        </is>
      </c>
      <c r="C12" s="3">
        <f>COUNTIF(Calculator!AQ2:AQ11,"DUAL_TAIL")</f>
        <v/>
      </c>
    </row>
    <row r="13">
      <c r="A13" s="3" t="inlineStr">
        <is>
          <t>Danger Count</t>
        </is>
      </c>
      <c r="B13" s="3" t="inlineStr">
        <is>
          <t>COUNTIF Status DANGER</t>
        </is>
      </c>
      <c r="C13" s="3">
        <f>COUNTIF(Calculator!AQ2:AQ11,"DANGER")</f>
        <v/>
      </c>
    </row>
    <row r="14">
      <c r="A14" s="3" t="inlineStr">
        <is>
          <t>Stop Count</t>
        </is>
      </c>
      <c r="B14" s="3" t="inlineStr">
        <is>
          <t>COUNTIF Status STOP</t>
        </is>
      </c>
      <c r="C14" s="3">
        <f>COUNTIF(Calculator!AQ2:AQ11,"STOP")</f>
        <v/>
      </c>
    </row>
    <row r="15">
      <c r="A15" s="3" t="inlineStr">
        <is>
          <t>Final Status</t>
        </is>
      </c>
      <c r="B15" s="3" t="inlineStr">
        <is>
          <t>last Status</t>
        </is>
      </c>
      <c r="C15" s="3">
        <f>LOOKUP(2,1/(Calculator!AQ2:AQ11&lt;&gt;""),Calculator!AQ2:AQ11)</f>
        <v/>
      </c>
    </row>
    <row r="16">
      <c r="A16" s="3" t="inlineStr">
        <is>
          <t>Max DualTail Exposure</t>
        </is>
      </c>
      <c r="B16" s="3" t="inlineStr">
        <is>
          <t>MAX DualTailTotalLot</t>
        </is>
      </c>
      <c r="C16" s="3">
        <f>MAX(Calculator!BC2:BC11)</f>
        <v/>
      </c>
    </row>
    <row r="17">
      <c r="A17" s="3" t="inlineStr">
        <is>
          <t>Final ActiveOldFarLot</t>
        </is>
      </c>
      <c r="B17" s="3" t="inlineStr">
        <is>
          <t>last ActiveOldFarLot</t>
        </is>
      </c>
      <c r="C17" s="3">
        <f>LOOKUP(2,1/(Calculator!BA2:BA11&lt;&gt;""),Calculator!BA2:BA11)</f>
        <v/>
      </c>
    </row>
    <row r="18">
      <c r="A18" s="3" t="inlineStr">
        <is>
          <t>Final ActiveNewFarLot</t>
        </is>
      </c>
      <c r="B18" s="3" t="inlineStr">
        <is>
          <t>last ActiveNewFarLot</t>
        </is>
      </c>
      <c r="C18" s="3">
        <f>LOOKUP(2,1/(Calculator!BB2:BB11&lt;&gt;""),Calculator!BB2:BB11)</f>
        <v/>
      </c>
    </row>
    <row r="19">
      <c r="A19" s="3" t="inlineStr">
        <is>
          <t>Final DualTailTotalLot</t>
        </is>
      </c>
      <c r="B19" s="3" t="inlineStr">
        <is>
          <t>last DualTailTotalLot</t>
        </is>
      </c>
      <c r="C19" s="3">
        <f>LOOKUP(2,1/(Calculator!BC2:BC11&lt;&gt;""),Calculator!BC2:BC11)</f>
        <v/>
      </c>
    </row>
    <row r="20">
      <c r="A20" s="3" t="inlineStr">
        <is>
          <t>Manual Close PL</t>
        </is>
      </c>
      <c r="B20" s="3" t="inlineStr">
        <is>
          <t>SUM ManualClosePL</t>
        </is>
      </c>
      <c r="C20" s="3">
        <f>SUM(Calculator!BF2:BF11)</f>
        <v/>
      </c>
    </row>
    <row r="21">
      <c r="A21" s="3" t="inlineStr">
        <is>
          <t>Blocked Levels Count</t>
        </is>
      </c>
      <c r="B21" s="3" t="inlineStr">
        <is>
          <t>COUNTIF Scenario BLOCKED</t>
        </is>
      </c>
      <c r="C21" s="3">
        <f>COUNTIF(Calculator!B2:B11,"BLOCKED")</f>
        <v/>
      </c>
    </row>
    <row r="22">
      <c r="A22" s="3" t="inlineStr">
        <is>
          <t>Stop Cleared Count</t>
        </is>
      </c>
      <c r="B22" s="3" t="inlineStr">
        <is>
          <t>COUNTIF Status STOP_CLEARED</t>
        </is>
      </c>
      <c r="C22" s="3">
        <f>COUNTIF(Calculator!AQ2:AQ11,"STOP_CLEARED")</f>
        <v/>
      </c>
    </row>
    <row r="23">
      <c r="A23" s="3" t="inlineStr">
        <is>
          <t>Manual Ready Count</t>
        </is>
      </c>
      <c r="B23" s="3" t="inlineStr">
        <is>
          <t>COUNTIF Status MANUAL_READY</t>
        </is>
      </c>
      <c r="C23" s="3">
        <f>COUNTIF(Calculator!AQ2:AQ11,"MANUAL_READY")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2" customWidth="1" min="3" max="3"/>
    <col width="55" customWidth="1" min="4" max="4"/>
    <col width="45" customWidth="1" min="5" max="5"/>
    <col width="60" customWidth="1" min="6" max="6"/>
    <col width="12" customWidth="1" min="7" max="7"/>
    <col width="64" customWidth="1" min="8" max="8"/>
  </cols>
  <sheetData>
    <row r="1">
      <c r="A1" s="21" t="inlineStr">
        <is>
          <t>Test ID</t>
        </is>
      </c>
      <c r="B1" s="21" t="inlineStr">
        <is>
          <t>Test Name</t>
        </is>
      </c>
      <c r="C1" s="21" t="inlineStr">
        <is>
          <t>Input</t>
        </is>
      </c>
      <c r="D1" s="21" t="inlineStr">
        <is>
          <t>Expected</t>
        </is>
      </c>
      <c r="E1" s="21" t="inlineStr">
        <is>
          <t>Actual</t>
        </is>
      </c>
      <c r="F1" s="21" t="inlineStr">
        <is>
          <t>Formula Checked</t>
        </is>
      </c>
      <c r="G1" s="21" t="inlineStr">
        <is>
          <t>Status</t>
        </is>
      </c>
      <c r="H1" s="21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36" customWidth="1" min="3" max="3"/>
    <col width="90" customWidth="1" min="4" max="4"/>
  </cols>
  <sheetData>
    <row r="1">
      <c r="A1" s="1" t="inlineStr">
        <is>
          <t>Пример</t>
        </is>
      </c>
      <c r="B1" s="1" t="inlineStr">
        <is>
          <t>Поле</t>
        </is>
      </c>
      <c r="C1" s="1" t="inlineStr">
        <is>
          <t>Значение / формула</t>
        </is>
      </c>
      <c r="D1" s="1" t="inlineStr">
        <is>
          <t>Пояснение</t>
        </is>
      </c>
    </row>
    <row r="2">
      <c r="A2" s="3" t="inlineStr">
        <is>
          <t>Пример 1. Тренд вверх</t>
        </is>
      </c>
      <c r="B2" s="3" t="inlineStr">
        <is>
          <t>Start Far</t>
        </is>
      </c>
      <c r="C2" s="3" t="inlineStr">
        <is>
          <t>SELL 1.00</t>
        </is>
      </c>
      <c r="D2" s="3" t="inlineStr">
        <is>
          <t>Исходный дальний хвост после роста цены.</t>
        </is>
      </c>
    </row>
    <row r="3">
      <c r="A3" s="3" t="inlineStr">
        <is>
          <t>Пример 1. Тренд вверх</t>
        </is>
      </c>
      <c r="B3" s="3" t="inlineStr">
        <is>
          <t>Big</t>
        </is>
      </c>
      <c r="C3" s="3" t="inlineStr">
        <is>
          <t>BUY 1.15</t>
        </is>
      </c>
      <c r="D3" s="3" t="inlineStr">
        <is>
          <t>Big = Far × 1.15.</t>
        </is>
      </c>
    </row>
    <row r="4">
      <c r="A4" s="3" t="inlineStr">
        <is>
          <t>Пример 1. Тренд вверх</t>
        </is>
      </c>
      <c r="B4" s="3" t="inlineStr">
        <is>
          <t>Small</t>
        </is>
      </c>
      <c r="C4" s="3" t="inlineStr">
        <is>
          <t>SELL 0.44</t>
        </is>
      </c>
      <c r="D4" s="3" t="inlineStr">
        <is>
          <t>Small = Big × 0.38 с округлением до LotStep.</t>
        </is>
      </c>
    </row>
    <row r="5">
      <c r="A5" s="3" t="inlineStr">
        <is>
          <t>Пример 1. Тренд вверх</t>
        </is>
      </c>
      <c r="B5" s="3" t="inlineStr">
        <is>
          <t>Scenario</t>
        </is>
      </c>
      <c r="C5" s="3" t="inlineStr">
        <is>
          <t>BIG_SIDE</t>
        </is>
      </c>
      <c r="D5" s="3" t="inlineStr">
        <is>
          <t>Close Big = 100%; Close Small = 100%; CloseFarBudget = NetProfit × 20%; ReserveAdd = NetProfit × 80%.</t>
        </is>
      </c>
    </row>
    <row r="6">
      <c r="A6" s="3" t="inlineStr">
        <is>
          <t>Пример 2. Разворот вниз</t>
        </is>
      </c>
      <c r="B6" s="3" t="inlineStr">
        <is>
          <t>Start Far</t>
        </is>
      </c>
      <c r="C6" s="3" t="inlineStr">
        <is>
          <t>SELL 1.00</t>
        </is>
      </c>
      <c r="D6" s="3" t="inlineStr">
        <is>
          <t>Исходный дальний хвост.</t>
        </is>
      </c>
    </row>
    <row r="7">
      <c r="A7" s="3" t="inlineStr">
        <is>
          <t>Пример 2. Разворот вниз</t>
        </is>
      </c>
      <c r="B7" s="3" t="inlineStr">
        <is>
          <t>Big</t>
        </is>
      </c>
      <c r="C7" s="3" t="inlineStr">
        <is>
          <t>BUY 1.15</t>
        </is>
      </c>
      <c r="D7" s="3" t="inlineStr">
        <is>
          <t>Рабочая позиция против старого хвоста.</t>
        </is>
      </c>
    </row>
    <row r="8">
      <c r="A8" s="3" t="inlineStr">
        <is>
          <t>Пример 2. Разворот вниз</t>
        </is>
      </c>
      <c r="B8" s="3" t="inlineStr">
        <is>
          <t>Small</t>
        </is>
      </c>
      <c r="C8" s="3" t="inlineStr">
        <is>
          <t>SELL 0.44</t>
        </is>
      </c>
      <c r="D8" s="3" t="inlineStr">
        <is>
          <t>Защитная позиция в сторону старого хвоста.</t>
        </is>
      </c>
    </row>
    <row r="9">
      <c r="A9" s="3" t="inlineStr">
        <is>
          <t>Пример 2. Разворот вниз</t>
        </is>
      </c>
      <c r="B9" s="3" t="inlineStr">
        <is>
          <t>Scenario</t>
        </is>
      </c>
      <c r="C9" s="3" t="inlineStr">
        <is>
          <t>SMALL_SIDE</t>
        </is>
      </c>
      <c r="D9" s="3" t="inlineStr">
        <is>
          <t>Close Small = 100%; Close Big = 22%; Remain Big = 78%; новый Far = BUY 0.897.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2026-05-30T17:51:34Z</dcterms:modified>
</cp:coreProperties>
</file>