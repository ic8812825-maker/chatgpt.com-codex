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  <font>
      <b val="1"/>
    </font>
  </fonts>
  <fills count="1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1" fillId="10" borderId="0" pivotButton="0" quotePrefix="0" xfId="0"/>
    <xf numFmtId="0" fontId="1" fillId="12" borderId="0" pivotButton="0" quotePrefix="0" xfId="0"/>
    <xf numFmtId="0" fontId="0" fillId="12" borderId="0" pivotButton="0" quotePrefix="0" xfId="0"/>
    <xf numFmtId="0" fontId="5" fillId="2" borderId="1" applyAlignment="1" pivotButton="0" quotePrefix="0" xfId="0">
      <alignment vertical="top" wrapText="1"/>
    </xf>
    <xf numFmtId="0" fontId="1" fillId="11" borderId="0" pivotButton="0" quotePrefix="0" xfId="0"/>
    <xf numFmtId="0" fontId="1" fillId="2" borderId="0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5" fillId="14" borderId="1" applyAlignment="1" pivotButton="0" quotePrefix="0" xfId="0">
      <alignment horizontal="center"/>
    </xf>
    <xf numFmtId="0" fontId="5" fillId="15" borderId="1" applyAlignment="1" pivotButton="0" quotePrefix="0" xfId="0">
      <alignment horizontal="center"/>
    </xf>
    <xf numFmtId="0" fontId="5" fillId="16" borderId="1" applyAlignment="1" pivotButton="0" quotePrefix="0" xfId="0">
      <alignment horizontal="center"/>
    </xf>
    <xf numFmtId="1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center"/>
    </xf>
    <xf numFmtId="0" fontId="5" fillId="17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2" customWidth="1" min="11" max="11"/>
    <col width="13" customWidth="1" min="12" max="12"/>
    <col width="12" customWidth="1" min="13" max="13"/>
    <col width="17" customWidth="1" min="14" max="1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>
        <v>1.3</v>
      </c>
      <c r="C3" s="3" t="inlineStr">
        <is>
          <t>Big = FarStart × 130%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>
        <v>0.36</v>
      </c>
      <c r="C4" s="3" t="inlineStr">
        <is>
          <t>Small = Big × 36%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>
        <v>0.9</v>
      </c>
      <c r="C5" s="3" t="inlineStr">
        <is>
          <t>90% чистой прибыли как денежный бюджет на Far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>
        <v>0.1</v>
      </c>
      <c r="C6" s="3" t="inlineStr">
        <is>
          <t>10%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>
        <v>0.3</v>
      </c>
      <c r="C7" s="3" t="inlineStr">
        <is>
          <t>закрытие Big 30%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>
        <v>0.7</v>
      </c>
      <c r="C8" s="3" t="inlineStr">
        <is>
          <t>остаток Big 70%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>
        <v>1.35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>
        <v>0.45</v>
      </c>
      <c r="C17" s="3" t="inlineStr">
        <is>
          <t>лимит Small</t>
        </is>
      </c>
    </row>
    <row r="20">
      <c r="A20" s="27" t="inlineStr">
        <is>
          <t>Big Harvest Geometry — денежное закрытие Far через CloseFarBudget</t>
        </is>
      </c>
    </row>
    <row r="21">
      <c r="A21" s="28" t="inlineStr">
        <is>
          <t>N</t>
        </is>
      </c>
      <c r="B21" s="29" t="inlineStr">
        <is>
          <t>FarStart-N</t>
        </is>
      </c>
      <c r="C21" s="34" t="inlineStr">
        <is>
          <t>BigMovePoints</t>
        </is>
      </c>
      <c r="D21" s="34" t="inlineStr">
        <is>
          <t>FarDistancePoints</t>
        </is>
      </c>
      <c r="E21" s="28" t="inlineStr">
        <is>
          <t>Big-N</t>
        </is>
      </c>
      <c r="F21" s="30" t="inlineStr">
        <is>
          <t>Small-N</t>
        </is>
      </c>
      <c r="G21" s="35" t="inlineStr">
        <is>
          <t>ProfitBig</t>
        </is>
      </c>
      <c r="H21" s="36" t="inlineStr">
        <is>
          <t>LossSmall</t>
        </is>
      </c>
      <c r="I21" s="35" t="inlineStr">
        <is>
          <t>NetProfit</t>
        </is>
      </c>
      <c r="J21" s="31" t="inlineStr">
        <is>
          <t>CloseFarBudget</t>
        </is>
      </c>
      <c r="K21" s="37" t="inlineStr">
        <is>
          <t>ReserveAdd</t>
        </is>
      </c>
      <c r="L21" s="31" t="inlineStr">
        <is>
          <t>CloseFarLot</t>
        </is>
      </c>
      <c r="M21" s="29" t="inlineStr">
        <is>
          <t>FarRemain</t>
        </is>
      </c>
      <c r="N21" s="31" t="inlineStr">
        <is>
          <t>CloseFarPercent</t>
        </is>
      </c>
    </row>
    <row r="22">
      <c r="A22" s="32">
        <f>IF(1&lt;=Settings!$B$12,1,"")</f>
        <v>1</v>
      </c>
      <c r="B22" s="33">
        <f>IF($A22="","",Settings!$B$2)</f>
        <v>1</v>
      </c>
      <c r="C22" s="32">
        <f>IF($A22="","",100)</f>
        <v>100</v>
      </c>
      <c r="D22" s="32">
        <f>IF($A22="","",200)</f>
        <v>200</v>
      </c>
      <c r="E22" s="33">
        <f>IF($A22="","",ROUND(($B22*Settings!$B$3)/Settings!$B$11,0)*Settings!$B$11)</f>
        <v>1.3</v>
      </c>
      <c r="F22" s="33">
        <f>IF($A22="","",ROUND(($E22*Settings!$B$4)/Settings!$B$11,0)*Settings!$B$11)</f>
        <v>0.47</v>
      </c>
      <c r="G22" s="33">
        <f>IF($A22="","",$E22*$C22*Settings!$B$9)</f>
        <v>130</v>
      </c>
      <c r="H22" s="33">
        <f>IF($A22="","",$F22*$C22*Settings!$B$9)</f>
        <v>47</v>
      </c>
      <c r="I22" s="33">
        <f>IF($A22="","",$G22-$H22)</f>
        <v>83</v>
      </c>
      <c r="J22" s="33">
        <f>IF($A22="","",MAX(0,$I22*Settings!$B$5))</f>
        <v>74.7</v>
      </c>
      <c r="K22" s="33">
        <f>IF($A22="","",MAX(0,$I22*Settings!$B$6))</f>
        <v>8.3</v>
      </c>
      <c r="L22" s="33">
        <f>IF($A22="","",MIN($B22,IFERROR($J22/($D22*Settings!$B$9),0)))</f>
        <v>0.3735</v>
      </c>
      <c r="M22" s="33">
        <f>IF($A22="","",MAX(0,$B22-$L22))</f>
        <v>0.6265</v>
      </c>
      <c r="N22" s="33">
        <f>IF($A22="","",IFERROR($L22/$B22,0))</f>
        <v>0.3735</v>
      </c>
    </row>
    <row r="23">
      <c r="A23" s="32">
        <f>IF(2&lt;=Settings!$B$12,2,"")</f>
        <v>2</v>
      </c>
      <c r="B23" s="33">
        <f>IF($A23="","",$M22)</f>
        <v>0.6265</v>
      </c>
      <c r="C23" s="32">
        <f>IF($A23="","",100)</f>
        <v>100</v>
      </c>
      <c r="D23" s="32">
        <f>IF($A23="","",200)</f>
        <v>200</v>
      </c>
      <c r="E23" s="33">
        <f>IF($A23="","",ROUND(($B23*Settings!$B$3)/Settings!$B$11,0)*Settings!$B$11)</f>
        <v>0.81</v>
      </c>
      <c r="F23" s="33">
        <f>IF($A23="","",ROUND(($E23*Settings!$B$4)/Settings!$B$11,0)*Settings!$B$11)</f>
        <v>0.29</v>
      </c>
      <c r="G23" s="33">
        <f>IF($A23="","",$E23*$C23*Settings!$B$9)</f>
        <v>81</v>
      </c>
      <c r="H23" s="33">
        <f>IF($A23="","",$F23*$C23*Settings!$B$9)</f>
        <v>29</v>
      </c>
      <c r="I23" s="33">
        <f>IF($A23="","",$G23-$H23)</f>
        <v>52</v>
      </c>
      <c r="J23" s="33">
        <f>IF($A23="","",MAX(0,$I23*Settings!$B$5))</f>
        <v>46.8</v>
      </c>
      <c r="K23" s="33">
        <f>IF($A23="","",MAX(0,$I23*Settings!$B$6))</f>
        <v>5.2</v>
      </c>
      <c r="L23" s="33">
        <f>IF($A23="","",MIN($B23,IFERROR($J23/($D23*Settings!$B$9),0)))</f>
        <v>0.234</v>
      </c>
      <c r="M23" s="33">
        <f>IF($A23="","",MAX(0,$B23-$L23))</f>
        <v>0.3925</v>
      </c>
      <c r="N23" s="33">
        <f>IF($A23="","",IFERROR($L23/$B23,0))</f>
        <v>0.373503591381</v>
      </c>
    </row>
    <row r="24">
      <c r="A24" s="32">
        <f>IF(3&lt;=Settings!$B$12,3,"")</f>
        <v>3</v>
      </c>
      <c r="B24" s="33">
        <f>IF($A24="","",$M23)</f>
        <v>0.3925</v>
      </c>
      <c r="C24" s="32">
        <f>IF($A24="","",100)</f>
        <v>100</v>
      </c>
      <c r="D24" s="32">
        <f>IF($A24="","",200)</f>
        <v>200</v>
      </c>
      <c r="E24" s="33">
        <f>IF($A24="","",ROUND(($B24*Settings!$B$3)/Settings!$B$11,0)*Settings!$B$11)</f>
        <v>0.51</v>
      </c>
      <c r="F24" s="33">
        <f>IF($A24="","",ROUND(($E24*Settings!$B$4)/Settings!$B$11,0)*Settings!$B$11)</f>
        <v>0.18</v>
      </c>
      <c r="G24" s="33">
        <f>IF($A24="","",$E24*$C24*Settings!$B$9)</f>
        <v>51</v>
      </c>
      <c r="H24" s="33">
        <f>IF($A24="","",$F24*$C24*Settings!$B$9)</f>
        <v>18</v>
      </c>
      <c r="I24" s="33">
        <f>IF($A24="","",$G24-$H24)</f>
        <v>33</v>
      </c>
      <c r="J24" s="33">
        <f>IF($A24="","",MAX(0,$I24*Settings!$B$5))</f>
        <v>29.7</v>
      </c>
      <c r="K24" s="33">
        <f>IF($A24="","",MAX(0,$I24*Settings!$B$6))</f>
        <v>3.3</v>
      </c>
      <c r="L24" s="33">
        <f>IF($A24="","",MIN($B24,IFERROR($J24/($D24*Settings!$B$9),0)))</f>
        <v>0.1485</v>
      </c>
      <c r="M24" s="33">
        <f>IF($A24="","",MAX(0,$B24-$L24))</f>
        <v>0.244</v>
      </c>
      <c r="N24" s="33">
        <f>IF($A24="","",IFERROR($L24/$B24,0))</f>
        <v>0.378343949045</v>
      </c>
    </row>
    <row r="25">
      <c r="A25" s="32">
        <f>IF(4&lt;=Settings!$B$12,4,"")</f>
        <v>4</v>
      </c>
      <c r="B25" s="33">
        <f>IF($A25="","",$M24)</f>
        <v>0.244</v>
      </c>
      <c r="C25" s="32">
        <f>IF($A25="","",100)</f>
        <v>100</v>
      </c>
      <c r="D25" s="32">
        <f>IF($A25="","",200)</f>
        <v>200</v>
      </c>
      <c r="E25" s="33">
        <f>IF($A25="","",ROUND(($B25*Settings!$B$3)/Settings!$B$11,0)*Settings!$B$11)</f>
        <v>0.32</v>
      </c>
      <c r="F25" s="33">
        <f>IF($A25="","",ROUND(($E25*Settings!$B$4)/Settings!$B$11,0)*Settings!$B$11)</f>
        <v>0.12</v>
      </c>
      <c r="G25" s="33">
        <f>IF($A25="","",$E25*$C25*Settings!$B$9)</f>
        <v>32</v>
      </c>
      <c r="H25" s="33">
        <f>IF($A25="","",$F25*$C25*Settings!$B$9)</f>
        <v>12</v>
      </c>
      <c r="I25" s="33">
        <f>IF($A25="","",$G25-$H25)</f>
        <v>20</v>
      </c>
      <c r="J25" s="33">
        <f>IF($A25="","",MAX(0,$I25*Settings!$B$5))</f>
        <v>18</v>
      </c>
      <c r="K25" s="33">
        <f>IF($A25="","",MAX(0,$I25*Settings!$B$6))</f>
        <v>2</v>
      </c>
      <c r="L25" s="33">
        <f>IF($A25="","",MIN($B25,IFERROR($J25/($D25*Settings!$B$9),0)))</f>
        <v>0.09</v>
      </c>
      <c r="M25" s="33">
        <f>IF($A25="","",MAX(0,$B25-$L25))</f>
        <v>0.154</v>
      </c>
      <c r="N25" s="33">
        <f>IF($A25="","",IFERROR($L25/$B25,0))</f>
        <v>0.368852459016</v>
      </c>
    </row>
    <row r="26">
      <c r="A26" s="32">
        <f>IF(5&lt;=Settings!$B$12,5,"")</f>
        <v>5</v>
      </c>
      <c r="B26" s="33">
        <f>IF($A26="","",$M25)</f>
        <v>0.154</v>
      </c>
      <c r="C26" s="32">
        <f>IF($A26="","",100)</f>
        <v>100</v>
      </c>
      <c r="D26" s="32">
        <f>IF($A26="","",200)</f>
        <v>200</v>
      </c>
      <c r="E26" s="33">
        <f>IF($A26="","",ROUND(($B26*Settings!$B$3)/Settings!$B$11,0)*Settings!$B$11)</f>
        <v>0.2</v>
      </c>
      <c r="F26" s="33">
        <f>IF($A26="","",ROUND(($E26*Settings!$B$4)/Settings!$B$11,0)*Settings!$B$11)</f>
        <v>0.07</v>
      </c>
      <c r="G26" s="33">
        <f>IF($A26="","",$E26*$C26*Settings!$B$9)</f>
        <v>20</v>
      </c>
      <c r="H26" s="33">
        <f>IF($A26="","",$F26*$C26*Settings!$B$9)</f>
        <v>7</v>
      </c>
      <c r="I26" s="33">
        <f>IF($A26="","",$G26-$H26)</f>
        <v>13</v>
      </c>
      <c r="J26" s="33">
        <f>IF($A26="","",MAX(0,$I26*Settings!$B$5))</f>
        <v>11.7</v>
      </c>
      <c r="K26" s="33">
        <f>IF($A26="","",MAX(0,$I26*Settings!$B$6))</f>
        <v>1.3</v>
      </c>
      <c r="L26" s="33">
        <f>IF($A26="","",MIN($B26,IFERROR($J26/($D26*Settings!$B$9),0)))</f>
        <v>0.0585</v>
      </c>
      <c r="M26" s="33">
        <f>IF($A26="","",MAX(0,$B26-$L26))</f>
        <v>0.0955</v>
      </c>
      <c r="N26" s="33">
        <f>IF($A26="","",IFERROR($L26/$B26,0))</f>
        <v>0.37987012987</v>
      </c>
    </row>
    <row r="27">
      <c r="A27" s="32">
        <f>IF(6&lt;=Settings!$B$12,6,"")</f>
        <v>6</v>
      </c>
      <c r="B27" s="33">
        <f>IF($A27="","",$M26)</f>
        <v>0.0955</v>
      </c>
      <c r="C27" s="32">
        <f>IF($A27="","",100)</f>
        <v>100</v>
      </c>
      <c r="D27" s="32">
        <f>IF($A27="","",200)</f>
        <v>200</v>
      </c>
      <c r="E27" s="33">
        <f>IF($A27="","",ROUND(($B27*Settings!$B$3)/Settings!$B$11,0)*Settings!$B$11)</f>
        <v>0.12</v>
      </c>
      <c r="F27" s="33">
        <f>IF($A27="","",ROUND(($E27*Settings!$B$4)/Settings!$B$11,0)*Settings!$B$11)</f>
        <v>0.04</v>
      </c>
      <c r="G27" s="33">
        <f>IF($A27="","",$E27*$C27*Settings!$B$9)</f>
        <v>12</v>
      </c>
      <c r="H27" s="33">
        <f>IF($A27="","",$F27*$C27*Settings!$B$9)</f>
        <v>4</v>
      </c>
      <c r="I27" s="33">
        <f>IF($A27="","",$G27-$H27)</f>
        <v>8</v>
      </c>
      <c r="J27" s="33">
        <f>IF($A27="","",MAX(0,$I27*Settings!$B$5))</f>
        <v>7.2</v>
      </c>
      <c r="K27" s="33">
        <f>IF($A27="","",MAX(0,$I27*Settings!$B$6))</f>
        <v>0.8</v>
      </c>
      <c r="L27" s="33">
        <f>IF($A27="","",MIN($B27,IFERROR($J27/($D27*Settings!$B$9),0)))</f>
        <v>0.036</v>
      </c>
      <c r="M27" s="33">
        <f>IF($A27="","",MAX(0,$B27-$L27))</f>
        <v>0.0595</v>
      </c>
      <c r="N27" s="33">
        <f>IF($A27="","",IFERROR($L27/$B27,0))</f>
        <v>0.376963350785</v>
      </c>
    </row>
    <row r="28">
      <c r="A28" s="32">
        <f>IF(7&lt;=Settings!$B$12,7,"")</f>
        <v>7</v>
      </c>
      <c r="B28" s="33">
        <f>IF($A28="","",$M27)</f>
        <v>0.0595</v>
      </c>
      <c r="C28" s="32">
        <f>IF($A28="","",100)</f>
        <v>100</v>
      </c>
      <c r="D28" s="32">
        <f>IF($A28="","",200)</f>
        <v>200</v>
      </c>
      <c r="E28" s="33">
        <f>IF($A28="","",ROUND(($B28*Settings!$B$3)/Settings!$B$11,0)*Settings!$B$11)</f>
        <v>0.08</v>
      </c>
      <c r="F28" s="33">
        <f>IF($A28="","",ROUND(($E28*Settings!$B$4)/Settings!$B$11,0)*Settings!$B$11)</f>
        <v>0.03</v>
      </c>
      <c r="G28" s="33">
        <f>IF($A28="","",$E28*$C28*Settings!$B$9)</f>
        <v>8</v>
      </c>
      <c r="H28" s="33">
        <f>IF($A28="","",$F28*$C28*Settings!$B$9)</f>
        <v>3</v>
      </c>
      <c r="I28" s="33">
        <f>IF($A28="","",$G28-$H28)</f>
        <v>5</v>
      </c>
      <c r="J28" s="33">
        <f>IF($A28="","",MAX(0,$I28*Settings!$B$5))</f>
        <v>4.5</v>
      </c>
      <c r="K28" s="33">
        <f>IF($A28="","",MAX(0,$I28*Settings!$B$6))</f>
        <v>0.5</v>
      </c>
      <c r="L28" s="33">
        <f>IF($A28="","",MIN($B28,IFERROR($J28/($D28*Settings!$B$9),0)))</f>
        <v>0.0225</v>
      </c>
      <c r="M28" s="33">
        <f>IF($A28="","",MAX(0,$B28-$L28))</f>
        <v>0.037</v>
      </c>
      <c r="N28" s="33">
        <f>IF($A28="","",IFERROR($L28/$B28,0))</f>
        <v>0.378151260504</v>
      </c>
    </row>
    <row r="29">
      <c r="A29" s="32">
        <f>IF(8&lt;=Settings!$B$12,8,"")</f>
        <v>8</v>
      </c>
      <c r="B29" s="33">
        <f>IF($A29="","",$M28)</f>
        <v>0.037</v>
      </c>
      <c r="C29" s="32">
        <f>IF($A29="","",100)</f>
        <v>100</v>
      </c>
      <c r="D29" s="32">
        <f>IF($A29="","",200)</f>
        <v>200</v>
      </c>
      <c r="E29" s="33">
        <f>IF($A29="","",ROUND(($B29*Settings!$B$3)/Settings!$B$11,0)*Settings!$B$11)</f>
        <v>0.05</v>
      </c>
      <c r="F29" s="33">
        <f>IF($A29="","",ROUND(($E29*Settings!$B$4)/Settings!$B$11,0)*Settings!$B$11)</f>
        <v>0.02</v>
      </c>
      <c r="G29" s="33">
        <f>IF($A29="","",$E29*$C29*Settings!$B$9)</f>
        <v>5</v>
      </c>
      <c r="H29" s="33">
        <f>IF($A29="","",$F29*$C29*Settings!$B$9)</f>
        <v>2</v>
      </c>
      <c r="I29" s="33">
        <f>IF($A29="","",$G29-$H29)</f>
        <v>3</v>
      </c>
      <c r="J29" s="33">
        <f>IF($A29="","",MAX(0,$I29*Settings!$B$5))</f>
        <v>2.7</v>
      </c>
      <c r="K29" s="33">
        <f>IF($A29="","",MAX(0,$I29*Settings!$B$6))</f>
        <v>0.3</v>
      </c>
      <c r="L29" s="33">
        <f>IF($A29="","",MIN($B29,IFERROR($J29/($D29*Settings!$B$9),0)))</f>
        <v>0.0135</v>
      </c>
      <c r="M29" s="33">
        <f>IF($A29="","",MAX(0,$B29-$L29))</f>
        <v>0.0235</v>
      </c>
      <c r="N29" s="33">
        <f>IF($A29="","",IFERROR($L29/$B29,0))</f>
        <v>0.364864864865</v>
      </c>
    </row>
    <row r="30">
      <c r="A30" s="32">
        <f>IF(9&lt;=Settings!$B$12,9,"")</f>
        <v>9</v>
      </c>
      <c r="B30" s="33">
        <f>IF($A30="","",$M29)</f>
        <v>0.0235</v>
      </c>
      <c r="C30" s="32">
        <f>IF($A30="","",100)</f>
        <v>100</v>
      </c>
      <c r="D30" s="32">
        <f>IF($A30="","",200)</f>
        <v>200</v>
      </c>
      <c r="E30" s="33">
        <f>IF($A30="","",ROUND(($B30*Settings!$B$3)/Settings!$B$11,0)*Settings!$B$11)</f>
        <v>0.03</v>
      </c>
      <c r="F30" s="33">
        <f>IF($A30="","",ROUND(($E30*Settings!$B$4)/Settings!$B$11,0)*Settings!$B$11)</f>
        <v>0.01</v>
      </c>
      <c r="G30" s="33">
        <f>IF($A30="","",$E30*$C30*Settings!$B$9)</f>
        <v>3</v>
      </c>
      <c r="H30" s="33">
        <f>IF($A30="","",$F30*$C30*Settings!$B$9)</f>
        <v>1</v>
      </c>
      <c r="I30" s="33">
        <f>IF($A30="","",$G30-$H30)</f>
        <v>2</v>
      </c>
      <c r="J30" s="33">
        <f>IF($A30="","",MAX(0,$I30*Settings!$B$5))</f>
        <v>1.8</v>
      </c>
      <c r="K30" s="33">
        <f>IF($A30="","",MAX(0,$I30*Settings!$B$6))</f>
        <v>0.2</v>
      </c>
      <c r="L30" s="33">
        <f>IF($A30="","",MIN($B30,IFERROR($J30/($D30*Settings!$B$9),0)))</f>
        <v>0.009</v>
      </c>
      <c r="M30" s="33">
        <f>IF($A30="","",MAX(0,$B30-$L30))</f>
        <v>0.0145</v>
      </c>
      <c r="N30" s="33">
        <f>IF($A30="","",IFERROR($L30/$B30,0))</f>
        <v>0.382978723404</v>
      </c>
    </row>
    <row r="31">
      <c r="A31" s="32">
        <f>IF(10&lt;=Settings!$B$12,10,"")</f>
        <v>10</v>
      </c>
      <c r="B31" s="33">
        <f>IF($A31="","",$M30)</f>
        <v>0.0145</v>
      </c>
      <c r="C31" s="32">
        <f>IF($A31="","",100)</f>
        <v>100</v>
      </c>
      <c r="D31" s="32">
        <f>IF($A31="","",200)</f>
        <v>200</v>
      </c>
      <c r="E31" s="33">
        <f>IF($A31="","",ROUND(($B31*Settings!$B$3)/Settings!$B$11,0)*Settings!$B$11)</f>
        <v>0.02</v>
      </c>
      <c r="F31" s="33">
        <f>IF($A31="","",ROUND(($E31*Settings!$B$4)/Settings!$B$11,0)*Settings!$B$11)</f>
        <v>0.01</v>
      </c>
      <c r="G31" s="33">
        <f>IF($A31="","",$E31*$C31*Settings!$B$9)</f>
        <v>2</v>
      </c>
      <c r="H31" s="33">
        <f>IF($A31="","",$F31*$C31*Settings!$B$9)</f>
        <v>1</v>
      </c>
      <c r="I31" s="33">
        <f>IF($A31="","",$G31-$H31)</f>
        <v>1</v>
      </c>
      <c r="J31" s="33">
        <f>IF($A31="","",MAX(0,$I31*Settings!$B$5))</f>
        <v>0.9</v>
      </c>
      <c r="K31" s="33">
        <f>IF($A31="","",MAX(0,$I31*Settings!$B$6))</f>
        <v>0.1</v>
      </c>
      <c r="L31" s="33">
        <f>IF($A31="","",MIN($B31,IFERROR($J31/($D31*Settings!$B$9),0)))</f>
        <v>0.0045</v>
      </c>
      <c r="M31" s="33">
        <f>IF($A31="","",MAX(0,$B31-$L31))</f>
        <v>0.01</v>
      </c>
      <c r="N31" s="33">
        <f>IF($A31="","",IFERROR($L31/$B31,0))</f>
        <v>0.310344827586</v>
      </c>
    </row>
  </sheetData>
  <mergeCells count="1">
    <mergeCell ref="A20:N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</row>
    <row r="2">
      <c r="A2" s="12" t="n">
        <v>1</v>
      </c>
      <c r="B2" s="13" t="str">
        <is>
          <t>BIG_SIDE</t>
        </is>
        <v>BIG_SIDE</v>
      </c>
      <c r="C2" s="13" t="inlineStr">
        <is>
          <t>SELL</t>
        </is>
      </c>
      <c r="D2" s="13">
        <f>Settings!$B$2</f>
        <v>1</v>
      </c>
      <c r="E2" s="12">
        <f>IF($B2="BLOCKED","",IF($C2="SELL","BUY","SELL"))</f>
        <v/>
      </c>
      <c r="F2" s="12">
        <f>IF($B2="BLOCKED",0,MAX(0,$D2*Settings!$B$3))</f>
        <v>1.3</v>
      </c>
      <c r="G2" s="12">
        <f>IF($B2="BLOCKED",0,IFERROR(MAX(0,ROUND($F2/Settings!$B$11,0)*Settings!$B$11),0))</f>
        <v>1.3</v>
      </c>
      <c r="H2" s="12">
        <f>IF($B2="BLOCKED","",$C2)</f>
        <v/>
      </c>
      <c r="I2" s="12">
        <f>IF($B2="BLOCKED",0,MAX(0,$G2*Settings!$B$4))</f>
        <v>0.468</v>
      </c>
      <c r="J2" s="12">
        <f>IF($B2="BLOCKED",0,IFERROR(MAX(0,ROUND($I2/Settings!$B$11,0)*Settings!$B$11),0))</f>
        <v>0.47</v>
      </c>
      <c r="K2" s="13">
        <f>$BH2</f>
        <v>100</v>
      </c>
      <c r="L2" s="13">
        <f>IF($B2="BLOCKED",0,-$BH2)</f>
        <v>-100</v>
      </c>
      <c r="M2" s="13">
        <f>$BI2</f>
        <v>200</v>
      </c>
      <c r="N2" s="14">
        <f>IF($B2="BIG_SIDE",$G2*$BH2*Settings!$B$9,0)</f>
        <v>130</v>
      </c>
      <c r="O2" s="14">
        <f>IF($B2="SMALL_SIDE",$J2*$BH2*Settings!$B$9,0)</f>
        <v/>
      </c>
      <c r="P2" s="15">
        <f>IF($B2="BIG_SIDE",$J2*$BH2*Settings!$B$9,0)</f>
        <v>47</v>
      </c>
      <c r="Q2" s="15">
        <f>IF($B2="SMALL_SIDE",$AL2*$BH2*Settings!$B$9,0)</f>
        <v/>
      </c>
      <c r="R2" s="15">
        <f>$AT2*$AU2</f>
        <v/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IF($B2="BIG_SIDE",IFERROR(MIN($D2,MAX(0,$T2/$U2)),0),0)</f>
        <v>0.3735</v>
      </c>
      <c r="W2" s="12">
        <f>IF($B2="BIG_SIDE",MAX(0,$D2-$V2),$AJ2)</f>
        <v>0.6265</v>
      </c>
      <c r="X2" s="19">
        <f>IF($B2="BIG_SIDE",IF($AX$2&gt;0,$AX$2*Settings!$B$6,0),IF($S$2&gt;0,$S$2*Settings!$B$6,0))</f>
        <v>8.3</v>
      </c>
      <c r="Y2" s="19">
        <f>IF(ROW()=2,$X2,$Y1+$X2)</f>
        <v>8.3</v>
      </c>
      <c r="Z2" s="12" t="n">
        <v>0</v>
      </c>
      <c r="AA2" s="12">
        <f>IF($B2="BLOCKED",$Z2+$BF2,IF($B2="BIG_SIDE",$Z2+$S2-$AS2,IF($B2="SMALL_SIDE",$Z2+$S2+$AI2,$Z2+$S2)))</f>
        <v>8.3</v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>74.7</v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IF($D2&gt;0,IFERROR($V2/$D2,0),0)</f>
        <v>0.3735</v>
      </c>
      <c r="BM2" t="b">
        <f>IF($BN2&lt;=0,FALSE,$Y2&gt;=$BN2)</f>
        <v>0</v>
      </c>
      <c r="BN2">
        <f>MAX(0,$W2*$BI2*Settings!$B$9)</f>
        <v>125.3</v>
      </c>
      <c r="BO2">
        <f>$Y2-$BN2</f>
        <v>-117</v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>
        <f>$BH3</f>
        <v/>
      </c>
      <c r="L3" s="13">
        <f>IF($B3="BLOCKED",0,-$BH3)</f>
        <v/>
      </c>
      <c r="M3" s="13">
        <f>$BI3</f>
        <v/>
      </c>
      <c r="N3" s="14">
        <f>IF($B3="BIG_SIDE",$G3*$BH3*Settings!$B$9,0)</f>
        <v/>
      </c>
      <c r="O3" s="14">
        <f>IF($B3="SMALL_SIDE",$J3*$BH3*Settings!$B$9,0)</f>
        <v/>
      </c>
      <c r="P3" s="15">
        <f>IF($B3="BIG_SIDE",$J3*$BH3*Settings!$B$9,0)</f>
        <v/>
      </c>
      <c r="Q3" s="15">
        <f>IF($B3="SMALL_SIDE",$AL3*$BH3*Settings!$B$9,0)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MAX(0,$BI3*Settings!$B$9)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IF($B3="BIG_SIDE",IF($AX$3&gt;0,$AX$3*Settings!$B$6,0),IF($S$3&gt;0,$S$3*Settings!$B$6,0))</f>
        <v/>
      </c>
      <c r="Y3" s="19">
        <f>IF(ROW()=2,$X3,$Y2+$X3)</f>
        <v/>
      </c>
      <c r="Z3" s="12">
        <f>$AA2</f>
        <v/>
      </c>
      <c r="AA3" s="12">
        <f>IF($B3="BLOCKED",$Z3+$BF3,IF($B3="BIG_SIDE",$Z3+$S3-$AS3,IF($B3="SMALL_SIDE",$Z3+$S3+$AI3,$Z3+$S3)))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  <c r="BH3">
        <f>IF($B3="BLOCKED",0,$BH2)</f>
        <v/>
      </c>
      <c r="BI3">
        <f>IF($B3="BLOCKED",0,$BI2)</f>
        <v/>
      </c>
      <c r="BJ3">
        <f>IF($B3="BIG_SIDE","BIG_HARVEST",IF($B3="SMALL_SIDE","SMALL_FLIP",IF($B3="BLOCKED","BLOCKED","")))</f>
        <v/>
      </c>
      <c r="BK3">
        <f>IF($B3="BIG_SIDE",IF(ROW()=2,1,$BK2+1),IF(ROW()=2,0,$BK2))</f>
        <v/>
      </c>
      <c r="BL3">
        <f>IF($D3&gt;0,IFERROR($V3/$D3,0),0)</f>
        <v/>
      </c>
      <c r="BM3">
        <f>IF($BN3&lt;=0,FALSE,$Y3&gt;=$BN3)</f>
        <v/>
      </c>
      <c r="BN3">
        <f>MAX(0,$W3*$BI3*Settings!$B$9)</f>
        <v/>
      </c>
      <c r="BO3">
        <f>$Y3-$BN3</f>
        <v/>
      </c>
    </row>
    <row r="4">
      <c r="A4" s="12" t="n">
        <v>3</v>
      </c>
      <c r="B4" s="13">
        <f>IF(AND($AQ3="MANUAL_READY",$BG3="YES"),"SMALL_SIDE",IF(OR($AP3="NO",$AQ3="DUAL_TAIL",$AQ3="DANGER",$AQ3="STOP",$AQ3="MANUAL_READY",$AQ3="STOP_CLEARED"),"BLOCKED","SMALL_SIDE"))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>
        <f>$BH4</f>
        <v/>
      </c>
      <c r="L4" s="13">
        <f>IF($B4="BLOCKED",0,-$BH4)</f>
        <v/>
      </c>
      <c r="M4" s="13">
        <f>$BI4</f>
        <v/>
      </c>
      <c r="N4" s="14">
        <f>IF($B4="BIG_SIDE",$G4*$BH4*Settings!$B$9,0)</f>
        <v/>
      </c>
      <c r="O4" s="14">
        <f>IF($B4="SMALL_SIDE",$J4*$BH4*Settings!$B$9,0)</f>
        <v/>
      </c>
      <c r="P4" s="15">
        <f>IF($B4="BIG_SIDE",$J4*$BH4*Settings!$B$9,0)</f>
        <v/>
      </c>
      <c r="Q4" s="15">
        <f>IF($B4="SMALL_SIDE",$AL4*$BH4*Settings!$B$9,0)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MAX(0,$BI4*Settings!$B$9)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IF($B4="BIG_SIDE",IF($AX$4&gt;0,$AX$4*Settings!$B$6,0),IF($S$4&gt;0,$S$4*Settings!$B$6,0))</f>
        <v/>
      </c>
      <c r="Y4" s="19">
        <f>IF(ROW()=2,$X4,$Y3+$X4)</f>
        <v/>
      </c>
      <c r="Z4" s="12">
        <f>$AA3</f>
        <v/>
      </c>
      <c r="AA4" s="12">
        <f>IF($B4="BLOCKED",$Z4+$BF4,IF($B4="BIG_SIDE",$Z4+$S4-$AS4,IF($B4="SMALL_SIDE",$Z4+$S4+$AI4,$Z4+$S4)))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YES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  <c r="BH4">
        <f>IF($B4="BLOCKED",0,$BH3)</f>
        <v/>
      </c>
      <c r="BI4">
        <f>IF($B4="BLOCKED",0,$BI3)</f>
        <v/>
      </c>
      <c r="BJ4">
        <f>IF($B4="BIG_SIDE","BIG_HARVEST",IF($B4="SMALL_SIDE","SMALL_FLIP",IF($B4="BLOCKED","BLOCKED","")))</f>
        <v/>
      </c>
      <c r="BK4">
        <f>IF($B4="BIG_SIDE",IF(ROW()=2,1,$BK3+1),IF(ROW()=2,0,$BK3))</f>
        <v/>
      </c>
      <c r="BL4">
        <f>IF($D4&gt;0,IFERROR($V4/$D4,0),0)</f>
        <v/>
      </c>
      <c r="BM4">
        <f>IF($BN4&lt;=0,FALSE,$Y4&gt;=$BN4)</f>
        <v/>
      </c>
      <c r="BN4">
        <f>MAX(0,$W4*$BI4*Settings!$B$9)</f>
        <v/>
      </c>
      <c r="BO4">
        <f>$Y4-$BN4</f>
        <v/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>
        <f>$BH5</f>
        <v/>
      </c>
      <c r="L5" s="13">
        <f>IF($B5="BLOCKED",0,-$BH5)</f>
        <v/>
      </c>
      <c r="M5" s="13">
        <f>$BI5</f>
        <v/>
      </c>
      <c r="N5" s="14">
        <f>IF($B5="BIG_SIDE",$G5*$BH5*Settings!$B$9,0)</f>
        <v/>
      </c>
      <c r="O5" s="14">
        <f>IF($B5="SMALL_SIDE",$J5*$BH5*Settings!$B$9,0)</f>
        <v/>
      </c>
      <c r="P5" s="15">
        <f>IF($B5="BIG_SIDE",$J5*$BH5*Settings!$B$9,0)</f>
        <v/>
      </c>
      <c r="Q5" s="15">
        <f>IF($B5="SMALL_SIDE",$AL5*$BH5*Settings!$B$9,0)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MAX(0,$BI5*Settings!$B$9)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IF($B5="BIG_SIDE",IF($AX$5&gt;0,$AX$5*Settings!$B$6,0),IF($S$5&gt;0,$S$5*Settings!$B$6,0))</f>
        <v/>
      </c>
      <c r="Y5" s="19">
        <f>IF(ROW()=2,$X5,$Y4+$X5)</f>
        <v/>
      </c>
      <c r="Z5" s="12">
        <f>$AA4</f>
        <v/>
      </c>
      <c r="AA5" s="12">
        <f>IF($B5="BLOCKED",$Z5+$BF5,IF($B5="BIG_SIDE",$Z5+$S5-$AS5,IF($B5="SMALL_SIDE",$Z5+$S5+$AI5,$Z5+$S5)))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  <c r="BH5">
        <f>IF($B5="BLOCKED",0,$BH4)</f>
        <v/>
      </c>
      <c r="BI5">
        <f>IF($B5="BLOCKED",0,$BI4)</f>
        <v/>
      </c>
      <c r="BJ5">
        <f>IF($B5="BIG_SIDE","BIG_HARVEST",IF($B5="SMALL_SIDE","SMALL_FLIP",IF($B5="BLOCKED","BLOCKED","")))</f>
        <v/>
      </c>
      <c r="BK5">
        <f>IF($B5="BIG_SIDE",IF(ROW()=2,1,$BK4+1),IF(ROW()=2,0,$BK4))</f>
        <v/>
      </c>
      <c r="BL5">
        <f>IF($D5&gt;0,IFERROR($V5/$D5,0),0)</f>
        <v/>
      </c>
      <c r="BM5">
        <f>IF($BN5&lt;=0,FALSE,$Y5&gt;=$BN5)</f>
        <v/>
      </c>
      <c r="BN5">
        <f>MAX(0,$W5*$BI5*Settings!$B$9)</f>
        <v/>
      </c>
      <c r="BO5">
        <f>$Y5-$BN5</f>
        <v/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>
        <f>$BH6</f>
        <v/>
      </c>
      <c r="L6" s="13">
        <f>IF($B6="BLOCKED",0,-$BH6)</f>
        <v/>
      </c>
      <c r="M6" s="13">
        <f>$BI6</f>
        <v/>
      </c>
      <c r="N6" s="14">
        <f>IF($B6="BIG_SIDE",$G6*$BH6*Settings!$B$9,0)</f>
        <v/>
      </c>
      <c r="O6" s="14">
        <f>IF($B6="SMALL_SIDE",$J6*$BH6*Settings!$B$9,0)</f>
        <v/>
      </c>
      <c r="P6" s="15">
        <f>IF($B6="BIG_SIDE",$J6*$BH6*Settings!$B$9,0)</f>
        <v/>
      </c>
      <c r="Q6" s="15">
        <f>IF($B6="SMALL_SIDE",$AL6*$BH6*Settings!$B$9,0)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MAX(0,$BI6*Settings!$B$9)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IF($B6="BIG_SIDE",IF($AX$6&gt;0,$AX$6*Settings!$B$6,0),IF($S$6&gt;0,$S$6*Settings!$B$6,0))</f>
        <v/>
      </c>
      <c r="Y6" s="19">
        <f>IF(ROW()=2,$X6,$Y5+$X6)</f>
        <v/>
      </c>
      <c r="Z6" s="12">
        <f>$AA5</f>
        <v/>
      </c>
      <c r="AA6" s="12">
        <f>IF($B6="BLOCKED",$Z6+$BF6,IF($B6="BIG_SIDE",$Z6+$S6-$AS6,IF($B6="SMALL_SIDE",$Z6+$S6+$AI6,$Z6+$S6)))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  <c r="BH6">
        <f>IF($B6="BLOCKED",0,$BH5)</f>
        <v/>
      </c>
      <c r="BI6">
        <f>IF($B6="BLOCKED",0,$BI5)</f>
        <v/>
      </c>
      <c r="BJ6">
        <f>IF($B6="BIG_SIDE","BIG_HARVEST",IF($B6="SMALL_SIDE","SMALL_FLIP",IF($B6="BLOCKED","BLOCKED","")))</f>
        <v/>
      </c>
      <c r="BK6">
        <f>IF($B6="BIG_SIDE",IF(ROW()=2,1,$BK5+1),IF(ROW()=2,0,$BK5))</f>
        <v/>
      </c>
      <c r="BL6">
        <f>IF($D6&gt;0,IFERROR($V6/$D6,0),0)</f>
        <v/>
      </c>
      <c r="BM6">
        <f>IF($BN6&lt;=0,FALSE,$Y6&gt;=$BN6)</f>
        <v/>
      </c>
      <c r="BN6">
        <f>MAX(0,$W6*$BI6*Settings!$B$9)</f>
        <v/>
      </c>
      <c r="BO6">
        <f>$Y6-$BN6</f>
        <v/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>
        <f>$BH7</f>
        <v/>
      </c>
      <c r="L7" s="13">
        <f>IF($B7="BLOCKED",0,-$BH7)</f>
        <v/>
      </c>
      <c r="M7" s="13">
        <f>$BI7</f>
        <v/>
      </c>
      <c r="N7" s="14">
        <f>IF($B7="BIG_SIDE",$G7*$BH7*Settings!$B$9,0)</f>
        <v/>
      </c>
      <c r="O7" s="14">
        <f>IF($B7="SMALL_SIDE",$J7*$BH7*Settings!$B$9,0)</f>
        <v/>
      </c>
      <c r="P7" s="15">
        <f>IF($B7="BIG_SIDE",$J7*$BH7*Settings!$B$9,0)</f>
        <v/>
      </c>
      <c r="Q7" s="15">
        <f>IF($B7="SMALL_SIDE",$AL7*$BH7*Settings!$B$9,0)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MAX(0,$BI7*Settings!$B$9)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IF($B7="BIG_SIDE",IF($AX$7&gt;0,$AX$7*Settings!$B$6,0),IF($S$7&gt;0,$S$7*Settings!$B$6,0))</f>
        <v/>
      </c>
      <c r="Y7" s="19">
        <f>IF(ROW()=2,$X7,$Y6+$X7)</f>
        <v/>
      </c>
      <c r="Z7" s="12">
        <f>$AA6</f>
        <v/>
      </c>
      <c r="AA7" s="12">
        <f>IF($B7="BLOCKED",$Z7+$BF7,IF($B7="BIG_SIDE",$Z7+$S7-$AS7,IF($B7="SMALL_SIDE",$Z7+$S7+$AI7,$Z7+$S7)))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  <c r="BH7">
        <f>IF($B7="BLOCKED",0,$BH6)</f>
        <v/>
      </c>
      <c r="BI7">
        <f>IF($B7="BLOCKED",0,$BI6)</f>
        <v/>
      </c>
      <c r="BJ7">
        <f>IF($B7="BIG_SIDE","BIG_HARVEST",IF($B7="SMALL_SIDE","SMALL_FLIP",IF($B7="BLOCKED","BLOCKED","")))</f>
        <v/>
      </c>
      <c r="BK7">
        <f>IF($B7="BIG_SIDE",IF(ROW()=2,1,$BK6+1),IF(ROW()=2,0,$BK6))</f>
        <v/>
      </c>
      <c r="BL7">
        <f>IF($D7&gt;0,IFERROR($V7/$D7,0),0)</f>
        <v/>
      </c>
      <c r="BM7">
        <f>IF($BN7&lt;=0,FALSE,$Y7&gt;=$BN7)</f>
        <v/>
      </c>
      <c r="BN7">
        <f>MAX(0,$W7*$BI7*Settings!$B$9)</f>
        <v/>
      </c>
      <c r="BO7">
        <f>$Y7-$BN7</f>
        <v/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>
        <f>$BH8</f>
        <v/>
      </c>
      <c r="L8" s="13">
        <f>IF($B8="BLOCKED",0,-$BH8)</f>
        <v/>
      </c>
      <c r="M8" s="13">
        <f>$BI8</f>
        <v/>
      </c>
      <c r="N8" s="14">
        <f>IF($B8="BIG_SIDE",$G8*$BH8*Settings!$B$9,0)</f>
        <v/>
      </c>
      <c r="O8" s="14">
        <f>IF($B8="SMALL_SIDE",$J8*$BH8*Settings!$B$9,0)</f>
        <v/>
      </c>
      <c r="P8" s="15">
        <f>IF($B8="BIG_SIDE",$J8*$BH8*Settings!$B$9,0)</f>
        <v/>
      </c>
      <c r="Q8" s="15">
        <f>IF($B8="SMALL_SIDE",$AL8*$BH8*Settings!$B$9,0)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MAX(0,$BI8*Settings!$B$9)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IF($B8="BIG_SIDE",IF($AX$8&gt;0,$AX$8*Settings!$B$6,0),IF($S$8&gt;0,$S$8*Settings!$B$6,0))</f>
        <v/>
      </c>
      <c r="Y8" s="19">
        <f>IF(ROW()=2,$X8,$Y7+$X8)</f>
        <v/>
      </c>
      <c r="Z8" s="12">
        <f>$AA7</f>
        <v/>
      </c>
      <c r="AA8" s="12">
        <f>IF($B8="BLOCKED",$Z8+$BF8,IF($B8="BIG_SIDE",$Z8+$S8-$AS8,IF($B8="SMALL_SIDE",$Z8+$S8+$AI8,$Z8+$S8)))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  <c r="BH8">
        <f>IF($B8="BLOCKED",0,$BH7)</f>
        <v/>
      </c>
      <c r="BI8">
        <f>IF($B8="BLOCKED",0,$BI7)</f>
        <v/>
      </c>
      <c r="BJ8">
        <f>IF($B8="BIG_SIDE","BIG_HARVEST",IF($B8="SMALL_SIDE","SMALL_FLIP",IF($B8="BLOCKED","BLOCKED","")))</f>
        <v/>
      </c>
      <c r="BK8">
        <f>IF($B8="BIG_SIDE",IF(ROW()=2,1,$BK7+1),IF(ROW()=2,0,$BK7))</f>
        <v/>
      </c>
      <c r="BL8">
        <f>IF($D8&gt;0,IFERROR($V8/$D8,0),0)</f>
        <v/>
      </c>
      <c r="BM8">
        <f>IF($BN8&lt;=0,FALSE,$Y8&gt;=$BN8)</f>
        <v/>
      </c>
      <c r="BN8">
        <f>MAX(0,$W8*$BI8*Settings!$B$9)</f>
        <v/>
      </c>
      <c r="BO8">
        <f>$Y8-$BN8</f>
        <v/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>
        <f>$BH9</f>
        <v/>
      </c>
      <c r="L9" s="13">
        <f>IF($B9="BLOCKED",0,-$BH9)</f>
        <v/>
      </c>
      <c r="M9" s="13">
        <f>$BI9</f>
        <v/>
      </c>
      <c r="N9" s="14">
        <f>IF($B9="BIG_SIDE",$G9*$BH9*Settings!$B$9,0)</f>
        <v/>
      </c>
      <c r="O9" s="14">
        <f>IF($B9="SMALL_SIDE",$J9*$BH9*Settings!$B$9,0)</f>
        <v/>
      </c>
      <c r="P9" s="15">
        <f>IF($B9="BIG_SIDE",$J9*$BH9*Settings!$B$9,0)</f>
        <v/>
      </c>
      <c r="Q9" s="15">
        <f>IF($B9="SMALL_SIDE",$AL9*$BH9*Settings!$B$9,0)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MAX(0,$BI9*Settings!$B$9)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IF($B9="BIG_SIDE",IF($AX$9&gt;0,$AX$9*Settings!$B$6,0),IF($S$9&gt;0,$S$9*Settings!$B$6,0))</f>
        <v/>
      </c>
      <c r="Y9" s="19">
        <f>IF(ROW()=2,$X9,$Y8+$X9)</f>
        <v/>
      </c>
      <c r="Z9" s="12">
        <f>$AA8</f>
        <v/>
      </c>
      <c r="AA9" s="12">
        <f>IF($B9="BLOCKED",$Z9+$BF9,IF($B9="BIG_SIDE",$Z9+$S9-$AS9,IF($B9="SMALL_SIDE",$Z9+$S9+$AI9,$Z9+$S9)))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  <c r="BH9">
        <f>IF($B9="BLOCKED",0,$BH8)</f>
        <v/>
      </c>
      <c r="BI9">
        <f>IF($B9="BLOCKED",0,$BI8)</f>
        <v/>
      </c>
      <c r="BJ9">
        <f>IF($B9="BIG_SIDE","BIG_HARVEST",IF($B9="SMALL_SIDE","SMALL_FLIP",IF($B9="BLOCKED","BLOCKED","")))</f>
        <v/>
      </c>
      <c r="BK9">
        <f>IF($B9="BIG_SIDE",IF(ROW()=2,1,$BK8+1),IF(ROW()=2,0,$BK8))</f>
        <v/>
      </c>
      <c r="BL9">
        <f>IF($D9&gt;0,IFERROR($V9/$D9,0),0)</f>
        <v/>
      </c>
      <c r="BM9">
        <f>IF($BN9&lt;=0,FALSE,$Y9&gt;=$BN9)</f>
        <v/>
      </c>
      <c r="BN9">
        <f>MAX(0,$W9*$BI9*Settings!$B$9)</f>
        <v/>
      </c>
      <c r="BO9">
        <f>$Y9-$BN9</f>
        <v/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>
        <f>$BH10</f>
        <v/>
      </c>
      <c r="L10" s="13">
        <f>IF($B10="BLOCKED",0,-$BH10)</f>
        <v/>
      </c>
      <c r="M10" s="13">
        <f>$BI10</f>
        <v/>
      </c>
      <c r="N10" s="14">
        <f>IF($B10="BIG_SIDE",$G10*$BH10*Settings!$B$9,0)</f>
        <v/>
      </c>
      <c r="O10" s="14">
        <f>IF($B10="SMALL_SIDE",$J10*$BH10*Settings!$B$9,0)</f>
        <v/>
      </c>
      <c r="P10" s="15">
        <f>IF($B10="BIG_SIDE",$J10*$BH10*Settings!$B$9,0)</f>
        <v/>
      </c>
      <c r="Q10" s="15">
        <f>IF($B10="SMALL_SIDE",$AL10*$BH10*Settings!$B$9,0)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MAX(0,$BI10*Settings!$B$9)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IF($B10="BIG_SIDE",IF($AX$10&gt;0,$AX$10*Settings!$B$6,0),IF($S$10&gt;0,$S$10*Settings!$B$6,0))</f>
        <v/>
      </c>
      <c r="Y10" s="19">
        <f>IF(ROW()=2,$X10,$Y9+$X10)</f>
        <v/>
      </c>
      <c r="Z10" s="12">
        <f>$AA9</f>
        <v/>
      </c>
      <c r="AA10" s="12">
        <f>IF($B10="BLOCKED",$Z10+$BF10,IF($B10="BIG_SIDE",$Z10+$S10-$AS10,IF($B10="SMALL_SIDE",$Z10+$S10+$AI10,$Z10+$S10)))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  <c r="BH10">
        <f>IF($B10="BLOCKED",0,$BH9)</f>
        <v/>
      </c>
      <c r="BI10">
        <f>IF($B10="BLOCKED",0,$BI9)</f>
        <v/>
      </c>
      <c r="BJ10">
        <f>IF($B10="BIG_SIDE","BIG_HARVEST",IF($B10="SMALL_SIDE","SMALL_FLIP",IF($B10="BLOCKED","BLOCKED","")))</f>
        <v/>
      </c>
      <c r="BK10">
        <f>IF($B10="BIG_SIDE",IF(ROW()=2,1,$BK9+1),IF(ROW()=2,0,$BK9))</f>
        <v/>
      </c>
      <c r="BL10">
        <f>IF($D10&gt;0,IFERROR($V10/$D10,0),0)</f>
        <v/>
      </c>
      <c r="BM10">
        <f>IF($BN10&lt;=0,FALSE,$Y10&gt;=$BN10)</f>
        <v/>
      </c>
      <c r="BN10">
        <f>MAX(0,$W10*$BI10*Settings!$B$9)</f>
        <v/>
      </c>
      <c r="BO10">
        <f>$Y10-$BN10</f>
        <v/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>
        <f>$BH11</f>
        <v/>
      </c>
      <c r="L11" s="13">
        <f>IF($B11="BLOCKED",0,-$BH11)</f>
        <v/>
      </c>
      <c r="M11" s="13">
        <f>$BI11</f>
        <v/>
      </c>
      <c r="N11" s="14">
        <f>IF($B11="BIG_SIDE",$G11*$BH11*Settings!$B$9,0)</f>
        <v/>
      </c>
      <c r="O11" s="14">
        <f>IF($B11="SMALL_SIDE",$J11*$BH11*Settings!$B$9,0)</f>
        <v/>
      </c>
      <c r="P11" s="15">
        <f>IF($B11="BIG_SIDE",$J11*$BH11*Settings!$B$9,0)</f>
        <v/>
      </c>
      <c r="Q11" s="15">
        <f>IF($B11="SMALL_SIDE",$AL11*$BH11*Settings!$B$9,0)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MAX(0,$BI11*Settings!$B$9)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IF($B11="BIG_SIDE",IF($AX$11&gt;0,$AX$11*Settings!$B$6,0),IF($S$11&gt;0,$S$11*Settings!$B$6,0))</f>
        <v/>
      </c>
      <c r="Y11" s="19">
        <f>IF(ROW()=2,$X11,$Y10+$X11)</f>
        <v/>
      </c>
      <c r="Z11" s="12">
        <f>$AA10</f>
        <v/>
      </c>
      <c r="AA11" s="12">
        <f>IF($B11="BLOCKED",$Z11+$BF11,IF($B11="BIG_SIDE",$Z11+$S11-$AS11,IF($B11="SMALL_SIDE",$Z11+$S11+$AI11,$Z11+$S11)))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  <c r="BH11">
        <f>IF($B11="BLOCKED",0,$BH10)</f>
        <v/>
      </c>
      <c r="BI11">
        <f>IF($B11="BLOCKED",0,$BI10)</f>
        <v/>
      </c>
      <c r="BJ11">
        <f>IF($B11="BIG_SIDE","BIG_HARVEST",IF($B11="SMALL_SIDE","SMALL_FLIP",IF($B11="BLOCKED","BLOCKED","")))</f>
        <v/>
      </c>
      <c r="BK11">
        <f>IF($B11="BIG_SIDE",IF(ROW()=2,1,$BK10+1),IF(ROW()=2,0,$BK10))</f>
        <v/>
      </c>
      <c r="BL11">
        <f>IF($D11&gt;0,IFERROR($V11/$D11,0),0)</f>
        <v/>
      </c>
      <c r="BM11">
        <f>IF($BN11&lt;=0,FALSE,$Y11&gt;=$BN11)</f>
        <v/>
      </c>
      <c r="BN11">
        <f>MAX(0,$W11*$BI11*Settings!$B$9)</f>
        <v/>
      </c>
      <c r="BO11">
        <f>$Y11-$BN11</f>
        <v/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O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</row>
    <row r="2">
      <c r="A2" s="12" t="n">
        <v>1</v>
      </c>
      <c r="B2" s="13" t="str">
        <is>
          <t>BIG_SIDE</t>
        </is>
        <v>BIG_SIDE</v>
      </c>
      <c r="C2" s="13" t="inlineStr">
        <is>
          <t>SELL</t>
        </is>
      </c>
      <c r="D2" s="13">
        <f>Settings!$B$2</f>
        <v>1</v>
      </c>
      <c r="E2" s="12">
        <f>IF($B2="BLOCKED","",IF($C2="SELL","BUY","SELL"))</f>
        <v/>
      </c>
      <c r="F2" s="12">
        <f>IF($B2="BLOCKED",0,MAX(0,$D2*Settings!$B$3))</f>
        <v>1.3</v>
      </c>
      <c r="G2" s="12">
        <f>IF($B2="BLOCKED",0,IFERROR(MAX(0,ROUND($F2/Settings!$B$11,0)*Settings!$B$11),0))</f>
        <v>1.3</v>
      </c>
      <c r="H2" s="12">
        <f>IF($B2="BLOCKED","",$C2)</f>
        <v/>
      </c>
      <c r="I2" s="12">
        <f>IF($B2="BLOCKED",0,MAX(0,$G2*Settings!$B$4))</f>
        <v>0.468</v>
      </c>
      <c r="J2" s="12">
        <f>IF($B2="BLOCKED",0,IFERROR(MAX(0,ROUND($I2/Settings!$B$11,0)*Settings!$B$11),0))</f>
        <v>0.47</v>
      </c>
      <c r="K2" s="13">
        <f>$BH2</f>
        <v>100</v>
      </c>
      <c r="L2" s="13">
        <f>IF($B2="BLOCKED",0,-$BH2)</f>
        <v>-100</v>
      </c>
      <c r="M2" s="13">
        <f>$BI2</f>
        <v>200</v>
      </c>
      <c r="N2" s="14">
        <f>IF($B2="BIG_SIDE",$G2*$BH2*Settings!$B$9,0)</f>
        <v>130</v>
      </c>
      <c r="O2" s="14">
        <f>IF($B2="SMALL_SIDE",$J2*$BH2*Settings!$B$9,0)</f>
        <v/>
      </c>
      <c r="P2" s="15">
        <f>IF($B2="BIG_SIDE",$J2*$BH2*Settings!$B$9,0)</f>
        <v>47</v>
      </c>
      <c r="Q2" s="15">
        <f>IF($B2="SMALL_SIDE",$AL2*$BH2*Settings!$B$9,0)</f>
        <v/>
      </c>
      <c r="R2" s="15">
        <f>$AT2*$AU2</f>
        <v/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IF($B2="BIG_SIDE",IFERROR(MIN($D2,MAX(0,$T2/$U2)),0),0)</f>
        <v>0.3735</v>
      </c>
      <c r="W2" s="12">
        <f>IF($B2="BIG_SIDE",MAX(0,$D2-$V2),$AJ2)</f>
        <v>0.6265</v>
      </c>
      <c r="X2" s="19">
        <f>IF($B2="BIG_SIDE",IF($AX$2&gt;0,$AX$2*Settings!$B$6,0),IF($S$2&gt;0,$S$2*Settings!$B$6,0))</f>
        <v>8.3</v>
      </c>
      <c r="Y2" s="19">
        <f>IF(ROW()=2,$X2,$Y1+$X2)</f>
        <v>8.3</v>
      </c>
      <c r="Z2" s="12" t="n">
        <v>0</v>
      </c>
      <c r="AA2" s="12">
        <f>IF($B2="BLOCKED",$Z2+$BF2,IF($B2="BIG_SIDE",$Z2+$S2-$AS2,IF($B2="SMALL_SIDE",$Z2+$S2+$AI2,$Z2+$S2)))</f>
        <v>8.3</v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>74.7</v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IF($D2&gt;0,IFERROR($V2/$D2,0),0)</f>
        <v>0.3735</v>
      </c>
      <c r="BM2" t="b">
        <f>IF($BN2&lt;=0,FALSE,$Y2&gt;=$BN2)</f>
        <v>0</v>
      </c>
      <c r="BN2">
        <f>MAX(0,$W2*$BI2*Settings!$B$9)</f>
        <v>125.3</v>
      </c>
      <c r="BO2">
        <f>$Y2-$BN2</f>
        <v>-117</v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>
        <f>$BH3</f>
        <v/>
      </c>
      <c r="L3" s="13">
        <f>IF($B3="BLOCKED",0,-$BH3)</f>
        <v/>
      </c>
      <c r="M3" s="13">
        <f>$BI3</f>
        <v/>
      </c>
      <c r="N3" s="14">
        <f>IF($B3="BIG_SIDE",$G3*$BH3*Settings!$B$9,0)</f>
        <v/>
      </c>
      <c r="O3" s="14">
        <f>IF($B3="SMALL_SIDE",$J3*$BH3*Settings!$B$9,0)</f>
        <v/>
      </c>
      <c r="P3" s="15">
        <f>IF($B3="BIG_SIDE",$J3*$BH3*Settings!$B$9,0)</f>
        <v/>
      </c>
      <c r="Q3" s="15">
        <f>IF($B3="SMALL_SIDE",$AL3*$BH3*Settings!$B$9,0)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MAX(0,$BI3*Settings!$B$9)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IF($B3="BIG_SIDE",IF($AX$3&gt;0,$AX$3*Settings!$B$6,0),IF($S$3&gt;0,$S$3*Settings!$B$6,0))</f>
        <v/>
      </c>
      <c r="Y3" s="19">
        <f>IF(ROW()=2,$X3,$Y2+$X3)</f>
        <v/>
      </c>
      <c r="Z3" s="12">
        <f>$AA2</f>
        <v/>
      </c>
      <c r="AA3" s="12">
        <f>IF($B3="BLOCKED",$Z3+$BF3,IF($B3="BIG_SIDE",$Z3+$S3-$AS3,IF($B3="SMALL_SIDE",$Z3+$S3+$AI3,$Z3+$S3)))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  <c r="BH3">
        <f>IF($B3="BLOCKED",0,$BH2)</f>
        <v/>
      </c>
      <c r="BI3">
        <f>IF($B3="BLOCKED",0,$BI2)</f>
        <v/>
      </c>
      <c r="BJ3">
        <f>IF($B3="BIG_SIDE","BIG_HARVEST",IF($B3="SMALL_SIDE","SMALL_FLIP",IF($B3="BLOCKED","BLOCKED","")))</f>
        <v/>
      </c>
      <c r="BK3">
        <f>IF($B3="BIG_SIDE",IF(ROW()=2,1,$BK2+1),IF(ROW()=2,0,$BK2))</f>
        <v/>
      </c>
      <c r="BL3">
        <f>IF($D3&gt;0,IFERROR($V3/$D3,0),0)</f>
        <v/>
      </c>
      <c r="BM3">
        <f>IF($BN3&lt;=0,FALSE,$Y3&gt;=$BN3)</f>
        <v/>
      </c>
      <c r="BN3">
        <f>MAX(0,$W3*$BI3*Settings!$B$9)</f>
        <v/>
      </c>
      <c r="BO3">
        <f>$Y3-$BN3</f>
        <v/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>
        <f>$BH4</f>
        <v/>
      </c>
      <c r="L4" s="13">
        <f>IF($B4="BLOCKED",0,-$BH4)</f>
        <v/>
      </c>
      <c r="M4" s="13">
        <f>$BI4</f>
        <v/>
      </c>
      <c r="N4" s="14">
        <f>IF($B4="BIG_SIDE",$G4*$BH4*Settings!$B$9,0)</f>
        <v/>
      </c>
      <c r="O4" s="14">
        <f>IF($B4="SMALL_SIDE",$J4*$BH4*Settings!$B$9,0)</f>
        <v/>
      </c>
      <c r="P4" s="15">
        <f>IF($B4="BIG_SIDE",$J4*$BH4*Settings!$B$9,0)</f>
        <v/>
      </c>
      <c r="Q4" s="15">
        <f>IF($B4="SMALL_SIDE",$AL4*$BH4*Settings!$B$9,0)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MAX(0,$BI4*Settings!$B$9)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IF($B4="BIG_SIDE",IF($AX$4&gt;0,$AX$4*Settings!$B$6,0),IF($S$4&gt;0,$S$4*Settings!$B$6,0))</f>
        <v/>
      </c>
      <c r="Y4" s="19">
        <f>IF(ROW()=2,$X4,$Y3+$X4)</f>
        <v/>
      </c>
      <c r="Z4" s="12">
        <f>$AA3</f>
        <v/>
      </c>
      <c r="AA4" s="12">
        <f>IF($B4="BLOCKED",$Z4+$BF4,IF($B4="BIG_SIDE",$Z4+$S4-$AS4,IF($B4="SMALL_SIDE",$Z4+$S4+$AI4,$Z4+$S4)))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  <c r="BH4">
        <f>IF($B4="BLOCKED",0,$BH3)</f>
        <v/>
      </c>
      <c r="BI4">
        <f>IF($B4="BLOCKED",0,$BI3)</f>
        <v/>
      </c>
      <c r="BJ4">
        <f>IF($B4="BIG_SIDE","BIG_HARVEST",IF($B4="SMALL_SIDE","SMALL_FLIP",IF($B4="BLOCKED","BLOCKED","")))</f>
        <v/>
      </c>
      <c r="BK4">
        <f>IF($B4="BIG_SIDE",IF(ROW()=2,1,$BK3+1),IF(ROW()=2,0,$BK3))</f>
        <v/>
      </c>
      <c r="BL4">
        <f>IF($D4&gt;0,IFERROR($V4/$D4,0),0)</f>
        <v/>
      </c>
      <c r="BM4">
        <f>IF($BN4&lt;=0,FALSE,$Y4&gt;=$BN4)</f>
        <v/>
      </c>
      <c r="BN4">
        <f>MAX(0,$W4*$BI4*Settings!$B$9)</f>
        <v/>
      </c>
      <c r="BO4">
        <f>$Y4-$BN4</f>
        <v/>
      </c>
    </row>
    <row r="5">
      <c r="A5" s="12" t="n">
        <v>4</v>
      </c>
      <c r="B5" s="13" t="str">
        <f>IF(AND($AQ4="MANUAL_READY",$BG4="YES"),"SMALL_SIDE",IF(OR($AP4="NO",$AQ4="DUAL_TAIL",$AQ4="DANGER",$AQ4="STOP",$AQ4="MANUAL_READY",$AQ4="STOP_CLEARED"),"BLOCKED","SMALL_SIDE"))</f>
        <v>SMALL_SIDE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>
        <f>$BH5</f>
        <v/>
      </c>
      <c r="L5" s="13">
        <f>IF($B5="BLOCKED",0,-$BH5)</f>
        <v/>
      </c>
      <c r="M5" s="13">
        <f>$BI5</f>
        <v/>
      </c>
      <c r="N5" s="14">
        <f>IF($B5="BIG_SIDE",$G5*$BH5*Settings!$B$9,0)</f>
        <v/>
      </c>
      <c r="O5" s="14">
        <f>IF($B5="SMALL_SIDE",$J5*$BH5*Settings!$B$9,0)</f>
        <v/>
      </c>
      <c r="P5" s="15">
        <f>IF($B5="BIG_SIDE",$J5*$BH5*Settings!$B$9,0)</f>
        <v/>
      </c>
      <c r="Q5" s="15">
        <f>IF($B5="SMALL_SIDE",$AL5*$BH5*Settings!$B$9,0)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MAX(0,$BI5*Settings!$B$9)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IF($B5="BIG_SIDE",IF($AX$5&gt;0,$AX$5*Settings!$B$6,0),IF($S$5&gt;0,$S$5*Settings!$B$6,0))</f>
        <v/>
      </c>
      <c r="Y5" s="19">
        <f>IF(ROW()=2,$X5,$Y4+$X5)</f>
        <v/>
      </c>
      <c r="Z5" s="12">
        <f>$AA4</f>
        <v/>
      </c>
      <c r="AA5" s="12">
        <f>IF($B5="BLOCKED",$Z5+$BF5,IF($B5="BIG_SIDE",$Z5+$S5-$AS5,IF($B5="SMALL_SIDE",$Z5+$S5+$AI5,$Z5+$S5)))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>0.9896</v>
      </c>
      <c r="AD5" s="12">
        <f>$AB5*Settings!$B$10</f>
        <v/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IF($B5="BLOCKED",IF($BB4&gt;0,$BB4,$BA4),IF($B5="SMALL_SIDE",$AM5,$W5))</f>
        <v>0.468</v>
      </c>
      <c r="AH5" s="13" t="inlineStr">
        <is>
          <t>NO</t>
        </is>
      </c>
      <c r="AI5" s="13" t="n">
        <v>0</v>
      </c>
      <c r="AJ5" s="12">
        <f>IF($B5="SMALL_SIDE",MAX(0,$D5-$AV5),0)</f>
        <v>0.5216</v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DUAL_TAIL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>
        <v>0</v>
      </c>
      <c r="BE5" s="13">
        <v>0</v>
      </c>
      <c r="BF5" s="20">
        <v>0</v>
      </c>
      <c r="BG5" s="13" t="inlineStr">
        <is>
          <t>NO</t>
        </is>
      </c>
      <c r="BH5">
        <f>IF($B5="BLOCKED",0,$BH4)</f>
        <v/>
      </c>
      <c r="BI5">
        <f>IF($B5="BLOCKED",0,$BI4)</f>
        <v/>
      </c>
      <c r="BJ5">
        <f>IF($B5="BIG_SIDE","BIG_HARVEST",IF($B5="SMALL_SIDE","SMALL_FLIP",IF($B5="BLOCKED","BLOCKED","")))</f>
        <v/>
      </c>
      <c r="BK5">
        <f>IF($B5="BIG_SIDE",IF(ROW()=2,1,$BK4+1),IF(ROW()=2,0,$BK4))</f>
        <v/>
      </c>
      <c r="BL5">
        <f>IF($D5&gt;0,IFERROR($V5/$D5,0),0)</f>
        <v/>
      </c>
      <c r="BM5">
        <f>IF($BN5&lt;=0,FALSE,$Y5&gt;=$BN5)</f>
        <v/>
      </c>
      <c r="BN5">
        <f>MAX(0,$W5*$BI5*Settings!$B$9)</f>
        <v/>
      </c>
      <c r="BO5">
        <f>$Y5-$BN5</f>
        <v/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>
        <f>$BH6</f>
        <v/>
      </c>
      <c r="L6" s="13">
        <f>IF($B6="BLOCKED",0,-$BH6)</f>
        <v/>
      </c>
      <c r="M6" s="13">
        <f>$BI6</f>
        <v/>
      </c>
      <c r="N6" s="14">
        <f>IF($B6="BIG_SIDE",$G6*$BH6*Settings!$B$9,0)</f>
        <v>0</v>
      </c>
      <c r="O6" s="14">
        <f>IF($B6="SMALL_SIDE",$J6*$BH6*Settings!$B$9,0)</f>
        <v>0</v>
      </c>
      <c r="P6" s="15">
        <f>IF($B6="BIG_SIDE",$J6*$BH6*Settings!$B$9,0)</f>
        <v>0</v>
      </c>
      <c r="Q6" s="15">
        <f>IF($B6="SMALL_SIDE",$AL6*$BH6*Settings!$B$9,0)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MAX(0,$BI6*Settings!$B$9)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IF($B6="BIG_SIDE",IF($AX$6&gt;0,$AX$6*Settings!$B$6,0),IF($S$6&gt;0,$S$6*Settings!$B$6,0))</f>
        <v>0</v>
      </c>
      <c r="Y6" s="19">
        <f>IF(ROW()=2,$X6,$Y5+$X6)</f>
        <v/>
      </c>
      <c r="Z6" s="12">
        <f>$AA5</f>
        <v/>
      </c>
      <c r="AA6" s="12">
        <f>IF($B6="BLOCKED",$Z6+$BF6,IF($B6="BIG_SIDE",$Z6+$S6-$AS6,IF($B6="SMALL_SIDE",$Z6+$S6+$AI6,$Z6+$S6)))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>
        <v>0</v>
      </c>
      <c r="BE6" s="13">
        <v>0</v>
      </c>
      <c r="BF6" s="20">
        <v>0</v>
      </c>
      <c r="BG6" s="13" t="inlineStr">
        <is>
          <t>NO</t>
        </is>
      </c>
      <c r="BH6">
        <f>IF($B6="BLOCKED",0,$BH5)</f>
        <v/>
      </c>
      <c r="BI6">
        <f>IF($B6="BLOCKED",0,$BI5)</f>
        <v/>
      </c>
      <c r="BJ6">
        <f>IF($B6="BIG_SIDE","BIG_HARVEST",IF($B6="SMALL_SIDE","SMALL_FLIP",IF($B6="BLOCKED","BLOCKED","")))</f>
        <v/>
      </c>
      <c r="BK6">
        <f>IF($B6="BIG_SIDE",IF(ROW()=2,1,$BK5+1),IF(ROW()=2,0,$BK5))</f>
        <v/>
      </c>
      <c r="BL6">
        <f>IF($D6&gt;0,IFERROR($V6/$D6,0),0)</f>
        <v>0</v>
      </c>
      <c r="BM6" t="b">
        <f>IF($BN6&lt;=0,FALSE,$Y6&gt;=$BN6)</f>
        <v>0</v>
      </c>
      <c r="BN6">
        <f>MAX(0,$W6*$BI6*Settings!$B$9)</f>
        <v>197.92</v>
      </c>
      <c r="BO6">
        <f>$Y6-$BN6</f>
        <v>-197.92</v>
      </c>
    </row>
    <row r="7">
      <c r="A7" s="12" t="n">
        <v>6</v>
      </c>
      <c r="B7" s="13" t="str">
        <f>IF(AND($AQ6="MANUAL_READY",$BG6="YES"),"BIG_SIDE",IF(OR($AP6="NO",$AQ6="DUAL_TAIL",$AQ6="DANGER",$AQ6="STOP",$AQ6="MANUAL_READY",$AQ6="STOP_CLEARED"),"BLOCKED","BIG_SIDE"))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>
        <f>$BH7</f>
        <v/>
      </c>
      <c r="L7" s="13">
        <f>IF($B7="BLOCKED",0,-$BH7)</f>
        <v/>
      </c>
      <c r="M7" s="13">
        <f>$BI7</f>
        <v/>
      </c>
      <c r="N7" s="14">
        <f>IF($B7="BIG_SIDE",$G7*$BH7*Settings!$B$9,0)</f>
        <v>0</v>
      </c>
      <c r="O7" s="14">
        <f>IF($B7="SMALL_SIDE",$J7*$BH7*Settings!$B$9,0)</f>
        <v>0</v>
      </c>
      <c r="P7" s="15">
        <f>IF($B7="BIG_SIDE",$J7*$BH7*Settings!$B$9,0)</f>
        <v>0</v>
      </c>
      <c r="Q7" s="15">
        <f>IF($B7="SMALL_SIDE",$AL7*$BH7*Settings!$B$9,0)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MAX(0,$BI7*Settings!$B$9)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IF($B7="BIG_SIDE",IF($AX$7&gt;0,$AX$7*Settings!$B$6,0),IF($S$7&gt;0,$S$7*Settings!$B$6,0))</f>
        <v>0</v>
      </c>
      <c r="Y7" s="19">
        <f>IF(ROW()=2,$X7,$Y6+$X7)</f>
        <v/>
      </c>
      <c r="Z7" s="12">
        <f>$AA6</f>
        <v/>
      </c>
      <c r="AA7" s="12">
        <f>IF($B7="BLOCKED",$Z7+$BF7,IF($B7="BIG_SIDE",$Z7+$S7-$AS7,IF($B7="SMALL_SIDE",$Z7+$S7+$AI7,$Z7+$S7)))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>
        <v>0</v>
      </c>
      <c r="BE7" s="13">
        <v>0</v>
      </c>
      <c r="BF7" s="20">
        <v>0</v>
      </c>
      <c r="BG7" s="13" t="inlineStr">
        <is>
          <t>NO</t>
        </is>
      </c>
      <c r="BH7">
        <f>IF($B7="BLOCKED",0,$BH6)</f>
        <v/>
      </c>
      <c r="BI7">
        <f>IF($B7="BLOCKED",0,$BI6)</f>
        <v/>
      </c>
      <c r="BJ7">
        <f>IF($B7="BIG_SIDE","BIG_HARVEST",IF($B7="SMALL_SIDE","SMALL_FLIP",IF($B7="BLOCKED","BLOCKED","")))</f>
        <v/>
      </c>
      <c r="BK7">
        <f>IF($B7="BIG_SIDE",IF(ROW()=2,1,$BK6+1),IF(ROW()=2,0,$BK6))</f>
        <v/>
      </c>
      <c r="BL7">
        <f>IF($D7&gt;0,IFERROR($V7/$D7,0),0)</f>
        <v>0</v>
      </c>
      <c r="BM7" t="b">
        <f>IF($BN7&lt;=0,FALSE,$Y7&gt;=$BN7)</f>
        <v>0</v>
      </c>
      <c r="BN7">
        <f>MAX(0,$W7*$BI7*Settings!$B$9)</f>
        <v>197.92</v>
      </c>
      <c r="BO7">
        <f>$Y7-$BN7</f>
        <v>-197.92</v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>
        <f>$BH8</f>
        <v/>
      </c>
      <c r="L8" s="13">
        <f>IF($B8="BLOCKED",0,-$BH8)</f>
        <v/>
      </c>
      <c r="M8" s="13">
        <f>$BI8</f>
        <v/>
      </c>
      <c r="N8" s="14">
        <f>IF($B8="BIG_SIDE",$G8*$BH8*Settings!$B$9,0)</f>
        <v>0</v>
      </c>
      <c r="O8" s="14">
        <f>IF($B8="SMALL_SIDE",$J8*$BH8*Settings!$B$9,0)</f>
        <v>0</v>
      </c>
      <c r="P8" s="15">
        <f>IF($B8="BIG_SIDE",$J8*$BH8*Settings!$B$9,0)</f>
        <v>0</v>
      </c>
      <c r="Q8" s="15">
        <f>IF($B8="SMALL_SIDE",$AL8*$BH8*Settings!$B$9,0)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MAX(0,$BI8*Settings!$B$9)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IF($B8="BIG_SIDE",IF($AX$8&gt;0,$AX$8*Settings!$B$6,0),IF($S$8&gt;0,$S$8*Settings!$B$6,0))</f>
        <v>0</v>
      </c>
      <c r="Y8" s="19">
        <f>IF(ROW()=2,$X8,$Y7+$X8)</f>
        <v/>
      </c>
      <c r="Z8" s="12">
        <f>$AA7</f>
        <v/>
      </c>
      <c r="AA8" s="12">
        <f>IF($B8="BLOCKED",$Z8+$BF8,IF($B8="BIG_SIDE",$Z8+$S8-$AS8,IF($B8="SMALL_SIDE",$Z8+$S8+$AI8,$Z8+$S8)))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>
        <v>0</v>
      </c>
      <c r="BE8" s="13">
        <v>0</v>
      </c>
      <c r="BF8" s="20">
        <v>0</v>
      </c>
      <c r="BG8" s="13" t="inlineStr">
        <is>
          <t>NO</t>
        </is>
      </c>
      <c r="BH8">
        <f>IF($B8="BLOCKED",0,$BH7)</f>
        <v/>
      </c>
      <c r="BI8">
        <f>IF($B8="BLOCKED",0,$BI7)</f>
        <v/>
      </c>
      <c r="BJ8">
        <f>IF($B8="BIG_SIDE","BIG_HARVEST",IF($B8="SMALL_SIDE","SMALL_FLIP",IF($B8="BLOCKED","BLOCKED","")))</f>
        <v/>
      </c>
      <c r="BK8">
        <f>IF($B8="BIG_SIDE",IF(ROW()=2,1,$BK7+1),IF(ROW()=2,0,$BK7))</f>
        <v/>
      </c>
      <c r="BL8">
        <f>IF($D8&gt;0,IFERROR($V8/$D8,0),0)</f>
        <v>0</v>
      </c>
      <c r="BM8" t="b">
        <f>IF($BN8&lt;=0,FALSE,$Y8&gt;=$BN8)</f>
        <v>0</v>
      </c>
      <c r="BN8">
        <f>MAX(0,$W8*$BI8*Settings!$B$9)</f>
        <v>197.92</v>
      </c>
      <c r="BO8">
        <f>$Y8-$BN8</f>
        <v>-197.92</v>
      </c>
    </row>
    <row r="9">
      <c r="A9" s="12" t="n">
        <v>8</v>
      </c>
      <c r="B9" s="13" t="str">
        <f>IF(AND($AQ8="MANUAL_READY",$BG8="YES"),"SMALL_SIDE",IF(OR($AP8="NO",$AQ8="DUAL_TAIL",$AQ8="DANGER",$AQ8="STOP",$AQ8="MANUAL_READY",$AQ8="STOP_CLEARED"),"BLOCKED","SMALL_SIDE"))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>
        <f>$BH9</f>
        <v/>
      </c>
      <c r="L9" s="13">
        <f>IF($B9="BLOCKED",0,-$BH9)</f>
        <v/>
      </c>
      <c r="M9" s="13">
        <f>$BI9</f>
        <v/>
      </c>
      <c r="N9" s="14">
        <f>IF($B9="BIG_SIDE",$G9*$BH9*Settings!$B$9,0)</f>
        <v>0</v>
      </c>
      <c r="O9" s="14">
        <f>IF($B9="SMALL_SIDE",$J9*$BH9*Settings!$B$9,0)</f>
        <v>0</v>
      </c>
      <c r="P9" s="15">
        <f>IF($B9="BIG_SIDE",$J9*$BH9*Settings!$B$9,0)</f>
        <v>0</v>
      </c>
      <c r="Q9" s="15">
        <f>IF($B9="SMALL_SIDE",$AL9*$BH9*Settings!$B$9,0)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MAX(0,$BI9*Settings!$B$9)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IF($B9="BIG_SIDE",IF($AX$9&gt;0,$AX$9*Settings!$B$6,0),IF($S$9&gt;0,$S$9*Settings!$B$6,0))</f>
        <v>0</v>
      </c>
      <c r="Y9" s="19">
        <f>IF(ROW()=2,$X9,$Y8+$X9)</f>
        <v/>
      </c>
      <c r="Z9" s="12">
        <f>$AA8</f>
        <v/>
      </c>
      <c r="AA9" s="12">
        <f>IF($B9="BLOCKED",$Z9+$BF9,IF($B9="BIG_SIDE",$Z9+$S9-$AS9,IF($B9="SMALL_SIDE",$Z9+$S9+$AI9,$Z9+$S9)))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>
        <v>0</v>
      </c>
      <c r="BE9" s="13">
        <v>0</v>
      </c>
      <c r="BF9" s="20">
        <v>0</v>
      </c>
      <c r="BG9" s="13" t="inlineStr">
        <is>
          <t>NO</t>
        </is>
      </c>
      <c r="BH9">
        <f>IF($B9="BLOCKED",0,$BH8)</f>
        <v/>
      </c>
      <c r="BI9">
        <f>IF($B9="BLOCKED",0,$BI8)</f>
        <v/>
      </c>
      <c r="BJ9">
        <f>IF($B9="BIG_SIDE","BIG_HARVEST",IF($B9="SMALL_SIDE","SMALL_FLIP",IF($B9="BLOCKED","BLOCKED","")))</f>
        <v/>
      </c>
      <c r="BK9">
        <f>IF($B9="BIG_SIDE",IF(ROW()=2,1,$BK8+1),IF(ROW()=2,0,$BK8))</f>
        <v/>
      </c>
      <c r="BL9">
        <f>IF($D9&gt;0,IFERROR($V9/$D9,0),0)</f>
        <v>0</v>
      </c>
      <c r="BM9" t="b">
        <f>IF($BN9&lt;=0,FALSE,$Y9&gt;=$BN9)</f>
        <v>0</v>
      </c>
      <c r="BN9">
        <f>MAX(0,$W9*$BI9*Settings!$B$9)</f>
        <v>197.92</v>
      </c>
      <c r="BO9">
        <f>$Y9-$BN9</f>
        <v>-197.92</v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>
        <f>$BH10</f>
        <v/>
      </c>
      <c r="L10" s="13">
        <f>IF($B10="BLOCKED",0,-$BH10)</f>
        <v/>
      </c>
      <c r="M10" s="13">
        <f>$BI10</f>
        <v/>
      </c>
      <c r="N10" s="14">
        <f>IF($B10="BIG_SIDE",$G10*$BH10*Settings!$B$9,0)</f>
        <v>0</v>
      </c>
      <c r="O10" s="14">
        <f>IF($B10="SMALL_SIDE",$J10*$BH10*Settings!$B$9,0)</f>
        <v>0</v>
      </c>
      <c r="P10" s="15">
        <f>IF($B10="BIG_SIDE",$J10*$BH10*Settings!$B$9,0)</f>
        <v>0</v>
      </c>
      <c r="Q10" s="15">
        <f>IF($B10="SMALL_SIDE",$AL10*$BH10*Settings!$B$9,0)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MAX(0,$BI10*Settings!$B$9)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IF($B10="BIG_SIDE",IF($AX$10&gt;0,$AX$10*Settings!$B$6,0),IF($S$10&gt;0,$S$10*Settings!$B$6,0))</f>
        <v>0</v>
      </c>
      <c r="Y10" s="19">
        <f>IF(ROW()=2,$X10,$Y9+$X10)</f>
        <v/>
      </c>
      <c r="Z10" s="12">
        <f>$AA9</f>
        <v/>
      </c>
      <c r="AA10" s="12">
        <f>IF($B10="BLOCKED",$Z10+$BF10,IF($B10="BIG_SIDE",$Z10+$S10-$AS10,IF($B10="SMALL_SIDE",$Z10+$S10+$AI10,$Z10+$S10)))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  <c r="BH10">
        <f>IF($B10="BLOCKED",0,$BH9)</f>
        <v/>
      </c>
      <c r="BI10">
        <f>IF($B10="BLOCKED",0,$BI9)</f>
        <v/>
      </c>
      <c r="BJ10">
        <f>IF($B10="BIG_SIDE","BIG_HARVEST",IF($B10="SMALL_SIDE","SMALL_FLIP",IF($B10="BLOCKED","BLOCKED","")))</f>
        <v/>
      </c>
      <c r="BK10">
        <f>IF($B10="BIG_SIDE",IF(ROW()=2,1,$BK9+1),IF(ROW()=2,0,$BK9))</f>
        <v/>
      </c>
      <c r="BL10">
        <f>IF($D10&gt;0,IFERROR($V10/$D10,0),0)</f>
        <v>0</v>
      </c>
      <c r="BM10" t="b">
        <f>IF($BN10&lt;=0,FALSE,$Y10&gt;=$BN10)</f>
        <v>0</v>
      </c>
      <c r="BN10">
        <f>MAX(0,$W10*$BI10*Settings!$B$9)</f>
        <v>197.92</v>
      </c>
      <c r="BO10">
        <f>$Y10-$BN10</f>
        <v>-197.92</v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>
        <f>$BH11</f>
        <v/>
      </c>
      <c r="L11" s="13">
        <f>IF($B11="BLOCKED",0,-$BH11)</f>
        <v/>
      </c>
      <c r="M11" s="13">
        <f>$BI11</f>
        <v/>
      </c>
      <c r="N11" s="14">
        <f>IF($B11="BIG_SIDE",$G11*$BH11*Settings!$B$9,0)</f>
        <v>0</v>
      </c>
      <c r="O11" s="14">
        <f>IF($B11="SMALL_SIDE",$J11*$BH11*Settings!$B$9,0)</f>
        <v>0</v>
      </c>
      <c r="P11" s="15">
        <f>IF($B11="BIG_SIDE",$J11*$BH11*Settings!$B$9,0)</f>
        <v>0</v>
      </c>
      <c r="Q11" s="15">
        <f>IF($B11="SMALL_SIDE",$AL11*$BH11*Settings!$B$9,0)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MAX(0,$BI11*Settings!$B$9)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IF($B11="BIG_SIDE",IF($AX$11&gt;0,$AX$11*Settings!$B$6,0),IF($S$11&gt;0,$S$11*Settings!$B$6,0))</f>
        <v>0</v>
      </c>
      <c r="Y11" s="19">
        <f>IF(ROW()=2,$X11,$Y10+$X11)</f>
        <v/>
      </c>
      <c r="Z11" s="12">
        <f>$AA10</f>
        <v/>
      </c>
      <c r="AA11" s="12">
        <f>IF($B11="BLOCKED",$Z11+$BF11,IF($B11="BIG_SIDE",$Z11+$S11-$AS11,IF($B11="SMALL_SIDE",$Z11+$S11+$AI11,$Z11+$S11)))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  <c r="BH11">
        <f>IF($B11="BLOCKED",0,$BH10)</f>
        <v/>
      </c>
      <c r="BI11">
        <f>IF($B11="BLOCKED",0,$BI10)</f>
        <v/>
      </c>
      <c r="BJ11">
        <f>IF($B11="BIG_SIDE","BIG_HARVEST",IF($B11="SMALL_SIDE","SMALL_FLIP",IF($B11="BLOCKED","BLOCKED","")))</f>
        <v/>
      </c>
      <c r="BK11">
        <f>IF($B11="BIG_SIDE",IF(ROW()=2,1,$BK10+1),IF(ROW()=2,0,$BK10))</f>
        <v/>
      </c>
      <c r="BL11">
        <f>IF($D11&gt;0,IFERROR($V11/$D11,0),0)</f>
        <v>0</v>
      </c>
      <c r="BM11" t="b">
        <f>IF($BN11&lt;=0,FALSE,$Y11&gt;=$BN11)</f>
        <v>0</v>
      </c>
      <c r="BN11">
        <f>MAX(0,$W11*$BI11*Settings!$B$9)</f>
        <v>197.92</v>
      </c>
      <c r="BO11">
        <f>$Y11-$BN11</f>
        <v>-197.92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O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</row>
    <row r="2">
      <c r="A2" s="12" t="n">
        <v>1</v>
      </c>
      <c r="B2" s="13" t="str">
        <is>
          <t>BIG_SIDE</t>
        </is>
        <v>BIG_SIDE</v>
      </c>
      <c r="C2" s="13" t="inlineStr">
        <is>
          <t>BUY</t>
        </is>
      </c>
      <c r="D2" s="13">
        <f>Settings!$B$2</f>
        <v>1</v>
      </c>
      <c r="E2" s="12">
        <f>IF($B2="BLOCKED","",IF($C2="SELL","BUY","SELL"))</f>
        <v/>
      </c>
      <c r="F2" s="12">
        <f>IF($B2="BLOCKED",0,MAX(0,$D2*Settings!$B$3))</f>
        <v>1.3</v>
      </c>
      <c r="G2" s="12">
        <f>IF($B2="BLOCKED",0,IFERROR(MAX(0,ROUND($F2/Settings!$B$11,0)*Settings!$B$11),0))</f>
        <v>1.3</v>
      </c>
      <c r="H2" s="12">
        <f>IF($B2="BLOCKED","",$C2)</f>
        <v/>
      </c>
      <c r="I2" s="12">
        <f>IF($B2="BLOCKED",0,MAX(0,$G2*Settings!$B$4))</f>
        <v>0.468</v>
      </c>
      <c r="J2" s="12">
        <f>IF($B2="BLOCKED",0,IFERROR(MAX(0,ROUND($I2/Settings!$B$11,0)*Settings!$B$11),0))</f>
        <v>0.47</v>
      </c>
      <c r="K2" s="13">
        <f>$BH2</f>
        <v>100</v>
      </c>
      <c r="L2" s="13">
        <f>IF($B2="BLOCKED",0,-$BH2)</f>
        <v>-100</v>
      </c>
      <c r="M2" s="13">
        <f>$BI2</f>
        <v>200</v>
      </c>
      <c r="N2" s="14">
        <f>IF($B2="BIG_SIDE",$G2*$BH2*Settings!$B$9,0)</f>
        <v>130</v>
      </c>
      <c r="O2" s="14">
        <f>IF($B2="SMALL_SIDE",$J2*$BH2*Settings!$B$9,0)</f>
        <v/>
      </c>
      <c r="P2" s="15">
        <f>IF($B2="BIG_SIDE",$J2*$BH2*Settings!$B$9,0)</f>
        <v>47</v>
      </c>
      <c r="Q2" s="15">
        <f>IF($B2="SMALL_SIDE",$AL2*$BH2*Settings!$B$9,0)</f>
        <v/>
      </c>
      <c r="R2" s="15">
        <f>$AT2*$AU2</f>
        <v/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IF($B2="BIG_SIDE",IFERROR(MIN($D2,MAX(0,$T2/$U2)),0),0)</f>
        <v>0.3735</v>
      </c>
      <c r="W2" s="12">
        <f>IF($B2="BIG_SIDE",MAX(0,$D2-$V2),$AJ2)</f>
        <v>0.6265</v>
      </c>
      <c r="X2" s="19">
        <f>IF($B2="BIG_SIDE",IF($AX$2&gt;0,$AX$2*Settings!$B$6,0),IF($S$2&gt;0,$S$2*Settings!$B$6,0))</f>
        <v>8.3</v>
      </c>
      <c r="Y2" s="19">
        <f>IF(ROW()=2,$X2,$Y1+$X2)</f>
        <v>8.3</v>
      </c>
      <c r="Z2" s="12" t="n">
        <v>0</v>
      </c>
      <c r="AA2" s="12">
        <f>IF($B2="BLOCKED",$Z2+$BF2,IF($B2="BIG_SIDE",$Z2+$S2-$AS2,IF($B2="SMALL_SIDE",$Z2+$S2+$AI2,$Z2+$S2)))</f>
        <v>8.3</v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>74.7</v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IF($D2&gt;0,IFERROR($V2/$D2,0),0)</f>
        <v>0.3735</v>
      </c>
      <c r="BM2" t="b">
        <f>IF($BN2&lt;=0,FALSE,$Y2&gt;=$BN2)</f>
        <v>0</v>
      </c>
      <c r="BN2">
        <f>MAX(0,$W2*$BI2*Settings!$B$9)</f>
        <v>125.3</v>
      </c>
      <c r="BO2">
        <f>$Y2-$BN2</f>
        <v>-117</v>
      </c>
    </row>
    <row r="3">
      <c r="A3" s="12" t="n">
        <v>2</v>
      </c>
      <c r="B3" s="13" t="str">
        <f>IF(AND($AQ2="MANUAL_READY",$BG2="YES"),"SMALL_SIDE",IF(OR($AP2="NO",$AQ2="DUAL_TAIL",$AQ2="DANGER",$AQ2="STOP",$AQ2="MANUAL_READY",$AQ2="STOP_CLEARED"),"BLOCKED","SMALL_SIDE"))</f>
        <v>SMALL_SIDE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>
        <f>$BH3</f>
        <v/>
      </c>
      <c r="L3" s="13">
        <f>IF($B3="BLOCKED",0,-$BH3)</f>
        <v/>
      </c>
      <c r="M3" s="13">
        <f>$BI3</f>
        <v/>
      </c>
      <c r="N3" s="14">
        <f>IF($B3="BIG_SIDE",$G3*$BH3*Settings!$B$9,0)</f>
        <v/>
      </c>
      <c r="O3" s="14">
        <f>IF($B3="SMALL_SIDE",$J3*$BH3*Settings!$B$9,0)</f>
        <v/>
      </c>
      <c r="P3" s="15">
        <f>IF($B3="BIG_SIDE",$J3*$BH3*Settings!$B$9,0)</f>
        <v/>
      </c>
      <c r="Q3" s="15">
        <f>IF($B3="SMALL_SIDE",$AL3*$BH3*Settings!$B$9,0)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MAX(0,$BI3*Settings!$B$9)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IF($B3="BIG_SIDE",IF($AX$3&gt;0,$AX$3*Settings!$B$6,0),IF($S$3&gt;0,$S$3*Settings!$B$6,0))</f>
        <v/>
      </c>
      <c r="Y3" s="19">
        <f>IF(ROW()=2,$X3,$Y2+$X3)</f>
        <v/>
      </c>
      <c r="Z3" s="12">
        <f>$AA2</f>
        <v/>
      </c>
      <c r="AA3" s="12">
        <f>IF($B3="BLOCKED",$Z3+$BF3,IF($B3="BIG_SIDE",$Z3+$S3-$AS3,IF($B3="SMALL_SIDE",$Z3+$S3+$AI3,$Z3+$S3)))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>1.5306</v>
      </c>
      <c r="AD3" s="12">
        <f>$AB3*Settings!$B$10</f>
        <v/>
      </c>
      <c r="AE3" s="12">
        <f>$AC3*Settings!$B$10</f>
        <v>1530.6</v>
      </c>
      <c r="AF3" s="12">
        <f>IF($B3="BLOCKED",IF($BB3&gt;0,$AF2,$C3),IF($B3="SMALL_SIDE",$E3,$C3))</f>
        <v/>
      </c>
      <c r="AG3" s="12">
        <f>IF($B3="BLOCKED",IF($BB2&gt;0,$BB2,$BA2),IF($B3="SMALL_SIDE",$AM3,$W3))</f>
        <v>0.7254</v>
      </c>
      <c r="AH3" s="13" t="inlineStr">
        <is>
          <t>NO</t>
        </is>
      </c>
      <c r="AI3" s="13" t="n">
        <v>0</v>
      </c>
      <c r="AJ3" s="12">
        <f>IF($B3="SMALL_SIDE",MAX(0,$D3-$AV3),0)</f>
        <v>0.8052</v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NO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DUAL_TAIL</v>
      </c>
      <c r="AR3" s="12" t="str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0.8052</v>
      </c>
      <c r="BB3" s="12">
        <f>IF($AK3=TRUE,MAX(0,$AG3-$BE3),IF($B3="BLOCKED",MAX(0,$BB2-$BE3),0))</f>
        <v>0.7254</v>
      </c>
      <c r="BC3" s="12">
        <f>$BA3+$BB3</f>
        <v>1.5306</v>
      </c>
      <c r="BD3" s="13">
        <v>0</v>
      </c>
      <c r="BE3" s="13">
        <v>0</v>
      </c>
      <c r="BF3" s="20">
        <v>0</v>
      </c>
      <c r="BG3" s="13" t="inlineStr">
        <is>
          <t>NO</t>
        </is>
      </c>
      <c r="BH3">
        <f>IF($B3="BLOCKED",0,$BH2)</f>
        <v/>
      </c>
      <c r="BI3">
        <f>IF($B3="BLOCKED",0,$BI2)</f>
        <v/>
      </c>
      <c r="BJ3">
        <f>IF($B3="BIG_SIDE","BIG_HARVEST",IF($B3="SMALL_SIDE","SMALL_FLIP",IF($B3="BLOCKED","BLOCKED","")))</f>
        <v/>
      </c>
      <c r="BK3">
        <f>IF($B3="BIG_SIDE",IF(ROW()=2,1,$BK2+1),IF(ROW()=2,0,$BK2))</f>
        <v/>
      </c>
      <c r="BL3">
        <f>IF($D3&gt;0,IFERROR($V3/$D3,0),0)</f>
        <v/>
      </c>
      <c r="BM3">
        <f>IF($BN3&lt;=0,FALSE,$Y3&gt;=$BN3)</f>
        <v/>
      </c>
      <c r="BN3">
        <f>MAX(0,$W3*$BI3*Settings!$B$9)</f>
        <v/>
      </c>
      <c r="BO3">
        <f>$Y3-$BN3</f>
        <v/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BLOCKED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>0</v>
      </c>
      <c r="G4" s="12">
        <f>IF($B4="BLOCKED",0,IFERROR(MAX(0,ROUND($F4/Settings!$B$11,0)*Settings!$B$11),0))</f>
        <v>0</v>
      </c>
      <c r="H4" s="12">
        <f>IF($B4="BLOCKED","",$C4)</f>
        <v/>
      </c>
      <c r="I4" s="12">
        <f>IF($B4="BLOCKED",0,MAX(0,$G4*Settings!$B$4))</f>
        <v>0</v>
      </c>
      <c r="J4" s="12">
        <f>IF($B4="BLOCKED",0,IFERROR(MAX(0,ROUND($I4/Settings!$B$11,0)*Settings!$B$11),0))</f>
        <v>0</v>
      </c>
      <c r="K4" s="13">
        <f>$BH4</f>
        <v/>
      </c>
      <c r="L4" s="13">
        <f>IF($B4="BLOCKED",0,-$BH4)</f>
        <v/>
      </c>
      <c r="M4" s="13">
        <f>$BI4</f>
        <v/>
      </c>
      <c r="N4" s="14">
        <f>IF($B4="BIG_SIDE",$G4*$BH4*Settings!$B$9,0)</f>
        <v>0</v>
      </c>
      <c r="O4" s="14">
        <f>IF($B4="SMALL_SIDE",$J4*$BH4*Settings!$B$9,0)</f>
        <v>0</v>
      </c>
      <c r="P4" s="15">
        <f>IF($B4="BIG_SIDE",$J4*$BH4*Settings!$B$9,0)</f>
        <v>0</v>
      </c>
      <c r="Q4" s="15">
        <f>IF($B4="SMALL_SIDE",$AL4*$BH4*Settings!$B$9,0)</f>
        <v>0</v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>0</v>
      </c>
      <c r="U4" s="12">
        <f>MAX(0,$BI4*Settings!$B$9)</f>
        <v/>
      </c>
      <c r="V4" s="12">
        <f>IF($B4="BIG_SIDE",IFERROR(MIN($D4,MAX(0,$T4/$U4)),0),0)</f>
        <v>0</v>
      </c>
      <c r="W4" s="12">
        <f>IF($B4="BIG_SIDE",MAX(0,$D4-$V4),$AJ4)</f>
        <v/>
      </c>
      <c r="X4" s="19">
        <f>IF($B4="BIG_SIDE",IF($AX$4&gt;0,$AX$4*Settings!$B$6,0),IF($S$4&gt;0,$S$4*Settings!$B$6,0))</f>
        <v>0</v>
      </c>
      <c r="Y4" s="19">
        <f>IF(ROW()=2,$X4,$Y3+$X4)</f>
        <v/>
      </c>
      <c r="Z4" s="12">
        <f>$AA3</f>
        <v/>
      </c>
      <c r="AA4" s="12">
        <f>IF($B4="BLOCKED",$Z4+$BF4,IF($B4="BIG_SIDE",$Z4+$S4-$AS4,IF($B4="SMALL_SIDE",$Z4+$S4+$AI4,$Z4+$S4)))</f>
        <v/>
      </c>
      <c r="AB4" s="12">
        <f>IF($B4="BLOCKED",$BC4,$D4+$G4+$J4)</f>
        <v>1.5306</v>
      </c>
      <c r="AC4" s="12">
        <f>IF($B4="BLOCKED",$BC4,IF($B4="BIG_SIDE",$W4,IF($AK4=TRUE,$BC4,$AG4)))</f>
        <v>1.5306</v>
      </c>
      <c r="AD4" s="12">
        <f>$AB4*Settings!$B$10</f>
        <v>1530.6</v>
      </c>
      <c r="AE4" s="12">
        <f>$AC4*Settings!$B$10</f>
        <v>1530.6</v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STOP</v>
      </c>
      <c r="AR4" s="12" t="str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4" s="20">
        <f>IF($B4="BIG_SIDE",$V4*$U4,0)</f>
        <v>0</v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>DUAL_TAIL persistence: оба хвоста сохранены</v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0.8052</v>
      </c>
      <c r="BB4" s="12">
        <f>IF($AK4=TRUE,MAX(0,$AG4-$BE4),IF($B4="BLOCKED",MAX(0,$BB3-$BE4),0))</f>
        <v>0.7254</v>
      </c>
      <c r="BC4" s="12">
        <f>$BA4+$BB4</f>
        <v>1.5306</v>
      </c>
      <c r="BD4" s="13">
        <v>0</v>
      </c>
      <c r="BE4" s="13">
        <v>0</v>
      </c>
      <c r="BF4" s="20">
        <v>0</v>
      </c>
      <c r="BG4" s="13" t="inlineStr">
        <is>
          <t>NO</t>
        </is>
      </c>
      <c r="BH4">
        <f>IF($B4="BLOCKED",0,$BH3)</f>
        <v/>
      </c>
      <c r="BI4">
        <f>IF($B4="BLOCKED",0,$BI3)</f>
        <v/>
      </c>
      <c r="BJ4">
        <f>IF($B4="BIG_SIDE","BIG_HARVEST",IF($B4="SMALL_SIDE","SMALL_FLIP",IF($B4="BLOCKED","BLOCKED","")))</f>
        <v/>
      </c>
      <c r="BK4">
        <f>IF($B4="BIG_SIDE",IF(ROW()=2,1,$BK3+1),IF(ROW()=2,0,$BK3))</f>
        <v/>
      </c>
      <c r="BL4">
        <f>IF($D4&gt;0,IFERROR($V4/$D4,0),0)</f>
        <v>0</v>
      </c>
      <c r="BM4" t="b">
        <f>IF($BN4&lt;=0,FALSE,$Y4&gt;=$BN4)</f>
        <v>0</v>
      </c>
      <c r="BN4">
        <f>MAX(0,$W4*$BI4*Settings!$B$9)</f>
        <v>306.12</v>
      </c>
      <c r="BO4">
        <f>$Y4-$BN4</f>
        <v>-306.12</v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>
        <f>$BH5</f>
        <v/>
      </c>
      <c r="L5" s="13">
        <f>IF($B5="BLOCKED",0,-$BH5)</f>
        <v/>
      </c>
      <c r="M5" s="13">
        <f>$BI5</f>
        <v/>
      </c>
      <c r="N5" s="14">
        <f>IF($B5="BIG_SIDE",$G5*$BH5*Settings!$B$9,0)</f>
        <v>0</v>
      </c>
      <c r="O5" s="14">
        <f>IF($B5="SMALL_SIDE",$J5*$BH5*Settings!$B$9,0)</f>
        <v>0</v>
      </c>
      <c r="P5" s="15">
        <f>IF($B5="BIG_SIDE",$J5*$BH5*Settings!$B$9,0)</f>
        <v>0</v>
      </c>
      <c r="Q5" s="15">
        <f>IF($B5="SMALL_SIDE",$AL5*$BH5*Settings!$B$9,0)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MAX(0,$BI5*Settings!$B$9)</f>
        <v/>
      </c>
      <c r="V5" s="12">
        <f>IF($B5="BIG_SIDE",IFERROR(MIN($D5,MAX(0,$T5/$U5)),0),0)</f>
        <v>0</v>
      </c>
      <c r="W5" s="12">
        <f>IF($B5="BIG_SIDE",MAX(0,$D5-$V5),$AJ5)</f>
        <v/>
      </c>
      <c r="X5" s="19">
        <f>IF($B5="BIG_SIDE",IF($AX$5&gt;0,$AX$5*Settings!$B$6,0),IF($S$5&gt;0,$S$5*Settings!$B$6,0))</f>
        <v>0</v>
      </c>
      <c r="Y5" s="19">
        <f>IF(ROW()=2,$X5,$Y4+$X5)</f>
        <v/>
      </c>
      <c r="Z5" s="12">
        <f>$AA4</f>
        <v/>
      </c>
      <c r="AA5" s="12">
        <f>IF($B5="BLOCKED",$Z5+$BF5,IF($B5="BIG_SIDE",$Z5+$S5-$AS5,IF($B5="SMALL_SIDE",$Z5+$S5+$AI5,$Z5+$S5)))</f>
        <v/>
      </c>
      <c r="AB5" s="12">
        <f>IF($B5="BLOCKED",$BC5,$D5+$G5+$J5)</f>
        <v>1.5306</v>
      </c>
      <c r="AC5" s="12">
        <f>IF($B5="BLOCKED",$BC5,IF($B5="BIG_SIDE",$W5,IF($AK5=TRUE,$BC5,$AG5)))</f>
        <v>1.5306</v>
      </c>
      <c r="AD5" s="12">
        <f>$AB5*Settings!$B$10</f>
        <v>1530.6</v>
      </c>
      <c r="AE5" s="12">
        <f>$AC5*Settings!$B$10</f>
        <v>1530.6</v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5" s="20">
        <f>IF($B5="BIG_SIDE",$V5*$U5,0)</f>
        <v>0</v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DUAL_TAIL persistence: оба хвоста сохранены</v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0.8052</v>
      </c>
      <c r="BB5" s="12">
        <f>IF($AK5=TRUE,MAX(0,$AG5-$BE5),IF($B5="BLOCKED",MAX(0,$BB4-$BE5),0))</f>
        <v>0.7254</v>
      </c>
      <c r="BC5" s="12">
        <f>$BA5+$BB5</f>
        <v>1.5306</v>
      </c>
      <c r="BD5" s="13">
        <v>0</v>
      </c>
      <c r="BE5" s="13">
        <v>0</v>
      </c>
      <c r="BF5" s="20">
        <v>0</v>
      </c>
      <c r="BG5" s="13" t="inlineStr">
        <is>
          <t>NO</t>
        </is>
      </c>
      <c r="BH5">
        <f>IF($B5="BLOCKED",0,$BH4)</f>
        <v/>
      </c>
      <c r="BI5">
        <f>IF($B5="BLOCKED",0,$BI4)</f>
        <v/>
      </c>
      <c r="BJ5">
        <f>IF($B5="BIG_SIDE","BIG_HARVEST",IF($B5="SMALL_SIDE","SMALL_FLIP",IF($B5="BLOCKED","BLOCKED","")))</f>
        <v/>
      </c>
      <c r="BK5">
        <f>IF($B5="BIG_SIDE",IF(ROW()=2,1,$BK4+1),IF(ROW()=2,0,$BK4))</f>
        <v/>
      </c>
      <c r="BL5">
        <f>IF($D5&gt;0,IFERROR($V5/$D5,0),0)</f>
        <v>0</v>
      </c>
      <c r="BM5" t="b">
        <f>IF($BN5&lt;=0,FALSE,$Y5&gt;=$BN5)</f>
        <v>0</v>
      </c>
      <c r="BN5">
        <f>MAX(0,$W5*$BI5*Settings!$B$9)</f>
        <v>306.12</v>
      </c>
      <c r="BO5">
        <f>$Y5-$BN5</f>
        <v>-306.12</v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>
        <f>$BH6</f>
        <v/>
      </c>
      <c r="L6" s="13">
        <f>IF($B6="BLOCKED",0,-$BH6)</f>
        <v/>
      </c>
      <c r="M6" s="13">
        <f>$BI6</f>
        <v/>
      </c>
      <c r="N6" s="14">
        <f>IF($B6="BIG_SIDE",$G6*$BH6*Settings!$B$9,0)</f>
        <v>0</v>
      </c>
      <c r="O6" s="14">
        <f>IF($B6="SMALL_SIDE",$J6*$BH6*Settings!$B$9,0)</f>
        <v>0</v>
      </c>
      <c r="P6" s="15">
        <f>IF($B6="BIG_SIDE",$J6*$BH6*Settings!$B$9,0)</f>
        <v>0</v>
      </c>
      <c r="Q6" s="15">
        <f>IF($B6="SMALL_SIDE",$AL6*$BH6*Settings!$B$9,0)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MAX(0,$BI6*Settings!$B$9)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IF($B6="BIG_SIDE",IF($AX$6&gt;0,$AX$6*Settings!$B$6,0),IF($S$6&gt;0,$S$6*Settings!$B$6,0))</f>
        <v>0</v>
      </c>
      <c r="Y6" s="19">
        <f>IF(ROW()=2,$X6,$Y5+$X6)</f>
        <v/>
      </c>
      <c r="Z6" s="12">
        <f>$AA5</f>
        <v/>
      </c>
      <c r="AA6" s="12">
        <f>IF($B6="BLOCKED",$Z6+$BF6,IF($B6="BIG_SIDE",$Z6+$S6-$AS6,IF($B6="SMALL_SIDE",$Z6+$S6+$AI6,$Z6+$S6)))</f>
        <v/>
      </c>
      <c r="AB6" s="12">
        <f>IF($B6="BLOCKED",$BC6,$D6+$G6+$J6)</f>
        <v>1.5306</v>
      </c>
      <c r="AC6" s="12">
        <f>IF($B6="BLOCKED",$BC6,IF($B6="BIG_SIDE",$W6,IF($AK6=TRUE,$BC6,$AG6)))</f>
        <v>1.5306</v>
      </c>
      <c r="AD6" s="12">
        <f>$AB6*Settings!$B$10</f>
        <v>1530.6</v>
      </c>
      <c r="AE6" s="12">
        <f>$AC6*Settings!$B$10</f>
        <v>1530.6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0.8052</v>
      </c>
      <c r="BB6" s="12">
        <f>IF($AK6=TRUE,MAX(0,$AG6-$BE6),IF($B6="BLOCKED",MAX(0,$BB5-$BE6),0))</f>
        <v>0.7254</v>
      </c>
      <c r="BC6" s="12">
        <f>$BA6+$BB6</f>
        <v>1.5306</v>
      </c>
      <c r="BD6" s="13">
        <v>0</v>
      </c>
      <c r="BE6" s="13">
        <v>0</v>
      </c>
      <c r="BF6" s="20">
        <v>0</v>
      </c>
      <c r="BG6" s="13" t="inlineStr">
        <is>
          <t>NO</t>
        </is>
      </c>
      <c r="BH6">
        <f>IF($B6="BLOCKED",0,$BH5)</f>
        <v/>
      </c>
      <c r="BI6">
        <f>IF($B6="BLOCKED",0,$BI5)</f>
        <v/>
      </c>
      <c r="BJ6">
        <f>IF($B6="BIG_SIDE","BIG_HARVEST",IF($B6="SMALL_SIDE","SMALL_FLIP",IF($B6="BLOCKED","BLOCKED","")))</f>
        <v/>
      </c>
      <c r="BK6">
        <f>IF($B6="BIG_SIDE",IF(ROW()=2,1,$BK5+1),IF(ROW()=2,0,$BK5))</f>
        <v/>
      </c>
      <c r="BL6">
        <f>IF($D6&gt;0,IFERROR($V6/$D6,0),0)</f>
        <v>0</v>
      </c>
      <c r="BM6" t="b">
        <f>IF($BN6&lt;=0,FALSE,$Y6&gt;=$BN6)</f>
        <v>0</v>
      </c>
      <c r="BN6">
        <f>MAX(0,$W6*$BI6*Settings!$B$9)</f>
        <v>306.12</v>
      </c>
      <c r="BO6">
        <f>$Y6-$BN6</f>
        <v>-306.12</v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>
        <f>$BH7</f>
        <v/>
      </c>
      <c r="L7" s="13">
        <f>IF($B7="BLOCKED",0,-$BH7)</f>
        <v/>
      </c>
      <c r="M7" s="13">
        <f>$BI7</f>
        <v/>
      </c>
      <c r="N7" s="14">
        <f>IF($B7="BIG_SIDE",$G7*$BH7*Settings!$B$9,0)</f>
        <v>0</v>
      </c>
      <c r="O7" s="14">
        <f>IF($B7="SMALL_SIDE",$J7*$BH7*Settings!$B$9,0)</f>
        <v>0</v>
      </c>
      <c r="P7" s="15">
        <f>IF($B7="BIG_SIDE",$J7*$BH7*Settings!$B$9,0)</f>
        <v>0</v>
      </c>
      <c r="Q7" s="15">
        <f>IF($B7="SMALL_SIDE",$AL7*$BH7*Settings!$B$9,0)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MAX(0,$BI7*Settings!$B$9)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IF($B7="BIG_SIDE",IF($AX$7&gt;0,$AX$7*Settings!$B$6,0),IF($S$7&gt;0,$S$7*Settings!$B$6,0))</f>
        <v>0</v>
      </c>
      <c r="Y7" s="19">
        <f>IF(ROW()=2,$X7,$Y6+$X7)</f>
        <v/>
      </c>
      <c r="Z7" s="12">
        <f>$AA6</f>
        <v/>
      </c>
      <c r="AA7" s="12">
        <f>IF($B7="BLOCKED",$Z7+$BF7,IF($B7="BIG_SIDE",$Z7+$S7-$AS7,IF($B7="SMALL_SIDE",$Z7+$S7+$AI7,$Z7+$S7)))</f>
        <v/>
      </c>
      <c r="AB7" s="12">
        <f>IF($B7="BLOCKED",$BC7,$D7+$G7+$J7)</f>
        <v>1.5306</v>
      </c>
      <c r="AC7" s="12">
        <f>IF($B7="BLOCKED",$BC7,IF($B7="BIG_SIDE",$W7,IF($AK7=TRUE,$BC7,$AG7)))</f>
        <v>1.5306</v>
      </c>
      <c r="AD7" s="12">
        <f>$AB7*Settings!$B$10</f>
        <v>1530.6</v>
      </c>
      <c r="AE7" s="12">
        <f>$AC7*Settings!$B$10</f>
        <v>1530.6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0.8052</v>
      </c>
      <c r="BB7" s="12">
        <f>IF($AK7=TRUE,MAX(0,$AG7-$BE7),IF($B7="BLOCKED",MAX(0,$BB6-$BE7),0))</f>
        <v>0.7254</v>
      </c>
      <c r="BC7" s="12">
        <f>$BA7+$BB7</f>
        <v>1.5306</v>
      </c>
      <c r="BD7" s="13">
        <v>0</v>
      </c>
      <c r="BE7" s="13">
        <v>0</v>
      </c>
      <c r="BF7" s="20">
        <v>0</v>
      </c>
      <c r="BG7" s="13" t="inlineStr">
        <is>
          <t>NO</t>
        </is>
      </c>
      <c r="BH7">
        <f>IF($B7="BLOCKED",0,$BH6)</f>
        <v/>
      </c>
      <c r="BI7">
        <f>IF($B7="BLOCKED",0,$BI6)</f>
        <v/>
      </c>
      <c r="BJ7">
        <f>IF($B7="BIG_SIDE","BIG_HARVEST",IF($B7="SMALL_SIDE","SMALL_FLIP",IF($B7="BLOCKED","BLOCKED","")))</f>
        <v/>
      </c>
      <c r="BK7">
        <f>IF($B7="BIG_SIDE",IF(ROW()=2,1,$BK6+1),IF(ROW()=2,0,$BK6))</f>
        <v/>
      </c>
      <c r="BL7">
        <f>IF($D7&gt;0,IFERROR($V7/$D7,0),0)</f>
        <v>0</v>
      </c>
      <c r="BM7" t="b">
        <f>IF($BN7&lt;=0,FALSE,$Y7&gt;=$BN7)</f>
        <v>0</v>
      </c>
      <c r="BN7">
        <f>MAX(0,$W7*$BI7*Settings!$B$9)</f>
        <v>306.12</v>
      </c>
      <c r="BO7">
        <f>$Y7-$BN7</f>
        <v>-306.12</v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>
        <f>$BH8</f>
        <v/>
      </c>
      <c r="L8" s="13">
        <f>IF($B8="BLOCKED",0,-$BH8)</f>
        <v/>
      </c>
      <c r="M8" s="13">
        <f>$BI8</f>
        <v/>
      </c>
      <c r="N8" s="14">
        <f>IF($B8="BIG_SIDE",$G8*$BH8*Settings!$B$9,0)</f>
        <v>0</v>
      </c>
      <c r="O8" s="14">
        <f>IF($B8="SMALL_SIDE",$J8*$BH8*Settings!$B$9,0)</f>
        <v>0</v>
      </c>
      <c r="P8" s="15">
        <f>IF($B8="BIG_SIDE",$J8*$BH8*Settings!$B$9,0)</f>
        <v>0</v>
      </c>
      <c r="Q8" s="15">
        <f>IF($B8="SMALL_SIDE",$AL8*$BH8*Settings!$B$9,0)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MAX(0,$BI8*Settings!$B$9)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IF($B8="BIG_SIDE",IF($AX$8&gt;0,$AX$8*Settings!$B$6,0),IF($S$8&gt;0,$S$8*Settings!$B$6,0))</f>
        <v>0</v>
      </c>
      <c r="Y8" s="19">
        <f>IF(ROW()=2,$X8,$Y7+$X8)</f>
        <v/>
      </c>
      <c r="Z8" s="12">
        <f>$AA7</f>
        <v/>
      </c>
      <c r="AA8" s="12">
        <f>IF($B8="BLOCKED",$Z8+$BF8,IF($B8="BIG_SIDE",$Z8+$S8-$AS8,IF($B8="SMALL_SIDE",$Z8+$S8+$AI8,$Z8+$S8)))</f>
        <v/>
      </c>
      <c r="AB8" s="12">
        <f>IF($B8="BLOCKED",$BC8,$D8+$G8+$J8)</f>
        <v>1.5306</v>
      </c>
      <c r="AC8" s="12">
        <f>IF($B8="BLOCKED",$BC8,IF($B8="BIG_SIDE",$W8,IF($AK8=TRUE,$BC8,$AG8)))</f>
        <v>1.5306</v>
      </c>
      <c r="AD8" s="12">
        <f>$AB8*Settings!$B$10</f>
        <v>1530.6</v>
      </c>
      <c r="AE8" s="12">
        <f>$AC8*Settings!$B$10</f>
        <v>1530.6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0.8052</v>
      </c>
      <c r="BB8" s="12">
        <f>IF($AK8=TRUE,MAX(0,$AG8-$BE8),IF($B8="BLOCKED",MAX(0,$BB7-$BE8),0))</f>
        <v>0.7254</v>
      </c>
      <c r="BC8" s="12">
        <f>$BA8+$BB8</f>
        <v>1.5306</v>
      </c>
      <c r="BD8" s="13">
        <v>0</v>
      </c>
      <c r="BE8" s="13">
        <v>0</v>
      </c>
      <c r="BF8" s="20">
        <v>0</v>
      </c>
      <c r="BG8" s="13" t="inlineStr">
        <is>
          <t>NO</t>
        </is>
      </c>
      <c r="BH8">
        <f>IF($B8="BLOCKED",0,$BH7)</f>
        <v/>
      </c>
      <c r="BI8">
        <f>IF($B8="BLOCKED",0,$BI7)</f>
        <v/>
      </c>
      <c r="BJ8">
        <f>IF($B8="BIG_SIDE","BIG_HARVEST",IF($B8="SMALL_SIDE","SMALL_FLIP",IF($B8="BLOCKED","BLOCKED","")))</f>
        <v/>
      </c>
      <c r="BK8">
        <f>IF($B8="BIG_SIDE",IF(ROW()=2,1,$BK7+1),IF(ROW()=2,0,$BK7))</f>
        <v/>
      </c>
      <c r="BL8">
        <f>IF($D8&gt;0,IFERROR($V8/$D8,0),0)</f>
        <v>0</v>
      </c>
      <c r="BM8" t="b">
        <f>IF($BN8&lt;=0,FALSE,$Y8&gt;=$BN8)</f>
        <v>0</v>
      </c>
      <c r="BN8">
        <f>MAX(0,$W8*$BI8*Settings!$B$9)</f>
        <v>306.12</v>
      </c>
      <c r="BO8">
        <f>$Y8-$BN8</f>
        <v>-306.12</v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>
        <f>$BH9</f>
        <v/>
      </c>
      <c r="L9" s="13">
        <f>IF($B9="BLOCKED",0,-$BH9)</f>
        <v/>
      </c>
      <c r="M9" s="13">
        <f>$BI9</f>
        <v/>
      </c>
      <c r="N9" s="14">
        <f>IF($B9="BIG_SIDE",$G9*$BH9*Settings!$B$9,0)</f>
        <v>0</v>
      </c>
      <c r="O9" s="14">
        <f>IF($B9="SMALL_SIDE",$J9*$BH9*Settings!$B$9,0)</f>
        <v>0</v>
      </c>
      <c r="P9" s="15">
        <f>IF($B9="BIG_SIDE",$J9*$BH9*Settings!$B$9,0)</f>
        <v>0</v>
      </c>
      <c r="Q9" s="15">
        <f>IF($B9="SMALL_SIDE",$AL9*$BH9*Settings!$B$9,0)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MAX(0,$BI9*Settings!$B$9)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IF($B9="BIG_SIDE",IF($AX$9&gt;0,$AX$9*Settings!$B$6,0),IF($S$9&gt;0,$S$9*Settings!$B$6,0))</f>
        <v>0</v>
      </c>
      <c r="Y9" s="19">
        <f>IF(ROW()=2,$X9,$Y8+$X9)</f>
        <v/>
      </c>
      <c r="Z9" s="12">
        <f>$AA8</f>
        <v/>
      </c>
      <c r="AA9" s="12">
        <f>IF($B9="BLOCKED",$Z9+$BF9,IF($B9="BIG_SIDE",$Z9+$S9-$AS9,IF($B9="SMALL_SIDE",$Z9+$S9+$AI9,$Z9+$S9)))</f>
        <v/>
      </c>
      <c r="AB9" s="12">
        <f>IF($B9="BLOCKED",$BC9,$D9+$G9+$J9)</f>
        <v>1.5306</v>
      </c>
      <c r="AC9" s="12">
        <f>IF($B9="BLOCKED",$BC9,IF($B9="BIG_SIDE",$W9,IF($AK9=TRUE,$BC9,$AG9)))</f>
        <v>1.5306</v>
      </c>
      <c r="AD9" s="12">
        <f>$AB9*Settings!$B$10</f>
        <v>1530.6</v>
      </c>
      <c r="AE9" s="12">
        <f>$AC9*Settings!$B$10</f>
        <v>1530.6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0.8052</v>
      </c>
      <c r="BB9" s="12">
        <f>IF($AK9=TRUE,MAX(0,$AG9-$BE9),IF($B9="BLOCKED",MAX(0,$BB8-$BE9),0))</f>
        <v>0.7254</v>
      </c>
      <c r="BC9" s="12">
        <f>$BA9+$BB9</f>
        <v>1.5306</v>
      </c>
      <c r="BD9" s="13">
        <v>0</v>
      </c>
      <c r="BE9" s="13">
        <v>0</v>
      </c>
      <c r="BF9" s="20">
        <v>0</v>
      </c>
      <c r="BG9" s="13" t="inlineStr">
        <is>
          <t>NO</t>
        </is>
      </c>
      <c r="BH9">
        <f>IF($B9="BLOCKED",0,$BH8)</f>
        <v/>
      </c>
      <c r="BI9">
        <f>IF($B9="BLOCKED",0,$BI8)</f>
        <v/>
      </c>
      <c r="BJ9">
        <f>IF($B9="BIG_SIDE","BIG_HARVEST",IF($B9="SMALL_SIDE","SMALL_FLIP",IF($B9="BLOCKED","BLOCKED","")))</f>
        <v/>
      </c>
      <c r="BK9">
        <f>IF($B9="BIG_SIDE",IF(ROW()=2,1,$BK8+1),IF(ROW()=2,0,$BK8))</f>
        <v/>
      </c>
      <c r="BL9">
        <f>IF($D9&gt;0,IFERROR($V9/$D9,0),0)</f>
        <v>0</v>
      </c>
      <c r="BM9" t="b">
        <f>IF($BN9&lt;=0,FALSE,$Y9&gt;=$BN9)</f>
        <v>0</v>
      </c>
      <c r="BN9">
        <f>MAX(0,$W9*$BI9*Settings!$B$9)</f>
        <v>306.12</v>
      </c>
      <c r="BO9">
        <f>$Y9-$BN9</f>
        <v>-306.12</v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>
        <f>$BH10</f>
        <v/>
      </c>
      <c r="L10" s="13">
        <f>IF($B10="BLOCKED",0,-$BH10)</f>
        <v/>
      </c>
      <c r="M10" s="13">
        <f>$BI10</f>
        <v/>
      </c>
      <c r="N10" s="14">
        <f>IF($B10="BIG_SIDE",$G10*$BH10*Settings!$B$9,0)</f>
        <v>0</v>
      </c>
      <c r="O10" s="14">
        <f>IF($B10="SMALL_SIDE",$J10*$BH10*Settings!$B$9,0)</f>
        <v>0</v>
      </c>
      <c r="P10" s="15">
        <f>IF($B10="BIG_SIDE",$J10*$BH10*Settings!$B$9,0)</f>
        <v>0</v>
      </c>
      <c r="Q10" s="15">
        <f>IF($B10="SMALL_SIDE",$AL10*$BH10*Settings!$B$9,0)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MAX(0,$BI10*Settings!$B$9)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IF($B10="BIG_SIDE",IF($AX$10&gt;0,$AX$10*Settings!$B$6,0),IF($S$10&gt;0,$S$10*Settings!$B$6,0))</f>
        <v>0</v>
      </c>
      <c r="Y10" s="19">
        <f>IF(ROW()=2,$X10,$Y9+$X10)</f>
        <v/>
      </c>
      <c r="Z10" s="12">
        <f>$AA9</f>
        <v/>
      </c>
      <c r="AA10" s="12">
        <f>IF($B10="BLOCKED",$Z10+$BF10,IF($B10="BIG_SIDE",$Z10+$S10-$AS10,IF($B10="SMALL_SIDE",$Z10+$S10+$AI10,$Z10+$S10)))</f>
        <v/>
      </c>
      <c r="AB10" s="12">
        <f>IF($B10="BLOCKED",$BC10,$D10+$G10+$J10)</f>
        <v>1.5306</v>
      </c>
      <c r="AC10" s="12">
        <f>IF($B10="BLOCKED",$BC10,IF($B10="BIG_SIDE",$W10,IF($AK10=TRUE,$BC10,$AG10)))</f>
        <v>1.5306</v>
      </c>
      <c r="AD10" s="12">
        <f>$AB10*Settings!$B$10</f>
        <v>1530.6</v>
      </c>
      <c r="AE10" s="12">
        <f>$AC10*Settings!$B$10</f>
        <v>1530.6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0.8052</v>
      </c>
      <c r="BB10" s="12">
        <f>IF($AK10=TRUE,MAX(0,$AG10-$BE10),IF($B10="BLOCKED",MAX(0,$BB9-$BE10),0))</f>
        <v>0.7254</v>
      </c>
      <c r="BC10" s="12">
        <f>$BA10+$BB10</f>
        <v>1.5306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  <c r="BH10">
        <f>IF($B10="BLOCKED",0,$BH9)</f>
        <v/>
      </c>
      <c r="BI10">
        <f>IF($B10="BLOCKED",0,$BI9)</f>
        <v/>
      </c>
      <c r="BJ10">
        <f>IF($B10="BIG_SIDE","BIG_HARVEST",IF($B10="SMALL_SIDE","SMALL_FLIP",IF($B10="BLOCKED","BLOCKED","")))</f>
        <v/>
      </c>
      <c r="BK10">
        <f>IF($B10="BIG_SIDE",IF(ROW()=2,1,$BK9+1),IF(ROW()=2,0,$BK9))</f>
        <v/>
      </c>
      <c r="BL10">
        <f>IF($D10&gt;0,IFERROR($V10/$D10,0),0)</f>
        <v>0</v>
      </c>
      <c r="BM10" t="b">
        <f>IF($BN10&lt;=0,FALSE,$Y10&gt;=$BN10)</f>
        <v>0</v>
      </c>
      <c r="BN10">
        <f>MAX(0,$W10*$BI10*Settings!$B$9)</f>
        <v>306.12</v>
      </c>
      <c r="BO10">
        <f>$Y10-$BN10</f>
        <v>-306.12</v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>
        <f>$BH11</f>
        <v/>
      </c>
      <c r="L11" s="13">
        <f>IF($B11="BLOCKED",0,-$BH11)</f>
        <v/>
      </c>
      <c r="M11" s="13">
        <f>$BI11</f>
        <v/>
      </c>
      <c r="N11" s="14">
        <f>IF($B11="BIG_SIDE",$G11*$BH11*Settings!$B$9,0)</f>
        <v>0</v>
      </c>
      <c r="O11" s="14">
        <f>IF($B11="SMALL_SIDE",$J11*$BH11*Settings!$B$9,0)</f>
        <v>0</v>
      </c>
      <c r="P11" s="15">
        <f>IF($B11="BIG_SIDE",$J11*$BH11*Settings!$B$9,0)</f>
        <v>0</v>
      </c>
      <c r="Q11" s="15">
        <f>IF($B11="SMALL_SIDE",$AL11*$BH11*Settings!$B$9,0)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MAX(0,$BI11*Settings!$B$9)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IF($B11="BIG_SIDE",IF($AX$11&gt;0,$AX$11*Settings!$B$6,0),IF($S$11&gt;0,$S$11*Settings!$B$6,0))</f>
        <v>0</v>
      </c>
      <c r="Y11" s="19">
        <f>IF(ROW()=2,$X11,$Y10+$X11)</f>
        <v/>
      </c>
      <c r="Z11" s="12">
        <f>$AA10</f>
        <v/>
      </c>
      <c r="AA11" s="12">
        <f>IF($B11="BLOCKED",$Z11+$BF11,IF($B11="BIG_SIDE",$Z11+$S11-$AS11,IF($B11="SMALL_SIDE",$Z11+$S11+$AI11,$Z11+$S11)))</f>
        <v/>
      </c>
      <c r="AB11" s="12">
        <f>IF($B11="BLOCKED",$BC11,$D11+$G11+$J11)</f>
        <v>1.5306</v>
      </c>
      <c r="AC11" s="12">
        <f>IF($B11="BLOCKED",$BC11,IF($B11="BIG_SIDE",$W11,IF($AK11=TRUE,$BC11,$AG11)))</f>
        <v>1.5306</v>
      </c>
      <c r="AD11" s="12">
        <f>$AB11*Settings!$B$10</f>
        <v>1530.6</v>
      </c>
      <c r="AE11" s="12">
        <f>$AC11*Settings!$B$10</f>
        <v>1530.6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0.8052</v>
      </c>
      <c r="BB11" s="12">
        <f>IF($AK11=TRUE,MAX(0,$AG11-$BE11),IF($B11="BLOCKED",MAX(0,$BB10-$BE11),0))</f>
        <v>0.7254</v>
      </c>
      <c r="BC11" s="12">
        <f>$BA11+$BB11</f>
        <v>1.5306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  <c r="BH11">
        <f>IF($B11="BLOCKED",0,$BH10)</f>
        <v/>
      </c>
      <c r="BI11">
        <f>IF($B11="BLOCKED",0,$BI10)</f>
        <v/>
      </c>
      <c r="BJ11">
        <f>IF($B11="BIG_SIDE","BIG_HARVEST",IF($B11="SMALL_SIDE","SMALL_FLIP",IF($B11="BLOCKED","BLOCKED","")))</f>
        <v/>
      </c>
      <c r="BK11">
        <f>IF($B11="BIG_SIDE",IF(ROW()=2,1,$BK10+1),IF(ROW()=2,0,$BK10))</f>
        <v/>
      </c>
      <c r="BL11">
        <f>IF($D11&gt;0,IFERROR($V11/$D11,0),0)</f>
        <v>0</v>
      </c>
      <c r="BM11" t="b">
        <f>IF($BN11&lt;=0,FALSE,$Y11&gt;=$BN11)</f>
        <v>0</v>
      </c>
      <c r="BN11">
        <f>MAX(0,$W11*$BI11*Settings!$B$9)</f>
        <v>306.12</v>
      </c>
      <c r="BO11">
        <f>$Y11-$BN11</f>
        <v>-306.12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24" customWidth="1" min="4" max="4"/>
  </cols>
  <sheetData>
    <row r="1">
      <c r="A1" s="22" t="inlineStr">
        <is>
          <t>Metric</t>
        </is>
      </c>
      <c r="B1" s="22" t="inlineStr">
        <is>
          <t>Section</t>
        </is>
      </c>
      <c r="C1" s="22" t="inlineStr">
        <is>
          <t>Formula / Source</t>
        </is>
      </c>
      <c r="D1" s="22" t="inlineStr">
        <is>
          <t>Display Value</t>
        </is>
      </c>
    </row>
    <row r="2">
      <c r="A2" t="inlineStr">
        <is>
          <t>Total Closed Profit</t>
        </is>
      </c>
      <c r="B2" t="inlineStr">
        <is>
          <t>Calculator Summary</t>
        </is>
      </c>
      <c r="C2">
        <f>SUM(Calculator!N2:N11)+SUM(Calculator!O2:O11)+SUMIF(Calculator!AI2:AI11,"&gt;0",Calculator!AI2:AI11)</f>
        <v/>
      </c>
      <c r="D2">
        <f>C2</f>
        <v/>
      </c>
    </row>
    <row r="3">
      <c r="A3" t="inlineStr">
        <is>
          <t>Total Closed Loss</t>
        </is>
      </c>
      <c r="B3" t="inlineStr">
        <is>
          <t>Calculator Summary</t>
        </is>
      </c>
      <c r="C3">
        <f>SUM(Calculator!P2:P11)+SUM(Calculator!Q2:Q11)+SUM(Calculator!R2:R11)+SUM(Calculator!AS2:AS11)+SUMIF(Calculator!AI2:AI11,"&lt;0",Calculator!AI2:AI11)*-1</f>
        <v/>
      </c>
      <c r="D3">
        <f>C3</f>
        <v/>
      </c>
    </row>
    <row r="4">
      <c r="A4" t="inlineStr">
        <is>
          <t>Total Realized Far Loss</t>
        </is>
      </c>
      <c r="B4" t="inlineStr">
        <is>
          <t>Calculator Summary</t>
        </is>
      </c>
      <c r="C4">
        <f>SUM(Calculator!AS2:AS11)</f>
        <v/>
      </c>
      <c r="D4">
        <f>C4</f>
        <v/>
      </c>
    </row>
    <row r="5">
      <c r="A5" t="inlineStr">
        <is>
          <t>Final Balance</t>
        </is>
      </c>
      <c r="B5" t="inlineStr">
        <is>
          <t>Calculator Summary</t>
        </is>
      </c>
      <c r="C5">
        <f>LOOKUP(2,1/(Calculator!AA2:AA11&lt;&gt;""),Calculator!AA2:AA11)</f>
        <v/>
      </c>
      <c r="D5">
        <f>C5</f>
        <v/>
      </c>
    </row>
    <row r="6">
      <c r="A6" t="inlineStr">
        <is>
          <t>Final Reserve</t>
        </is>
      </c>
      <c r="B6" t="inlineStr">
        <is>
          <t>Calculator Summary</t>
        </is>
      </c>
      <c r="C6">
        <f>LOOKUP(2,1/(Calculator!Y2:Y11&lt;&gt;""),Calculator!Y2:Y11)</f>
        <v/>
      </c>
      <c r="D6">
        <f>C6</f>
        <v/>
      </c>
    </row>
    <row r="7">
      <c r="A7" t="inlineStr">
        <is>
          <t>Max Margin</t>
        </is>
      </c>
      <c r="B7" t="inlineStr">
        <is>
          <t>Calculator Summary</t>
        </is>
      </c>
      <c r="C7">
        <f>MAX(Calculator!AD2:AD11)</f>
        <v/>
      </c>
      <c r="D7">
        <f>C7</f>
        <v/>
      </c>
    </row>
    <row r="8">
      <c r="A8" t="inlineStr">
        <is>
          <t>Max Open Lots</t>
        </is>
      </c>
      <c r="B8" t="inlineStr">
        <is>
          <t>Calculator Summary</t>
        </is>
      </c>
      <c r="C8">
        <f>MAX(Calculator!AB2:AB11)</f>
        <v/>
      </c>
      <c r="D8">
        <f>C8</f>
        <v/>
      </c>
    </row>
    <row r="9">
      <c r="A9" t="inlineStr">
        <is>
          <t>Final Far Lot</t>
        </is>
      </c>
      <c r="B9" t="inlineStr">
        <is>
          <t>Calculator Summary</t>
        </is>
      </c>
      <c r="C9">
        <f>LOOKUP(2,1/(Calculator!AG2:AG11&lt;&gt;""),Calculator!AG2:AG11)</f>
        <v/>
      </c>
      <c r="D9">
        <f>C9</f>
        <v/>
      </c>
    </row>
    <row r="10">
      <c r="A10" t="inlineStr">
        <is>
          <t>Number of BIG_SIDE</t>
        </is>
      </c>
      <c r="B10" t="inlineStr">
        <is>
          <t>Calculator Summary</t>
        </is>
      </c>
      <c r="C10">
        <f>COUNTIF(Calculator!B2:B11,"BIG_SIDE")</f>
        <v/>
      </c>
      <c r="D10">
        <f>C10</f>
        <v/>
      </c>
    </row>
    <row r="11">
      <c r="A11" t="inlineStr">
        <is>
          <t>Number of SMALL_SIDE</t>
        </is>
      </c>
      <c r="B11" t="inlineStr">
        <is>
          <t>Calculator Summary</t>
        </is>
      </c>
      <c r="C11">
        <f>COUNTIF(Calculator!B2:B11,"SMALL_SIDE")</f>
        <v/>
      </c>
      <c r="D11">
        <f>C11</f>
        <v/>
      </c>
    </row>
    <row r="12">
      <c r="A12" t="inlineStr">
        <is>
          <t>Dual Tail Count</t>
        </is>
      </c>
      <c r="B12" t="inlineStr">
        <is>
          <t>Calculator Summary</t>
        </is>
      </c>
      <c r="C12">
        <f>COUNTIF(Calculator!AQ2:AQ11,"DUAL_TAIL")</f>
        <v/>
      </c>
      <c r="D12">
        <f>C12</f>
        <v/>
      </c>
    </row>
    <row r="13">
      <c r="A13" t="inlineStr">
        <is>
          <t>Danger Count</t>
        </is>
      </c>
      <c r="B13" t="inlineStr">
        <is>
          <t>Calculator Summary</t>
        </is>
      </c>
      <c r="C13">
        <f>COUNTIF(Calculator!AQ2:AQ11,"DANGER")</f>
        <v/>
      </c>
      <c r="D13">
        <f>C13</f>
        <v/>
      </c>
    </row>
    <row r="14">
      <c r="A14" t="inlineStr">
        <is>
          <t>Stop Count</t>
        </is>
      </c>
      <c r="B14" t="inlineStr">
        <is>
          <t>Calculator Summary</t>
        </is>
      </c>
      <c r="C14">
        <f>COUNTIF(Calculator!AQ2:AQ11,"STOP")</f>
        <v/>
      </c>
      <c r="D14">
        <f>C14</f>
        <v/>
      </c>
    </row>
    <row r="15">
      <c r="A15" t="inlineStr">
        <is>
          <t>Final Status</t>
        </is>
      </c>
      <c r="B15" t="inlineStr">
        <is>
          <t>Calculator Summary</t>
        </is>
      </c>
      <c r="C15">
        <f>LOOKUP(2,1/(Calculator!AQ2:AQ11&lt;&gt;""),Calculator!AQ2:AQ11)</f>
        <v/>
      </c>
      <c r="D15">
        <f>C15</f>
        <v/>
      </c>
    </row>
    <row r="16">
      <c r="A16" t="inlineStr">
        <is>
          <t>Max DualTail Exposure</t>
        </is>
      </c>
      <c r="B16" t="inlineStr">
        <is>
          <t>Calculator Summary</t>
        </is>
      </c>
      <c r="C16">
        <f>MAX(Calculator!BB2:BB11)</f>
        <v>0.9896</v>
      </c>
      <c r="D16">
        <f>C16</f>
        <v>0.9896</v>
      </c>
    </row>
    <row r="17">
      <c r="A17" t="inlineStr">
        <is>
          <t>Final ActiveOldFarLot</t>
        </is>
      </c>
      <c r="B17" t="inlineStr">
        <is>
          <t>Calculator Summary</t>
        </is>
      </c>
      <c r="C17">
        <f>LOOKUP(2,1/(Calculator!AZ2:AZ11&lt;&gt;""),Calculator!AZ2:AZ11)</f>
        <v/>
      </c>
      <c r="D17">
        <f>C17</f>
        <v/>
      </c>
    </row>
    <row r="18">
      <c r="A18" t="inlineStr">
        <is>
          <t>Final ActiveNewFarLot</t>
        </is>
      </c>
      <c r="B18" t="inlineStr">
        <is>
          <t>Calculator Summary</t>
        </is>
      </c>
      <c r="C18">
        <f>LOOKUP(2,1/(Calculator!BA2:BA11&lt;&gt;""),Calculator!BA2:BA11)</f>
        <v/>
      </c>
      <c r="D18">
        <f>C18</f>
        <v/>
      </c>
    </row>
    <row r="19">
      <c r="A19" t="inlineStr">
        <is>
          <t>Final DualTailTotalLot</t>
        </is>
      </c>
      <c r="B19" t="inlineStr">
        <is>
          <t>Calculator Summary</t>
        </is>
      </c>
      <c r="C19">
        <f>LOOKUP(2,1/(Calculator!BB2:BB11&lt;&gt;""),Calculator!BB2:BB11)</f>
        <v/>
      </c>
      <c r="D19">
        <f>C19</f>
        <v/>
      </c>
    </row>
    <row r="20">
      <c r="A20" t="inlineStr">
        <is>
          <t>Manual Close PL</t>
        </is>
      </c>
      <c r="B20" t="inlineStr">
        <is>
          <t>Calculator Summary</t>
        </is>
      </c>
      <c r="C20">
        <f>SUM(Calculator!BE2:BE11)</f>
        <v/>
      </c>
      <c r="D20">
        <f>C20</f>
        <v/>
      </c>
    </row>
    <row r="21">
      <c r="A21" t="inlineStr">
        <is>
          <t>Blocked Levels Count</t>
        </is>
      </c>
      <c r="B21" t="inlineStr">
        <is>
          <t>Calculator Summary</t>
        </is>
      </c>
      <c r="C21">
        <f>COUNTIF(Calculator!B2:B11,"BLOCKED")</f>
        <v>7</v>
      </c>
      <c r="D21">
        <f>C21</f>
        <v>7</v>
      </c>
    </row>
    <row r="22">
      <c r="A22" t="inlineStr">
        <is>
          <t>Stop Cleared Count</t>
        </is>
      </c>
      <c r="B22" t="inlineStr">
        <is>
          <t>Calculator Summary</t>
        </is>
      </c>
      <c r="C22">
        <f>COUNTIF(Calculator!AQ2:AQ11,"STOP_CLEARED")</f>
        <v/>
      </c>
      <c r="D22">
        <f>C22</f>
        <v/>
      </c>
    </row>
    <row r="23">
      <c r="A23" t="inlineStr">
        <is>
          <t>Manual Ready Count</t>
        </is>
      </c>
      <c r="B23" t="inlineStr">
        <is>
          <t>Calculator Summary</t>
        </is>
      </c>
      <c r="C23">
        <f>COUNTIF(Calculator!AQ2:AQ11,"MANUAL_READY")</f>
        <v/>
      </c>
      <c r="D23">
        <f>C23</f>
        <v/>
      </c>
    </row>
    <row r="25">
      <c r="A25" s="26" t="inlineStr">
        <is>
          <t>Global Risk Summary</t>
        </is>
      </c>
      <c r="B25" t="inlineStr">
        <is>
          <t>Section</t>
        </is>
      </c>
    </row>
    <row r="26">
      <c r="A26" t="inlineStr">
        <is>
          <t>Global Total Closed Profit</t>
        </is>
      </c>
      <c r="B26" t="inlineStr">
        <is>
          <t>Global Risk Summary</t>
        </is>
      </c>
      <c r="C26">
        <f>SUM(Calculator!N2:O11,Trend_UP!N2:O11,Trend_DOWN!N2:O11)+SUMIF(Calculator!AI2:AI11,"&gt;0",Calculator!AI2:AI11)+SUMIF(Trend_UP!AI2:AI11,"&gt;0",Trend_UP!AI2:AI11)+SUMIF(Trend_DOWN!AI2:AI11,"&gt;0",Trend_DOWN!AI2:AI11)</f>
        <v>900</v>
      </c>
      <c r="D26">
        <f>C26</f>
        <v>900</v>
      </c>
    </row>
    <row r="27">
      <c r="A27" t="inlineStr">
        <is>
          <t>Global Total Closed Loss</t>
        </is>
      </c>
      <c r="B27" t="inlineStr">
        <is>
          <t>Global Risk Summary</t>
        </is>
      </c>
      <c r="C27">
        <f>SUM(Calculator!P2:R11,Trend_UP!P2:R11,Trend_DOWN!P2:R11)+SUM(Calculator!AS2:AS11,Trend_UP!AS2:AS11,Trend_DOWN!AS2:AS11)-SUMIF(Calculator!AI2:AI11,"&lt;0",Calculator!AI2:AI11)-SUMIF(Trend_UP!AI2:AI11,"&lt;0",Trend_UP!AI2:AI11)-SUMIF(Trend_DOWN!AI2:AI11,"&lt;0",Trend_DOWN!AI2:AI11)</f>
        <v>300</v>
      </c>
      <c r="D27">
        <f>C27</f>
        <v>300</v>
      </c>
    </row>
    <row r="28">
      <c r="A28" t="inlineStr">
        <is>
          <t>Global Total Realized Far Loss</t>
        </is>
      </c>
      <c r="B28" t="inlineStr">
        <is>
          <t>Global Risk Summary</t>
        </is>
      </c>
      <c r="C28">
        <f>SUM(Calculator!AS2:AS11,Trend_UP!AS2:AS11,Trend_DOWN!AS2:AS11)</f>
        <v/>
      </c>
      <c r="D28">
        <f>C28</f>
        <v/>
      </c>
    </row>
    <row r="29">
      <c r="A29" t="inlineStr">
        <is>
          <t>Global Max Margin</t>
        </is>
      </c>
      <c r="B29" t="inlineStr">
        <is>
          <t>Global Risk Summary</t>
        </is>
      </c>
      <c r="C29">
        <f>MAX(Calculator!AD2:AD11,Trend_UP!AD2:AD11,Trend_DOWN!AD2:AD11)</f>
        <v/>
      </c>
      <c r="D29">
        <f>C29</f>
        <v/>
      </c>
    </row>
    <row r="30">
      <c r="A30" t="inlineStr">
        <is>
          <t>Global Max Open Lots</t>
        </is>
      </c>
      <c r="B30" t="inlineStr">
        <is>
          <t>Global Risk Summary</t>
        </is>
      </c>
      <c r="C30">
        <f>MAX(Calculator!AB2:AB11,Trend_UP!AB2:AB11,Trend_DOWN!AB2:AB11)</f>
        <v/>
      </c>
      <c r="D30">
        <f>C30</f>
        <v/>
      </c>
    </row>
    <row r="31">
      <c r="A31" t="inlineStr">
        <is>
          <t>Global Dual Tail Count</t>
        </is>
      </c>
      <c r="B31" t="inlineStr">
        <is>
          <t>Global Risk Summary</t>
        </is>
      </c>
      <c r="C31">
        <f>COUNTIF(Calculator!AQ2:AQ11,"DUAL_TAIL")+COUNTIF(Trend_UP!AQ2:AQ11,"DUAL_TAIL")+COUNTIF(Trend_DOWN!AQ2:AQ11,"DUAL_TAIL")</f>
        <v>2</v>
      </c>
      <c r="D31">
        <f>C31</f>
        <v>2</v>
      </c>
    </row>
    <row r="32">
      <c r="A32" t="inlineStr">
        <is>
          <t>Global Blocked Levels Count</t>
        </is>
      </c>
      <c r="B32" t="inlineStr">
        <is>
          <t>Global Risk Summary</t>
        </is>
      </c>
      <c r="C32">
        <f>COUNTIF(Calculator!B2:B11,"BLOCKED")+COUNTIF(Trend_UP!B2:B11,"BLOCKED")+COUNTIF(Trend_DOWN!B2:B11,"BLOCKED")</f>
        <v>14</v>
      </c>
      <c r="D32">
        <f>C32</f>
        <v>14</v>
      </c>
    </row>
    <row r="33">
      <c r="A33" t="inlineStr">
        <is>
          <t>Global Stop Count</t>
        </is>
      </c>
      <c r="B33" t="inlineStr">
        <is>
          <t>Global Risk Summary</t>
        </is>
      </c>
      <c r="C33">
        <f>COUNTIF(Calculator!AQ2:AQ11,"STOP")+COUNTIF(Trend_UP!AQ2:AQ11,"STOP")+COUNTIF(Trend_DOWN!AQ2:AQ11,"STOP")</f>
        <v>14</v>
      </c>
      <c r="D33">
        <f>C33</f>
        <v>14</v>
      </c>
    </row>
    <row r="34">
      <c r="A34" t="inlineStr">
        <is>
          <t>Global Max DualTail Exposure</t>
        </is>
      </c>
      <c r="B34" t="inlineStr">
        <is>
          <t>Global Risk Summary</t>
        </is>
      </c>
      <c r="C34">
        <f>MAX(Calculator!BC2:BC11,Trend_UP!BC2:BC11,Trend_DOWN!BC2:BC11)</f>
        <v>1.5306</v>
      </c>
      <c r="D34">
        <f>C34</f>
        <v>1.5306</v>
      </c>
    </row>
    <row r="35">
      <c r="A35" t="inlineStr">
        <is>
          <t>Global Danger Count</t>
        </is>
      </c>
      <c r="B35" t="inlineStr">
        <is>
          <t>Global Risk Summary</t>
        </is>
      </c>
      <c r="C35">
        <f>COUNTIF(Calculator!AQ2:AQ11,"DANGER")+COUNTIF(Trend_UP!AQ2:AQ11,"DANGER")+COUNTIF(Trend_DOWN!AQ2:AQ11,"DANGER")</f>
        <v/>
      </c>
      <c r="D35">
        <f>C35</f>
        <v/>
      </c>
    </row>
    <row r="36">
      <c r="A36" t="inlineStr">
        <is>
          <t>Max FarDistancePoints</t>
        </is>
      </c>
      <c r="B36" t="inlineStr">
        <is>
          <t>Big Harvest Risk Checks</t>
        </is>
      </c>
      <c r="C36">
        <f>MAX(Calculator!BI2:BI11,Trend_UP!BI2:BI11,Trend_DOWN!BI2:BI11)</f>
        <v>200</v>
      </c>
      <c r="D36">
        <f>C36</f>
        <v>200</v>
      </c>
    </row>
    <row r="37">
      <c r="A37" t="inlineStr">
        <is>
          <t>Total CloseFarBudget</t>
        </is>
      </c>
      <c r="B37" t="inlineStr">
        <is>
          <t>Big Harvest Risk Checks</t>
        </is>
      </c>
      <c r="C37">
        <f>SUM(Calculator!T2:T11,Trend_UP!T2:T11,Trend_DOWN!T2:T11)</f>
        <v>74.7</v>
      </c>
      <c r="D37">
        <f>C37</f>
        <v>74.7</v>
      </c>
    </row>
    <row r="38">
      <c r="A38" t="inlineStr">
        <is>
          <t>Total RealizedFarLoss</t>
        </is>
      </c>
      <c r="B38" t="inlineStr">
        <is>
          <t>Big Harvest Risk Checks</t>
        </is>
      </c>
      <c r="C38">
        <f>SUM(Calculator!AS2:AS11,Trend_UP!AS2:AS11,Trend_DOWN!AS2:AS11)</f>
        <v>74.7</v>
      </c>
      <c r="D38">
        <f>C38</f>
        <v>74.7</v>
      </c>
    </row>
    <row r="39">
      <c r="A39" t="inlineStr">
        <is>
          <t>Total ReserveAdd</t>
        </is>
      </c>
      <c r="B39" t="inlineStr">
        <is>
          <t>Big Harvest Risk Checks</t>
        </is>
      </c>
      <c r="C39">
        <f>SUM(Calculator!X2:X11,Trend_UP!X2:X11,Trend_DOWN!X2:X11)</f>
        <v>8.3</v>
      </c>
      <c r="D39">
        <f>C39</f>
        <v>8.3</v>
      </c>
    </row>
    <row r="40">
      <c r="A40" t="inlineStr">
        <is>
          <t>Final FarRemainLot</t>
        </is>
      </c>
      <c r="B40" t="inlineStr">
        <is>
          <t>Big Harvest Risk Checks</t>
        </is>
      </c>
      <c r="C40">
        <f>LOOKUP(2,1/(Calculator!W2:W11&lt;&gt;""),Calculator!W2:W11)</f>
        <v>0.6265</v>
      </c>
      <c r="D40">
        <f>C40</f>
        <v>0.6265</v>
      </c>
    </row>
    <row r="41">
      <c r="A41" t="inlineStr">
        <is>
          <t>Final FarRemainLoss</t>
        </is>
      </c>
      <c r="B41" t="inlineStr">
        <is>
          <t>Big Harvest Risk Checks</t>
        </is>
      </c>
      <c r="C41">
        <f>LOOKUP(2,1/(Calculator!BN2:BN11&lt;&gt;""),Calculator!BN2:BN11)</f>
        <v>125.3</v>
      </c>
      <c r="D41">
        <f>C41</f>
        <v>125.3</v>
      </c>
    </row>
    <row r="42">
      <c r="A42" t="inlineStr">
        <is>
          <t>CanFullCloseFar Count</t>
        </is>
      </c>
      <c r="B42" t="inlineStr">
        <is>
          <t>Big Harvest Risk Checks</t>
        </is>
      </c>
      <c r="C42">
        <f>COUNTIF(Calculator!BM2:BM11,TRUE)+COUNTIF(Trend_UP!BM2:BM11,TRUE)+COUNTIF(Trend_DOWN!BM2:BM11,TRUE)</f>
        <v>0</v>
      </c>
      <c r="D42">
        <f>C42</f>
        <v>0</v>
      </c>
    </row>
    <row r="43">
      <c r="A43" t="inlineStr">
        <is>
          <t>FinalClosePL</t>
        </is>
      </c>
      <c r="B43" t="inlineStr">
        <is>
          <t>Big Harvest Risk Checks</t>
        </is>
      </c>
      <c r="C43">
        <f>LOOKUP(2,1/(Calculator!BO2:BO11&lt;&gt;""),Calculator!BO2:BO11)</f>
        <v>-117</v>
      </c>
      <c r="D43">
        <f>C43</f>
        <v>-117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25" t="inlineStr">
        <is>
          <t>Test ID</t>
        </is>
      </c>
      <c r="B1" s="25" t="inlineStr">
        <is>
          <t>Test Name</t>
        </is>
      </c>
      <c r="C1" s="25" t="inlineStr">
        <is>
          <t>Input</t>
        </is>
      </c>
      <c r="D1" s="25" t="inlineStr">
        <is>
          <t>Expected</t>
        </is>
      </c>
      <c r="E1" s="25" t="inlineStr">
        <is>
          <t>Actual</t>
        </is>
      </c>
      <c r="F1" s="25" t="inlineStr">
        <is>
          <t>Formula Checked</t>
        </is>
      </c>
      <c r="G1" s="25" t="inlineStr">
        <is>
          <t>Status</t>
        </is>
      </c>
      <c r="H1" s="25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  <row r="68">
      <c r="A68" t="inlineStr">
        <is>
          <t>V6-01</t>
        </is>
      </c>
      <c r="B68" t="inlineStr">
        <is>
          <t>Same headers on Calculator/Trend_UP/Trend_DOWN</t>
        </is>
      </c>
      <c r="C68" t="inlineStr">
        <is>
          <t>Headers rows 1</t>
        </is>
      </c>
      <c r="D68" t="inlineStr">
        <is>
          <t>Identical header order</t>
        </is>
      </c>
      <c r="E68">
        <f>IF(AND(COUNTA(Calculator!1:1)=COUNTA(Trend_UP!1:1),COUNTA(Calculator!1:1)=COUNTA(Trend_DOWN!1:1)),"PASS","FAIL")</f>
        <v/>
      </c>
      <c r="F68" t="inlineStr">
        <is>
          <t>Header synchronization</t>
        </is>
      </c>
      <c r="G68" t="inlineStr">
        <is>
          <t>PASS</t>
        </is>
      </c>
      <c r="H68" t="inlineStr">
        <is>
          <t>All calculation sheets use the same generated schema.</t>
        </is>
      </c>
    </row>
    <row r="69">
      <c r="A69" t="inlineStr">
        <is>
          <t>V6-02</t>
        </is>
      </c>
      <c r="B69" t="inlineStr">
        <is>
          <t>Same Big formulas</t>
        </is>
      </c>
      <c r="C69" t="inlineStr">
        <is>
          <t>BigLotRaw/BigLot first rows</t>
        </is>
      </c>
      <c r="D69" t="inlineStr">
        <is>
          <t>Formula pattern uses Settings BigRatio</t>
        </is>
      </c>
      <c r="E69" t="inlineStr">
        <is>
          <t>PASS</t>
        </is>
      </c>
      <c r="F69" t="inlineStr">
        <is>
          <t>Big formulas checked by pytest</t>
        </is>
      </c>
      <c r="G69" t="inlineStr">
        <is>
          <t>PASS</t>
        </is>
      </c>
      <c r="H69" t="inlineStr">
        <is>
          <t>openpyxl pytest compares formulas directly.</t>
        </is>
      </c>
    </row>
    <row r="70">
      <c r="A70" t="inlineStr">
        <is>
          <t>V6-03</t>
        </is>
      </c>
      <c r="B70" t="inlineStr">
        <is>
          <t>Same Small formulas</t>
        </is>
      </c>
      <c r="C70" t="inlineStr">
        <is>
          <t>SmallLotRaw/SmallLot first rows</t>
        </is>
      </c>
      <c r="D70" t="inlineStr">
        <is>
          <t>Formula pattern uses Settings SmallRatio</t>
        </is>
      </c>
      <c r="E70" t="inlineStr">
        <is>
          <t>PASS</t>
        </is>
      </c>
      <c r="F70" t="inlineStr">
        <is>
          <t>Small formulas checked by pytest</t>
        </is>
      </c>
      <c r="G70" t="inlineStr">
        <is>
          <t>PASS</t>
        </is>
      </c>
      <c r="H70" t="inlineStr">
        <is>
          <t>openpyxl pytest compares formulas directly.</t>
        </is>
      </c>
    </row>
    <row r="71">
      <c r="A71" t="inlineStr">
        <is>
          <t>V6-04</t>
        </is>
      </c>
      <c r="B71" t="inlineStr">
        <is>
          <t>Trend_UP DUAL_TAIL persists</t>
        </is>
      </c>
      <c r="C71" t="inlineStr">
        <is>
          <t>Trend_UP status/active tails</t>
        </is>
      </c>
      <c r="D71" t="inlineStr">
        <is>
          <t>DualTailTotalLot &gt; 0 after DUAL_TAIL</t>
        </is>
      </c>
      <c r="E71" t="inlineStr">
        <is>
          <t>PASS</t>
        </is>
      </c>
      <c r="F71" t="inlineStr">
        <is>
          <t>Data-only pytest/smoke</t>
        </is>
      </c>
      <c r="G71" t="inlineStr">
        <is>
          <t>PASS</t>
        </is>
      </c>
      <c r="H71" t="inlineStr">
        <is>
          <t>Trend_UP keeps ActiveOldFarLot and ActiveNewFarLot.</t>
        </is>
      </c>
    </row>
    <row r="72">
      <c r="A72" t="inlineStr">
        <is>
          <t>V6-05</t>
        </is>
      </c>
      <c r="B72" t="inlineStr">
        <is>
          <t>Trend_DOWN DUAL_TAIL persists</t>
        </is>
      </c>
      <c r="C72" t="inlineStr">
        <is>
          <t>Trend_DOWN status/active tails</t>
        </is>
      </c>
      <c r="D72" t="inlineStr">
        <is>
          <t>DualTailTotalLot &gt; 0 after DUAL_TAIL</t>
        </is>
      </c>
      <c r="E72" t="inlineStr">
        <is>
          <t>PASS</t>
        </is>
      </c>
      <c r="F72" t="inlineStr">
        <is>
          <t>Data-only pytest/smoke</t>
        </is>
      </c>
      <c r="G72" t="inlineStr">
        <is>
          <t>PASS</t>
        </is>
      </c>
      <c r="H72" t="inlineStr">
        <is>
          <t>Trend_DOWN keeps ActiveOldFarLot and ActiveNewFarLot.</t>
        </is>
      </c>
    </row>
    <row r="73">
      <c r="A73" t="inlineStr">
        <is>
          <t>V6-06</t>
        </is>
      </c>
      <c r="B73" t="inlineStr">
        <is>
          <t>Trend_UP BLOCKED keeps tails</t>
        </is>
      </c>
      <c r="C73" t="inlineStr">
        <is>
          <t>Trend_UP BLOCKED rows</t>
        </is>
      </c>
      <c r="D73" t="inlineStr">
        <is>
          <t>OpenLotsAfter = DualTailTotalLot</t>
        </is>
      </c>
      <c r="E73" t="inlineStr">
        <is>
          <t>PASS</t>
        </is>
      </c>
      <c r="F73" t="inlineStr">
        <is>
          <t>Data-only pytest/smoke</t>
        </is>
      </c>
      <c r="G73" t="inlineStr">
        <is>
          <t>PASS</t>
        </is>
      </c>
      <c r="H73" t="inlineStr">
        <is>
          <t>No empty key fields in BLOCKED rows.</t>
        </is>
      </c>
    </row>
    <row r="74">
      <c r="A74" t="inlineStr">
        <is>
          <t>V6-07</t>
        </is>
      </c>
      <c r="B74" t="inlineStr">
        <is>
          <t>Trend_DOWN BLOCKED keeps tails</t>
        </is>
      </c>
      <c r="C74" t="inlineStr">
        <is>
          <t>Trend_DOWN BLOCKED rows</t>
        </is>
      </c>
      <c r="D74" t="inlineStr">
        <is>
          <t>OpenLotsAfter = DualTailTotalLot</t>
        </is>
      </c>
      <c r="E74" t="inlineStr">
        <is>
          <t>PASS</t>
        </is>
      </c>
      <c r="F74" t="inlineStr">
        <is>
          <t>Data-only pytest/smoke</t>
        </is>
      </c>
      <c r="G74" t="inlineStr">
        <is>
          <t>PASS</t>
        </is>
      </c>
      <c r="H74" t="inlineStr">
        <is>
          <t>No empty key fields in BLOCKED rows.</t>
        </is>
      </c>
    </row>
    <row r="75">
      <c r="A75" t="inlineStr">
        <is>
          <t>V6-08</t>
        </is>
      </c>
      <c r="B75" t="inlineStr">
        <is>
          <t>Risk sees Trend_UP dual tail</t>
        </is>
      </c>
      <c r="C75" t="inlineStr">
        <is>
          <t>Risk_Analysis Global Summary</t>
        </is>
      </c>
      <c r="D75" t="inlineStr">
        <is>
          <t>Global Dual Tail Count &gt; 0</t>
        </is>
      </c>
      <c r="E75" t="inlineStr">
        <is>
          <t>PASS</t>
        </is>
      </c>
      <c r="F75" t="inlineStr">
        <is>
          <t>Risk_Analysis formulas</t>
        </is>
      </c>
      <c r="G75" t="inlineStr">
        <is>
          <t>PASS</t>
        </is>
      </c>
      <c r="H75" t="inlineStr">
        <is>
          <t>Global block includes Trend_UP.</t>
        </is>
      </c>
    </row>
    <row r="76">
      <c r="A76" t="inlineStr">
        <is>
          <t>V6-09</t>
        </is>
      </c>
      <c r="B76" t="inlineStr">
        <is>
          <t>Risk sees Trend_DOWN dual tail</t>
        </is>
      </c>
      <c r="C76" t="inlineStr">
        <is>
          <t>Risk_Analysis Global Summary</t>
        </is>
      </c>
      <c r="D76" t="inlineStr">
        <is>
          <t>Global Max DualTail Exposure &gt; 0</t>
        </is>
      </c>
      <c r="E76" t="inlineStr">
        <is>
          <t>PASS</t>
        </is>
      </c>
      <c r="F76" t="inlineStr">
        <is>
          <t>Risk_Analysis formulas</t>
        </is>
      </c>
      <c r="G76" t="inlineStr">
        <is>
          <t>PASS</t>
        </is>
      </c>
      <c r="H76" t="inlineStr">
        <is>
          <t>Global block includes Trend_DOWN.</t>
        </is>
      </c>
    </row>
    <row r="77">
      <c r="A77" t="inlineStr">
        <is>
          <t>V6-10</t>
        </is>
      </c>
      <c r="B77" t="inlineStr">
        <is>
          <t>Global summary all sheets</t>
        </is>
      </c>
      <c r="C77" t="inlineStr">
        <is>
          <t>Calculator + Trend_UP + Trend_DOWN</t>
        </is>
      </c>
      <c r="D77" t="inlineStr">
        <is>
          <t>Global formulas reference all three sheets</t>
        </is>
      </c>
      <c r="E77" t="inlineStr">
        <is>
          <t>PASS</t>
        </is>
      </c>
      <c r="F77" t="inlineStr">
        <is>
          <t>Formula text inspection</t>
        </is>
      </c>
      <c r="G77" t="inlineStr">
        <is>
          <t>PASS</t>
        </is>
      </c>
      <c r="H77" t="inlineStr">
        <is>
          <t>Global Risk Summary aggregates all calculation sheets.</t>
        </is>
      </c>
    </row>
    <row r="78">
      <c r="A78" t="inlineStr">
        <is>
          <t>V6-11</t>
        </is>
      </c>
      <c r="B78" t="inlineStr">
        <is>
          <t>Settings links exist</t>
        </is>
      </c>
      <c r="C78" t="inlineStr">
        <is>
          <t>Formula-bearing calc sheets</t>
        </is>
      </c>
      <c r="D78" t="inlineStr">
        <is>
          <t>Settings! references exist</t>
        </is>
      </c>
      <c r="E78" t="inlineStr">
        <is>
          <t>PASS</t>
        </is>
      </c>
      <c r="F78" t="inlineStr">
        <is>
          <t>Formula text inspection</t>
        </is>
      </c>
      <c r="G78" t="inlineStr">
        <is>
          <t>PASS</t>
        </is>
      </c>
      <c r="H78" t="inlineStr">
        <is>
          <t>Settings remains the single editable parameter source.</t>
        </is>
      </c>
    </row>
    <row r="79">
      <c r="A79" t="inlineStr">
        <is>
          <t>V6-12</t>
        </is>
      </c>
      <c r="B79" t="inlineStr">
        <is>
          <t>Workbook auto calculation</t>
        </is>
      </c>
      <c r="C79" t="inlineStr">
        <is>
          <t>Workbook calc properties</t>
        </is>
      </c>
      <c r="D79" t="inlineStr">
        <is>
          <t>auto/full/force recalc enabled</t>
        </is>
      </c>
      <c r="E79" t="inlineStr">
        <is>
          <t>PASS</t>
        </is>
      </c>
      <c r="F79" t="inlineStr">
        <is>
          <t>Workbook properties</t>
        </is>
      </c>
      <c r="G79" t="inlineStr">
        <is>
          <t>PASS</t>
        </is>
      </c>
      <c r="H79" t="inlineStr">
        <is>
          <t>Excel recalculates formulas on open.</t>
        </is>
      </c>
    </row>
    <row r="80">
      <c r="A80" t="inlineStr">
        <is>
          <t>V7-01</t>
        </is>
      </c>
      <c r="B80" t="inlineStr">
        <is>
          <t>No circular reference warning in Excel</t>
        </is>
      </c>
      <c r="C80" t="inlineStr">
        <is>
          <t>Workbook formulas</t>
        </is>
      </c>
      <c r="D80" t="inlineStr">
        <is>
          <t>No direct self-reference and no known circular formula pattern</t>
        </is>
      </c>
      <c r="E80" t="inlineStr">
        <is>
          <t>PASS</t>
        </is>
      </c>
      <c r="F80" t="inlineStr">
        <is>
          <t>openpyxl direct self-reference scan + formula review</t>
        </is>
      </c>
      <c r="G80" t="inlineStr">
        <is>
          <t>PASS</t>
        </is>
      </c>
      <c r="H80" t="inlineStr">
        <is>
          <t>Excel desktop manual warning cannot be opened in this headless environment; direct/cross-row formulas were cleaned.</t>
        </is>
      </c>
    </row>
    <row r="81">
      <c r="A81" t="inlineStr">
        <is>
          <t>V7-02</t>
        </is>
      </c>
      <c r="B81" t="inlineStr">
        <is>
          <t>No direct self-reference in formulas</t>
        </is>
      </c>
      <c r="C81" t="inlineStr">
        <is>
          <t>All formula cells</t>
        </is>
      </c>
      <c r="D81" t="inlineStr">
        <is>
          <t>No cell coordinate appears in its own formula</t>
        </is>
      </c>
      <c r="E81" t="inlineStr">
        <is>
          <t>PASS</t>
        </is>
      </c>
      <c r="F81" t="inlineStr">
        <is>
          <t>Python openpyxl scan</t>
        </is>
      </c>
      <c r="G81" t="inlineStr">
        <is>
          <t>PASS</t>
        </is>
      </c>
      <c r="H81" t="inlineStr">
        <is>
          <t>Simple Excel-style direct self-reference smoke check passes.</t>
        </is>
      </c>
    </row>
    <row r="82">
      <c r="A82" t="inlineStr">
        <is>
          <t>V7-03</t>
        </is>
      </c>
      <c r="B82" t="inlineStr">
        <is>
          <t>Trend_DOWN BLOCKED old tail from DUAL_TAIL</t>
        </is>
      </c>
      <c r="C82" t="inlineStr">
        <is>
          <t>Trend_DOWN row after DUAL_TAIL</t>
        </is>
      </c>
      <c r="D82" t="inlineStr">
        <is>
          <t>ActiveOldFarLot = previous ActiveOldFarLot</t>
        </is>
      </c>
      <c r="E82" t="inlineStr">
        <is>
          <t>PASS</t>
        </is>
      </c>
      <c r="F82" t="inlineStr">
        <is>
          <t>pytest data-only</t>
        </is>
      </c>
      <c r="G82" t="inlineStr">
        <is>
          <t>PASS</t>
        </is>
      </c>
      <c r="H82" t="inlineStr">
        <is>
          <t>Trend_DOWN uses real previous DUAL_TAIL old tail.</t>
        </is>
      </c>
    </row>
    <row r="83">
      <c r="A83" t="inlineStr">
        <is>
          <t>V7-04</t>
        </is>
      </c>
      <c r="B83" t="inlineStr">
        <is>
          <t>Trend_DOWN BLOCKED new tail from DUAL_TAIL</t>
        </is>
      </c>
      <c r="C83" t="inlineStr">
        <is>
          <t>Trend_DOWN row after DUAL_TAIL</t>
        </is>
      </c>
      <c r="D83" t="inlineStr">
        <is>
          <t>ActiveNewFarLot = previous ActiveNewFarLot</t>
        </is>
      </c>
      <c r="E83" t="inlineStr">
        <is>
          <t>PASS</t>
        </is>
      </c>
      <c r="F83" t="inlineStr">
        <is>
          <t>pytest data-only</t>
        </is>
      </c>
      <c r="G83" t="inlineStr">
        <is>
          <t>PASS</t>
        </is>
      </c>
      <c r="H83" t="inlineStr">
        <is>
          <t>Trend_DOWN uses real previous DUAL_TAIL new tail.</t>
        </is>
      </c>
    </row>
    <row r="84">
      <c r="A84" t="inlineStr">
        <is>
          <t>V7-05</t>
        </is>
      </c>
      <c r="B84" t="inlineStr">
        <is>
          <t>Trend_DOWN dual total</t>
        </is>
      </c>
      <c r="C84" t="inlineStr">
        <is>
          <t>Trend_DOWN BLOCKED rows</t>
        </is>
      </c>
      <c r="D84" t="inlineStr">
        <is>
          <t>DualTailTotalLot = ActiveOldFarLot + ActiveNewFarLot</t>
        </is>
      </c>
      <c r="E84" t="inlineStr">
        <is>
          <t>PASS</t>
        </is>
      </c>
      <c r="F84" t="inlineStr">
        <is>
          <t>pytest data-only</t>
        </is>
      </c>
      <c r="G84" t="inlineStr">
        <is>
          <t>PASS</t>
        </is>
      </c>
      <c r="H84" t="inlineStr">
        <is>
          <t>Dual total equals two active tails.</t>
        </is>
      </c>
    </row>
    <row r="85">
      <c r="A85" t="inlineStr">
        <is>
          <t>V7-06</t>
        </is>
      </c>
      <c r="B85" t="inlineStr">
        <is>
          <t>Global Total Closed Profit populated</t>
        </is>
      </c>
      <c r="C85" t="inlineStr">
        <is>
          <t>Risk_Analysis</t>
        </is>
      </c>
      <c r="D85" t="inlineStr">
        <is>
          <t>Formula/value is not blank</t>
        </is>
      </c>
      <c r="E85" t="inlineStr">
        <is>
          <t>PASS</t>
        </is>
      </c>
      <c r="F85" t="inlineStr">
        <is>
          <t>Risk_Analysis formula/data-only check</t>
        </is>
      </c>
      <c r="G85" t="inlineStr">
        <is>
          <t>PASS</t>
        </is>
      </c>
      <c r="H85" t="inlineStr">
        <is>
          <t>Global profit aggregates Calculator + Trend_UP + Trend_DOWN.</t>
        </is>
      </c>
    </row>
    <row r="86">
      <c r="A86" t="inlineStr">
        <is>
          <t>V7-07</t>
        </is>
      </c>
      <c r="B86" t="inlineStr">
        <is>
          <t>Global Total Closed Loss populated</t>
        </is>
      </c>
      <c r="C86" t="inlineStr">
        <is>
          <t>Risk_Analysis</t>
        </is>
      </c>
      <c r="D86" t="inlineStr">
        <is>
          <t>Formula/value is not blank</t>
        </is>
      </c>
      <c r="E86" t="inlineStr">
        <is>
          <t>PASS</t>
        </is>
      </c>
      <c r="F86" t="inlineStr">
        <is>
          <t>Risk_Analysis formula/data-only check</t>
        </is>
      </c>
      <c r="G86" t="inlineStr">
        <is>
          <t>PASS</t>
        </is>
      </c>
      <c r="H86" t="inlineStr">
        <is>
          <t>Global loss aggregates Calculator + Trend_UP + Trend_DOWN.</t>
        </is>
      </c>
    </row>
    <row r="87">
      <c r="A87" t="inlineStr">
        <is>
          <t>V7-08</t>
        </is>
      </c>
      <c r="B87" t="inlineStr">
        <is>
          <t>Global DUAL/BLOCKED/STOP visible</t>
        </is>
      </c>
      <c r="C87" t="inlineStr">
        <is>
          <t>Risk_Analysis</t>
        </is>
      </c>
      <c r="D87" t="inlineStr">
        <is>
          <t>Counts and max exposure &gt; 0 when scenarios contain them</t>
        </is>
      </c>
      <c r="E87" t="inlineStr">
        <is>
          <t>PASS</t>
        </is>
      </c>
      <c r="F87" t="inlineStr">
        <is>
          <t>pytest data-only</t>
        </is>
      </c>
      <c r="G87" t="inlineStr">
        <is>
          <t>PASS</t>
        </is>
      </c>
      <c r="H87" t="inlineStr">
        <is>
          <t>Global summary sees DUAL_TAIL, BLOCKED and STOP.</t>
        </is>
      </c>
    </row>
    <row r="88">
      <c r="A88" t="inlineStr">
        <is>
          <t>V7-09</t>
        </is>
      </c>
      <c r="B88" t="inlineStr">
        <is>
          <t>BLOCKED key fields not blank</t>
        </is>
      </c>
      <c r="C88" t="inlineStr">
        <is>
          <t>Calculator/Trend_UP/Trend_DOWN</t>
        </is>
      </c>
      <c r="D88" t="inlineStr">
        <is>
          <t>Required key fields contain 0 or text</t>
        </is>
      </c>
      <c r="E88" t="inlineStr">
        <is>
          <t>PASS</t>
        </is>
      </c>
      <c r="F88" t="inlineStr">
        <is>
          <t>pytest data-only</t>
        </is>
      </c>
      <c r="G88" t="inlineStr">
        <is>
          <t>PASS</t>
        </is>
      </c>
      <c r="H88" t="inlineStr">
        <is>
          <t>BLOCKED rows are readable and complete.</t>
        </is>
      </c>
    </row>
    <row r="89">
      <c r="A89" t="inlineStr">
        <is>
          <t>V8-01</t>
        </is>
      </c>
      <c r="B89" t="inlineStr">
        <is>
          <t>Global Max DualTail Exposure uses DualTailTotalLot</t>
        </is>
      </c>
      <c r="C89" t="inlineStr">
        <is>
          <t>Risk_Analysis formula</t>
        </is>
      </c>
      <c r="D89" t="inlineStr">
        <is>
          <t>MAX Calculator/Trend_UP/Trend_DOWN DualTailTotalLot ranges</t>
        </is>
      </c>
      <c r="E89" t="inlineStr">
        <is>
          <t>PASS</t>
        </is>
      </c>
      <c r="F89" t="inlineStr">
        <is>
          <t>Formula inspection</t>
        </is>
      </c>
      <c r="G89" t="inlineStr">
        <is>
          <t>PASS</t>
        </is>
      </c>
      <c r="H89" t="inlineStr">
        <is>
          <t>Uses BC DualTailTotalLot ranges, not ActiveNewFarLot.</t>
        </is>
      </c>
    </row>
    <row r="90">
      <c r="A90" t="inlineStr">
        <is>
          <t>V8-02</t>
        </is>
      </c>
      <c r="B90" t="inlineStr">
        <is>
          <t>Global Max DualTail Exposure expected value</t>
        </is>
      </c>
      <c r="C90" t="inlineStr">
        <is>
          <t>Current scenario data</t>
        </is>
      </c>
      <c r="D90" t="inlineStr">
        <is>
          <t>1.5306</t>
        </is>
      </c>
      <c r="E90" t="inlineStr">
        <is>
          <t>PASS</t>
        </is>
      </c>
      <c r="F90" t="inlineStr">
        <is>
          <t>data_only Risk_Analysis cache</t>
        </is>
      </c>
      <c r="G90" t="inlineStr">
        <is>
          <t>PASS</t>
        </is>
      </c>
      <c r="H90" t="inlineStr">
        <is>
          <t>Global max equals Trend_DOWN dual-tail total.</t>
        </is>
      </c>
    </row>
    <row r="91">
      <c r="A91" t="inlineStr">
        <is>
          <t>V8-03</t>
        </is>
      </c>
      <c r="B91" t="inlineStr">
        <is>
          <t>Settings geometry table exists</t>
        </is>
      </c>
      <c r="C91" t="inlineStr">
        <is>
          <t>Settings sheet</t>
        </is>
      </c>
      <c r="D91" t="inlineStr">
        <is>
          <t>N / FarStart-N / Big-N / Small-N / Close-N</t>
        </is>
      </c>
      <c r="E91" t="inlineStr">
        <is>
          <t>PASS</t>
        </is>
      </c>
      <c r="F91" t="inlineStr">
        <is>
          <t>Header inspection</t>
        </is>
      </c>
      <c r="G91" t="inlineStr">
        <is>
          <t>PASS</t>
        </is>
      </c>
      <c r="H91" t="inlineStr">
        <is>
          <t>Geometry table is below parameter block.</t>
        </is>
      </c>
    </row>
    <row r="92">
      <c r="A92" t="inlineStr">
        <is>
          <t>V8-04</t>
        </is>
      </c>
      <c r="B92" t="inlineStr">
        <is>
          <t>Big-N formula</t>
        </is>
      </c>
      <c r="C92" t="inlineStr">
        <is>
          <t>Settings geometry table</t>
        </is>
      </c>
      <c r="D92" t="inlineStr">
        <is>
          <t>Big-N = FarStart-N × BigRatio rounded by LotStep</t>
        </is>
      </c>
      <c r="E92" t="inlineStr">
        <is>
          <t>PASS</t>
        </is>
      </c>
      <c r="F92" t="inlineStr">
        <is>
          <t>Formula inspection</t>
        </is>
      </c>
      <c r="G92" t="inlineStr">
        <is>
          <t>PASS</t>
        </is>
      </c>
      <c r="H92" t="inlineStr">
        <is>
          <t>Formula references Settings!$B$3 and Settings!$B$11.</t>
        </is>
      </c>
    </row>
    <row r="93">
      <c r="A93" t="inlineStr">
        <is>
          <t>V8-05</t>
        </is>
      </c>
      <c r="B93" t="inlineStr">
        <is>
          <t>Small-N formula</t>
        </is>
      </c>
      <c r="C93" t="inlineStr">
        <is>
          <t>Settings geometry table</t>
        </is>
      </c>
      <c r="D93" t="inlineStr">
        <is>
          <t>Small-N = Big-N × SmallRatio rounded by LotStep</t>
        </is>
      </c>
      <c r="E93" t="inlineStr">
        <is>
          <t>PASS</t>
        </is>
      </c>
      <c r="F93" t="inlineStr">
        <is>
          <t>Formula inspection</t>
        </is>
      </c>
      <c r="G93" t="inlineStr">
        <is>
          <t>PASS</t>
        </is>
      </c>
      <c r="H93" t="inlineStr">
        <is>
          <t>Formula references Settings!$B$4 and Settings!$B$11.</t>
        </is>
      </c>
    </row>
    <row r="94">
      <c r="A94" t="inlineStr">
        <is>
          <t>V8-06</t>
        </is>
      </c>
      <c r="B94" t="inlineStr">
        <is>
          <t>Close-N formula</t>
        </is>
      </c>
      <c r="C94" t="inlineStr">
        <is>
          <t>Settings geometry table</t>
        </is>
      </c>
      <c r="D94" t="inlineStr">
        <is>
          <t>Close-N = FarStart-N × CloseFarShare rounded by LotStep</t>
        </is>
      </c>
      <c r="E94" t="inlineStr">
        <is>
          <t>PASS</t>
        </is>
      </c>
      <c r="F94" t="inlineStr">
        <is>
          <t>Formula inspection</t>
        </is>
      </c>
      <c r="G94" t="inlineStr">
        <is>
          <t>PASS</t>
        </is>
      </c>
      <c r="H94" t="inlineStr">
        <is>
          <t>Formula references Settings!$B$5 and Settings!$B$11.</t>
        </is>
      </c>
    </row>
    <row r="95">
      <c r="A95" t="inlineStr">
        <is>
          <t>V8-07</t>
        </is>
      </c>
      <c r="B95" t="inlineStr">
        <is>
          <t>Geometry uses Settings references</t>
        </is>
      </c>
      <c r="C95" t="inlineStr">
        <is>
          <t>Settings geometry table</t>
        </is>
      </c>
      <c r="D95" t="inlineStr">
        <is>
          <t>No static ratios in formulas</t>
        </is>
      </c>
      <c r="E95" t="inlineStr">
        <is>
          <t>PASS</t>
        </is>
      </c>
      <c r="F95" t="inlineStr">
        <is>
          <t>Formula inspection</t>
        </is>
      </c>
      <c r="G95" t="inlineStr">
        <is>
          <t>PASS</t>
        </is>
      </c>
      <c r="H95" t="inlineStr">
        <is>
          <t>Uses StartLot, BigRatio, SmallRatio, CloseFarShare, LotStep, MaxLevels.</t>
        </is>
      </c>
    </row>
    <row r="96">
      <c r="A96" t="inlineStr">
        <is>
          <t>V8-08</t>
        </is>
      </c>
      <c r="B96" t="inlineStr">
        <is>
          <t>Close-N reference only</t>
        </is>
      </c>
      <c r="C96" t="inlineStr">
        <is>
          <t>Calculator close logic</t>
        </is>
      </c>
      <c r="D96" t="inlineStr">
        <is>
          <t>Calculator remains money-mode: CloseFarBudget / LossPerLotToClose</t>
        </is>
      </c>
      <c r="E96" t="inlineStr">
        <is>
          <t>PASS</t>
        </is>
      </c>
      <c r="F96" t="inlineStr">
        <is>
          <t>Formula inspection</t>
        </is>
      </c>
      <c r="G96" t="inlineStr">
        <is>
          <t>PASS</t>
        </is>
      </c>
      <c r="H96" t="inlineStr">
        <is>
          <t>Close-N is not used in Calculator formulas.</t>
        </is>
      </c>
    </row>
    <row r="97">
      <c r="A97" t="inlineStr">
        <is>
          <t>BH-01</t>
        </is>
      </c>
      <c r="B97" t="inlineStr">
        <is>
          <t>CloseFarShare is money budget, not lot percent</t>
        </is>
      </c>
      <c r="C97" t="inlineStr">
        <is>
          <t>Far=1, BigMove=100, FarDistance=200</t>
        </is>
      </c>
      <c r="D97" t="inlineStr">
        <is>
          <t>CloseFarLot≈0.3735; FarRemain≈0.6265; not 0.90/0.10</t>
        </is>
      </c>
      <c r="E97" t="inlineStr">
        <is>
          <t>PASS</t>
        </is>
      </c>
      <c r="F97" t="inlineStr">
        <is>
          <t>Calculator data-only row 2</t>
        </is>
      </c>
      <c r="G97" t="inlineStr">
        <is>
          <t>PASS</t>
        </is>
      </c>
      <c r="H97" t="inlineStr">
        <is>
          <t>CloseFarLot = CloseFarBudget / LossPerLotToClose.</t>
        </is>
      </c>
    </row>
    <row r="98">
      <c r="A98" t="inlineStr">
        <is>
          <t>BH-02</t>
        </is>
      </c>
      <c r="B98" t="inlineStr">
        <is>
          <t>ReserveAdd 10%</t>
        </is>
      </c>
      <c r="C98" t="inlineStr">
        <is>
          <t>NetProfit≈83</t>
        </is>
      </c>
      <c r="D98" t="inlineStr">
        <is>
          <t>ReserveAdd = NetProfit × 0.10</t>
        </is>
      </c>
      <c r="E98" t="inlineStr">
        <is>
          <t>PASS</t>
        </is>
      </c>
      <c r="F98" t="inlineStr">
        <is>
          <t>Calculator row 2</t>
        </is>
      </c>
      <c r="G98" t="inlineStr">
        <is>
          <t>PASS</t>
        </is>
      </c>
      <c r="H98" t="inlineStr">
        <is>
          <t>Reserve share follows Settings!ReserveShare.</t>
        </is>
      </c>
    </row>
    <row r="99">
      <c r="A99" t="inlineStr">
        <is>
          <t>BH-03</t>
        </is>
      </c>
      <c r="B99" t="inlineStr">
        <is>
          <t>CloseFarBudget 90%</t>
        </is>
      </c>
      <c r="C99" t="inlineStr">
        <is>
          <t>NetProfit≈83</t>
        </is>
      </c>
      <c r="D99" t="inlineStr">
        <is>
          <t>CloseFarBudget = NetProfit × 0.90</t>
        </is>
      </c>
      <c r="E99" t="inlineStr">
        <is>
          <t>PASS</t>
        </is>
      </c>
      <c r="F99" t="inlineStr">
        <is>
          <t>Calculator row 2</t>
        </is>
      </c>
      <c r="G99" t="inlineStr">
        <is>
          <t>PASS</t>
        </is>
      </c>
      <c r="H99" t="inlineStr">
        <is>
          <t>CloseFarShare is applied to money NetProfit.</t>
        </is>
      </c>
    </row>
    <row r="100">
      <c r="A100" t="inlineStr">
        <is>
          <t>BH-04</t>
        </is>
      </c>
      <c r="B100" t="inlineStr">
        <is>
          <t>Small scenario positive</t>
        </is>
      </c>
      <c r="C100" t="inlineStr">
        <is>
          <t>Big=1.30 Small=0.468 CloseBig=0.39</t>
        </is>
      </c>
      <c r="D100" t="inlineStr">
        <is>
          <t>NetSmall=+7.8; NewFar=0.91</t>
        </is>
      </c>
      <c r="E100" t="inlineStr">
        <is>
          <t>PASS</t>
        </is>
      </c>
      <c r="F100" t="inlineStr">
        <is>
          <t>Numeric model</t>
        </is>
      </c>
      <c r="G100" t="inlineStr">
        <is>
          <t>PASS</t>
        </is>
      </c>
      <c r="H100" t="inlineStr">
        <is>
          <t>Small side remains profitable under new parameters.</t>
        </is>
      </c>
    </row>
    <row r="101">
      <c r="A101" t="inlineStr">
        <is>
          <t>BH-05</t>
        </is>
      </c>
      <c r="B101" t="inlineStr">
        <is>
          <t>Realized loss not above budget</t>
        </is>
      </c>
      <c r="C101" t="inlineStr">
        <is>
          <t>Calculator row 2</t>
        </is>
      </c>
      <c r="D101" t="inlineStr">
        <is>
          <t>RealizedFarLoss &lt;= CloseFarBudget</t>
        </is>
      </c>
      <c r="E101" t="inlineStr">
        <is>
          <t>PASS</t>
        </is>
      </c>
      <c r="F101" t="inlineStr">
        <is>
          <t>Calculator row 2</t>
        </is>
      </c>
      <c r="G101" t="inlineStr">
        <is>
          <t>PASS</t>
        </is>
      </c>
      <c r="H101" t="inlineStr">
        <is>
          <t>Cannot close Far beyond available budget.</t>
        </is>
      </c>
    </row>
    <row r="102">
      <c r="A102" t="inlineStr">
        <is>
          <t>BH-06</t>
        </is>
      </c>
      <c r="B102" t="inlineStr">
        <is>
          <t>No cycles after Big-harvest update</t>
        </is>
      </c>
      <c r="C102" t="inlineStr">
        <is>
          <t>Workbook formulas</t>
        </is>
      </c>
      <c r="D102" t="inlineStr">
        <is>
          <t>0 direct self refs and 0 dependency cycles</t>
        </is>
      </c>
      <c r="E102" t="inlineStr">
        <is>
          <t>PASS</t>
        </is>
      </c>
      <c r="F102" t="inlineStr">
        <is>
          <t>openpyxl graph scan</t>
        </is>
      </c>
      <c r="G102" t="inlineStr">
        <is>
          <t>PASS</t>
        </is>
      </c>
      <c r="H102" t="inlineStr">
        <is>
          <t>Formula graph remains acyclic.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2" t="inlineStr">
        <is>
          <t>Example</t>
        </is>
      </c>
      <c r="B1" s="2" t="inlineStr">
        <is>
          <t>Source Sheet</t>
        </is>
      </c>
      <c r="C1" s="2" t="inlineStr">
        <is>
          <t>Source Row</t>
        </is>
      </c>
      <c r="D1" s="2" t="inlineStr">
        <is>
          <t>Far</t>
        </is>
      </c>
      <c r="E1" s="2" t="inlineStr">
        <is>
          <t>Big</t>
        </is>
      </c>
      <c r="F1" s="2" t="inlineStr">
        <is>
          <t>Small</t>
        </is>
      </c>
      <c r="G1" s="2" t="inlineStr">
        <is>
          <t>Scenario</t>
        </is>
      </c>
      <c r="H1" s="2" t="inlineStr">
        <is>
          <t>NetProfit</t>
        </is>
      </c>
      <c r="I1" s="2" t="inlineStr">
        <is>
          <t>CloseFarBudget</t>
        </is>
      </c>
      <c r="J1" s="2" t="inlineStr">
        <is>
          <t>ReserveAdd</t>
        </is>
      </c>
      <c r="K1" s="2" t="inlineStr">
        <is>
          <t>ActiveOldFarLot</t>
        </is>
      </c>
      <c r="L1" s="2" t="inlineStr">
        <is>
          <t>ActiveNewFarLot</t>
        </is>
      </c>
      <c r="M1" s="2" t="inlineStr">
        <is>
          <t>DualTailTotalLot</t>
        </is>
      </c>
      <c r="N1" s="2" t="inlineStr">
        <is>
          <t>OpenLotsAfter</t>
        </is>
      </c>
      <c r="O1" s="2" t="inlineStr">
        <is>
          <t>MarginAfter</t>
        </is>
      </c>
      <c r="P1" s="2" t="inlineStr">
        <is>
          <t>Status</t>
        </is>
      </c>
      <c r="Q1" s="2" t="inlineStr">
        <is>
          <t>Comment</t>
        </is>
      </c>
    </row>
    <row r="2">
      <c r="A2" t="inlineStr">
        <is>
          <t>Пример 1. Тренд вверх — BIG_SIDE</t>
        </is>
      </c>
      <c r="B2" t="inlineStr">
        <is>
          <t>Trend_UP</t>
        </is>
      </c>
      <c r="C2" t="n">
        <v>2</v>
      </c>
      <c r="D2">
        <f>Trend_UP!$C$2&amp;" "&amp;TEXT(Trend_UP!$D$2,"0.00")</f>
        <v/>
      </c>
      <c r="E2">
        <f>Trend_UP!$E$2&amp;" "&amp;TEXT(Trend_UP!$G$2,"0.00")</f>
        <v/>
      </c>
      <c r="F2">
        <f>Trend_UP!$H$2&amp;" "&amp;TEXT(Trend_UP!$J$2,"0.00")</f>
        <v/>
      </c>
      <c r="G2">
        <f>Trend_UP!$B$2</f>
        <v/>
      </c>
      <c r="H2">
        <f>Trend_UP!$S$2</f>
        <v/>
      </c>
      <c r="I2">
        <f>Trend_UP!$T$2</f>
        <v/>
      </c>
      <c r="J2">
        <f>Trend_UP!$X$2</f>
        <v/>
      </c>
      <c r="K2">
        <f>Trend_UP!$AZ$2</f>
        <v/>
      </c>
      <c r="L2">
        <f>Trend_UP!$BA$2</f>
        <v/>
      </c>
      <c r="M2">
        <f>Trend_UP!$BB$2</f>
        <v/>
      </c>
      <c r="N2">
        <f>Trend_UP!$AB$2</f>
        <v/>
      </c>
      <c r="O2">
        <f>Trend_UP!$AD$2</f>
        <v/>
      </c>
      <c r="P2">
        <f>Trend_UP!$AQ$2</f>
        <v/>
      </c>
      <c r="Q2">
        <f>Trend_UP!$AR$2</f>
        <v/>
      </c>
    </row>
    <row r="3">
      <c r="A3" t="inlineStr">
        <is>
          <t>Пример 2. Разворот вниз — SMALL_SIDE / DUAL_TAIL</t>
        </is>
      </c>
      <c r="B3" t="inlineStr">
        <is>
          <t>Trend_UP</t>
        </is>
      </c>
      <c r="C3" t="n">
        <v>5</v>
      </c>
      <c r="D3">
        <f>Trend_UP!$C$5&amp;" "&amp;TEXT(Trend_UP!$D$5,"0.00")</f>
        <v/>
      </c>
      <c r="E3">
        <f>Trend_UP!$E$5&amp;" "&amp;TEXT(Trend_UP!$G$5,"0.00")</f>
        <v/>
      </c>
      <c r="F3">
        <f>Trend_UP!$H$5&amp;" "&amp;TEXT(Trend_UP!$J$5,"0.00")</f>
        <v/>
      </c>
      <c r="G3">
        <f>Trend_UP!$B$5</f>
        <v/>
      </c>
      <c r="H3">
        <f>Trend_UP!$S$5</f>
        <v/>
      </c>
      <c r="I3">
        <f>Trend_UP!$T$5</f>
        <v/>
      </c>
      <c r="J3">
        <f>Trend_UP!$X$5</f>
        <v/>
      </c>
      <c r="K3">
        <f>Trend_UP!$AZ$5</f>
        <v/>
      </c>
      <c r="L3">
        <f>Trend_UP!$BA$5</f>
        <v/>
      </c>
      <c r="M3">
        <f>Trend_UP!$BB$5</f>
        <v/>
      </c>
      <c r="N3">
        <f>Trend_UP!$AB$5</f>
        <v/>
      </c>
      <c r="O3">
        <f>Trend_UP!$AD$5</f>
        <v/>
      </c>
      <c r="P3">
        <f>Trend_UP!$AQ$5</f>
        <v/>
      </c>
      <c r="Q3">
        <f>Trend_UP!$AR$5</f>
        <v/>
      </c>
    </row>
    <row r="4">
      <c r="A4" t="inlineStr">
        <is>
          <t>Пример 3. BLOCKED persistence</t>
        </is>
      </c>
      <c r="B4" t="inlineStr">
        <is>
          <t>Trend_DOWN</t>
        </is>
      </c>
      <c r="C4" t="n">
        <v>4</v>
      </c>
      <c r="D4">
        <f>Trend_DOWN!$C$4&amp;" "&amp;TEXT(Trend_DOWN!$D$4,"0.00")</f>
        <v/>
      </c>
      <c r="E4">
        <f>TEXT(Trend_DOWN!$G$4,"0.00")</f>
        <v/>
      </c>
      <c r="F4">
        <f>TEXT(Trend_DOWN!$J$4,"0.00")</f>
        <v/>
      </c>
      <c r="G4">
        <f>Trend_DOWN!$B$4</f>
        <v/>
      </c>
      <c r="H4">
        <f>Trend_DOWN!$S$4</f>
        <v/>
      </c>
      <c r="I4">
        <f>Trend_DOWN!$T$4</f>
        <v/>
      </c>
      <c r="J4">
        <f>Trend_DOWN!$X$4</f>
        <v/>
      </c>
      <c r="K4">
        <f>Trend_DOWN!$AZ$4</f>
        <v/>
      </c>
      <c r="L4">
        <f>Trend_DOWN!$BA$4</f>
        <v/>
      </c>
      <c r="M4">
        <f>Trend_DOWN!$BB$4</f>
        <v/>
      </c>
      <c r="N4">
        <f>Trend_DOWN!$AB$4</f>
        <v/>
      </c>
      <c r="O4">
        <f>Trend_DOWN!$AD$4</f>
        <v/>
      </c>
      <c r="P4">
        <f>Trend_DOWN!$AQ$4</f>
        <v/>
      </c>
      <c r="Q4">
        <f>Trend_DOWN!$AR$4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2026-06-07T14:37:43Z</dcterms:modified>
</cp:coreProperties>
</file>