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alculator" sheetId="2" state="visible" r:id="rId2"/>
    <sheet name="Trend_UP" sheetId="3" state="visible" r:id="rId3"/>
    <sheet name="Trend_DOWN" sheetId="4" state="visible" r:id="rId4"/>
    <sheet name="Risk_Analysis" sheetId="5" state="visible" r:id="rId5"/>
    <sheet name="Tests" sheetId="6" state="visible" r:id="rId6"/>
    <sheet name="Manual" sheetId="7" state="visible" r:id="rId7"/>
    <sheet name="Examples" sheetId="8" state="visible" r:id="rId8"/>
  </sheets>
  <definedNames>
    <definedName name="_xlnm._FilterDatabase" localSheetId="1" hidden="1">'Calculator'!$A$1:$AZ$11</definedName>
    <definedName name="_xlnm._FilterDatabase" localSheetId="2" hidden="1">'Trend_UP'!$A$1:$AZ$11</definedName>
    <definedName name="_xlnm._FilterDatabase" localSheetId="3" hidden="1">'Trend_DOWN'!$A$1:$AZ$11</definedName>
    <definedName name="_xlnm._FilterDatabase" localSheetId="5" hidden="1">'Tests'!$A$1:$H$40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1F4E78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7F0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C7CE"/>
        </patternFill>
      </fill>
    </dxf>
    <dxf>
      <font>
        <b val="1"/>
        <color rgb="00FFFFFF"/>
      </font>
      <fill>
        <patternFill patternType="solid">
          <fgColor rgb="007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2" customWidth="1" min="3" max="3"/>
    <col width="24" customWidth="1" min="5" max="5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Описание</t>
        </is>
      </c>
      <c r="E1" s="2" t="inlineStr">
        <is>
          <t>Цветовая легенда</t>
        </is>
      </c>
    </row>
    <row r="2">
      <c r="A2" s="3" t="inlineStr">
        <is>
          <t>StartLot</t>
        </is>
      </c>
      <c r="B2" s="4" t="n">
        <v>1</v>
      </c>
      <c r="C2" s="3" t="inlineStr">
        <is>
          <t>стартовый лот замка</t>
        </is>
      </c>
      <c r="E2" s="5" t="inlineStr">
        <is>
          <t>Входные параметры</t>
        </is>
      </c>
    </row>
    <row r="3">
      <c r="A3" s="3" t="inlineStr">
        <is>
          <t>BigRatio</t>
        </is>
      </c>
      <c r="B3" s="4" t="n">
        <v>1.15</v>
      </c>
      <c r="C3" s="3" t="inlineStr">
        <is>
          <t>Big = FarStart × 115%</t>
        </is>
      </c>
      <c r="E3" s="6" t="inlineStr">
        <is>
          <t>Расчётные поля</t>
        </is>
      </c>
    </row>
    <row r="4">
      <c r="A4" s="3" t="inlineStr">
        <is>
          <t>SmallRatio</t>
        </is>
      </c>
      <c r="B4" s="4" t="n">
        <v>0.38</v>
      </c>
      <c r="C4" s="3" t="inlineStr">
        <is>
          <t>Small = Big × 38%</t>
        </is>
      </c>
      <c r="E4" s="7" t="inlineStr">
        <is>
          <t>Прибыль</t>
        </is>
      </c>
    </row>
    <row r="5">
      <c r="A5" s="3" t="inlineStr">
        <is>
          <t>CloseFarShare</t>
        </is>
      </c>
      <c r="B5" s="4" t="n">
        <v>0.2</v>
      </c>
      <c r="C5" s="3" t="inlineStr">
        <is>
          <t>максимум 20% чистой прибыли на хвост</t>
        </is>
      </c>
      <c r="E5" s="8" t="inlineStr">
        <is>
          <t>Убыток</t>
        </is>
      </c>
    </row>
    <row r="6">
      <c r="A6" s="3" t="inlineStr">
        <is>
          <t>ReserveShare</t>
        </is>
      </c>
      <c r="B6" s="4" t="n">
        <v>0.8</v>
      </c>
      <c r="C6" s="3" t="inlineStr">
        <is>
          <t>80% чистой прибыли в резерв</t>
        </is>
      </c>
      <c r="E6" s="9" t="inlineStr">
        <is>
          <t>Резерв</t>
        </is>
      </c>
    </row>
    <row r="7">
      <c r="A7" s="3" t="inlineStr">
        <is>
          <t>CloseBigOnSmall</t>
        </is>
      </c>
      <c r="B7" s="4" t="n">
        <v>0.22</v>
      </c>
      <c r="C7" s="3" t="inlineStr">
        <is>
          <t>закрытие Big при Small-сценарии</t>
        </is>
      </c>
      <c r="E7" s="5" t="inlineStr">
        <is>
          <t>WARNING</t>
        </is>
      </c>
    </row>
    <row r="8">
      <c r="A8" s="3" t="inlineStr">
        <is>
          <t>RemainBigOnSmall</t>
        </is>
      </c>
      <c r="B8" s="4" t="n">
        <v>0.78</v>
      </c>
      <c r="C8" s="3" t="inlineStr">
        <is>
          <t>остаток Big</t>
        </is>
      </c>
      <c r="E8" s="10" t="inlineStr">
        <is>
          <t>DUAL_TAIL</t>
        </is>
      </c>
    </row>
    <row r="9">
      <c r="A9" s="3" t="inlineStr">
        <is>
          <t>PointValuePerLot</t>
        </is>
      </c>
      <c r="B9" s="4" t="n">
        <v>1</v>
      </c>
      <c r="C9" s="3" t="inlineStr">
        <is>
          <t>стоимость пункта на 1 лот</t>
        </is>
      </c>
      <c r="E9" s="8" t="inlineStr">
        <is>
          <t>DANGER</t>
        </is>
      </c>
    </row>
    <row r="10">
      <c r="A10" s="3" t="inlineStr">
        <is>
          <t>MarginPerLot</t>
        </is>
      </c>
      <c r="B10" s="4" t="n">
        <v>1000</v>
      </c>
      <c r="C10" s="3" t="inlineStr">
        <is>
          <t>маржа на 1 лот</t>
        </is>
      </c>
      <c r="E10" s="11" t="inlineStr">
        <is>
          <t>STOP</t>
        </is>
      </c>
    </row>
    <row r="11">
      <c r="A11" s="3" t="inlineStr">
        <is>
          <t>LotStep</t>
        </is>
      </c>
      <c r="B11" s="4" t="n">
        <v>0.01</v>
      </c>
      <c r="C11" s="3" t="inlineStr">
        <is>
          <t>шаг лота</t>
        </is>
      </c>
    </row>
    <row r="12">
      <c r="A12" s="3" t="inlineStr">
        <is>
          <t>MaxLevels</t>
        </is>
      </c>
      <c r="B12" s="4" t="n">
        <v>10</v>
      </c>
      <c r="C12" s="3" t="inlineStr">
        <is>
          <t>количество уровней</t>
        </is>
      </c>
    </row>
    <row r="13">
      <c r="A13" s="3" t="inlineStr">
        <is>
          <t>CommissionPerLot</t>
        </is>
      </c>
      <c r="B13" s="4" t="n">
        <v>0</v>
      </c>
      <c r="C13" s="3" t="inlineStr">
        <is>
          <t>комиссия</t>
        </is>
      </c>
    </row>
    <row r="14">
      <c r="A14" s="3" t="inlineStr">
        <is>
          <t>SpreadCostPerLot</t>
        </is>
      </c>
      <c r="B14" s="4" t="n">
        <v>0</v>
      </c>
      <c r="C14" s="3" t="inlineStr">
        <is>
          <t>спред</t>
        </is>
      </c>
    </row>
    <row r="15">
      <c r="A15" s="3" t="inlineStr">
        <is>
          <t>SlippageCostPerLot</t>
        </is>
      </c>
      <c r="B15" s="4" t="n">
        <v>0</v>
      </c>
      <c r="C15" s="3" t="inlineStr">
        <is>
          <t>проскальзывание</t>
        </is>
      </c>
    </row>
    <row r="16">
      <c r="A16" s="3" t="inlineStr">
        <is>
          <t>MaxBigRatio</t>
        </is>
      </c>
      <c r="B16" s="4" t="n">
        <v>1.2</v>
      </c>
      <c r="C16" s="3" t="inlineStr">
        <is>
          <t>лимит Big</t>
        </is>
      </c>
    </row>
    <row r="17">
      <c r="A17" s="3" t="inlineStr">
        <is>
          <t>MaxSmallRatio</t>
        </is>
      </c>
      <c r="B17" s="4" t="n">
        <v>0.45</v>
      </c>
      <c r="C17" s="3" t="inlineStr">
        <is>
          <t>лимит 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55" customWidth="1" min="44" max="44"/>
    <col width="18" customWidth="1" min="45" max="45"/>
    <col width="18" customWidth="1" min="46" max="46"/>
    <col width="18" customWidth="1" min="47" max="47"/>
    <col width="18" customWidth="1" min="48" max="48"/>
    <col width="50" customWidth="1" min="49" max="49"/>
    <col width="18" customWidth="1" min="50" max="50"/>
    <col width="18" customWidth="1" min="51" max="51"/>
    <col width="18" customWidth="1" min="52" max="52"/>
  </cols>
  <sheetData>
    <row r="1">
      <c r="A1" s="1" t="inlineStr">
        <is>
          <t>Level</t>
        </is>
      </c>
      <c r="B1" s="1" t="inlineStr">
        <is>
          <t>Scenario</t>
        </is>
      </c>
      <c r="C1" s="1" t="inlineStr">
        <is>
          <t>FarDirection</t>
        </is>
      </c>
      <c r="D1" s="1" t="inlineStr">
        <is>
          <t>FarStartLot</t>
        </is>
      </c>
      <c r="E1" s="1" t="inlineStr">
        <is>
          <t>BigDirection</t>
        </is>
      </c>
      <c r="F1" s="1" t="inlineStr">
        <is>
          <t>BigLotRaw</t>
        </is>
      </c>
      <c r="G1" s="1" t="inlineStr">
        <is>
          <t>BigLot</t>
        </is>
      </c>
      <c r="H1" s="1" t="inlineStr">
        <is>
          <t>SmallDirection</t>
        </is>
      </c>
      <c r="I1" s="1" t="inlineStr">
        <is>
          <t>SmallLotRaw</t>
        </is>
      </c>
      <c r="J1" s="1" t="inlineStr">
        <is>
          <t>SmallLot</t>
        </is>
      </c>
      <c r="K1" s="1" t="inlineStr">
        <is>
          <t>BigProfitPoints</t>
        </is>
      </c>
      <c r="L1" s="1" t="inlineStr">
        <is>
          <t>SmallPoints</t>
        </is>
      </c>
      <c r="M1" s="1" t="inlineStr">
        <is>
          <t>FarLossPoints</t>
        </is>
      </c>
      <c r="N1" s="1" t="inlineStr">
        <is>
          <t>ProfitBig</t>
        </is>
      </c>
      <c r="O1" s="1" t="inlineStr">
        <is>
          <t>ProfitSmall</t>
        </is>
      </c>
      <c r="P1" s="1" t="inlineStr">
        <is>
          <t>LossSmall</t>
        </is>
      </c>
      <c r="Q1" s="1" t="inlineStr">
        <is>
          <t>LossClosedBig</t>
        </is>
      </c>
      <c r="R1" s="1" t="inlineStr">
        <is>
          <t>Costs</t>
        </is>
      </c>
      <c r="S1" s="1" t="inlineStr">
        <is>
          <t>NetProfit</t>
        </is>
      </c>
      <c r="T1" s="1" t="inlineStr">
        <is>
          <t>CloseFarBudget</t>
        </is>
      </c>
      <c r="U1" s="1" t="inlineStr">
        <is>
          <t>LossPerLotToClose</t>
        </is>
      </c>
      <c r="V1" s="1" t="inlineStr">
        <is>
          <t>CloseFarLot</t>
        </is>
      </c>
      <c r="W1" s="1" t="inlineStr">
        <is>
          <t>FarRemainLot</t>
        </is>
      </c>
      <c r="X1" s="1" t="inlineStr">
        <is>
          <t>ReserveAdd</t>
        </is>
      </c>
      <c r="Y1" s="1" t="inlineStr">
        <is>
          <t>TotalReserve</t>
        </is>
      </c>
      <c r="Z1" s="1" t="inlineStr">
        <is>
          <t>BalanceBefore</t>
        </is>
      </c>
      <c r="AA1" s="1" t="inlineStr">
        <is>
          <t>BalanceAfter</t>
        </is>
      </c>
      <c r="AB1" s="1" t="inlineStr">
        <is>
          <t>OpenLotsBefore</t>
        </is>
      </c>
      <c r="AC1" s="1" t="inlineStr">
        <is>
          <t>OpenLotsAfter</t>
        </is>
      </c>
      <c r="AD1" s="1" t="inlineStr">
        <is>
          <t>MarginBefore</t>
        </is>
      </c>
      <c r="AE1" s="1" t="inlineStr">
        <is>
          <t>MarginAfter</t>
        </is>
      </c>
      <c r="AF1" s="1" t="inlineStr">
        <is>
          <t>NewFarDirection</t>
        </is>
      </c>
      <c r="AG1" s="1" t="inlineStr">
        <is>
          <t>NewFarStartLot</t>
        </is>
      </c>
      <c r="AH1" s="1" t="inlineStr">
        <is>
          <t>OldFarCanClose</t>
        </is>
      </c>
      <c r="AI1" s="1" t="inlineStr">
        <is>
          <t>OldFarClosePL</t>
        </is>
      </c>
      <c r="AJ1" s="1" t="inlineStr">
        <is>
          <t>OldFarRemainLot</t>
        </is>
      </c>
      <c r="AK1" s="1" t="inlineStr">
        <is>
          <t>DualTailFlag</t>
        </is>
      </c>
      <c r="AL1" s="1" t="inlineStr">
        <is>
          <t>CloseBigLot</t>
        </is>
      </c>
      <c r="AM1" s="1" t="inlineStr">
        <is>
          <t>RemainBigLot</t>
        </is>
      </c>
      <c r="AN1" s="1" t="inlineStr">
        <is>
          <t>BigClosedPercent</t>
        </is>
      </c>
      <c r="AO1" s="1" t="inlineStr">
        <is>
          <t>SmallClosedPercent</t>
        </is>
      </c>
      <c r="AP1" s="1" t="inlineStr">
        <is>
          <t>NewFullLevelAllowed</t>
        </is>
      </c>
      <c r="AQ1" s="1" t="inlineStr">
        <is>
          <t>Status</t>
        </is>
      </c>
      <c r="AR1" s="1" t="inlineStr">
        <is>
          <t>Comment</t>
        </is>
      </c>
      <c r="AS1" s="1" t="inlineStr">
        <is>
          <t>RealizedFarLoss</t>
        </is>
      </c>
      <c r="AT1" s="1" t="inlineStr">
        <is>
          <t>ClosedLotsForCosts</t>
        </is>
      </c>
      <c r="AU1" s="1" t="inlineStr">
        <is>
          <t>CostPerLot</t>
        </is>
      </c>
      <c r="AV1" s="1" t="inlineStr">
        <is>
          <t>OldFarClosedLot</t>
        </is>
      </c>
      <c r="AW1" s="1" t="inlineStr">
        <is>
          <t>BlockedReason</t>
        </is>
      </c>
      <c r="AX1" s="1" t="inlineStr">
        <is>
          <t>NetProfitBeforeFar</t>
        </is>
      </c>
      <c r="AY1" s="1" t="inlineStr">
        <is>
          <t>CostsBeforeFar</t>
        </is>
      </c>
      <c r="AZ1" s="1" t="inlineStr">
        <is>
          <t>CostsFarClose</t>
        </is>
      </c>
    </row>
    <row r="2">
      <c r="A2" s="12" t="n">
        <v>1</v>
      </c>
      <c r="B2" s="13" t="inlineStr">
        <is>
          <t>BIG_SIDE</t>
        </is>
      </c>
      <c r="C2" s="13" t="inlineStr">
        <is>
          <t>SELL</t>
        </is>
      </c>
      <c r="D2" s="13">
        <f>Settings!$B$2</f>
        <v/>
      </c>
      <c r="E2" s="12">
        <f>IF($B2="BLOCKED","",IF($C2="SELL","BUY","SELL"))</f>
        <v/>
      </c>
      <c r="F2" s="12">
        <f>IF($B2="BLOCKED",0,MAX(0,$D2*Settings!$B$3))</f>
        <v/>
      </c>
      <c r="G2" s="12">
        <f>IF($B2="BLOCKED",0,IFERROR(MAX(0,ROUND($F2/Settings!$B$11,0)*Settings!$B$11),0))</f>
        <v/>
      </c>
      <c r="H2" s="12">
        <f>IF($B2="BLOCKED","",$C2)</f>
        <v/>
      </c>
      <c r="I2" s="12">
        <f>IF($B2="BLOCKED",0,MAX(0,$G2*Settings!$B$4))</f>
        <v/>
      </c>
      <c r="J2" s="12">
        <f>IF($B2="BLOCKED",0,IFERROR(MAX(0,ROUND($I2/Settings!$B$11,0)*Settings!$B$11),0))</f>
        <v/>
      </c>
      <c r="K2" s="13" t="n">
        <v>100</v>
      </c>
      <c r="L2" s="13" t="n">
        <v>-40</v>
      </c>
      <c r="M2" s="13" t="n">
        <v>100</v>
      </c>
      <c r="N2" s="14">
        <f>IF($B2="BIG_SIDE",$G2*MAX(0,$K2)*Settings!$B$9,0)</f>
        <v/>
      </c>
      <c r="O2" s="14">
        <f>IF($B2="SMALL_SIDE",$J2*ABS($L2)*Settings!$B$9,0)</f>
        <v/>
      </c>
      <c r="P2" s="15">
        <f>IF($B2="BIG_SIDE",$J2*ABS($L2)*Settings!$B$9,0)</f>
        <v/>
      </c>
      <c r="Q2" s="15">
        <f>IF($B2="SMALL_SIDE",$AL2*ABS($K2)*Settings!$B$9,0)</f>
        <v/>
      </c>
      <c r="R2" s="15">
        <f>$AT2*$AU2</f>
        <v/>
      </c>
      <c r="S2" s="14">
        <f>IF($B2="BIG_SIDE",$N2-$P2-$R2,IF($B2="SMALL_SIDE",$O2-$Q2-$R2,0))</f>
        <v/>
      </c>
      <c r="T2" s="12">
        <f>IF(AND($B2="BIG_SIDE",$AX2&gt;0),$AX2*Settings!$B$5,0)</f>
        <v/>
      </c>
      <c r="U2" s="12">
        <f>MAX(0,$M2*Settings!$B$9)</f>
        <v/>
      </c>
      <c r="V2" s="12">
        <f>IF($B2="BIG_SIDE",IFERROR(MIN($D2,MAX(0,$T2/$U2)),0),0)</f>
        <v/>
      </c>
      <c r="W2" s="12">
        <f>IF($B2="BIG_SIDE",MAX(0,$D2-$V2),$AJ2)</f>
        <v/>
      </c>
      <c r="X2" s="19">
        <f>IF($B2="BIG_SIDE",IF($AX2&gt;0,$AX2-$AS2,0),IF($S2&gt;0,$S2*0.5,0))</f>
        <v/>
      </c>
      <c r="Y2" s="19">
        <f>X2</f>
        <v/>
      </c>
      <c r="Z2" s="12" t="n">
        <v>0</v>
      </c>
      <c r="AA2" s="12">
        <f>IF($B2="BLOCKED",$Z2,IF($B2="BIG_SIDE",$Z2+$AX2-$AS2-$AZ2,IF($B2="SMALL_SIDE",$Z2+$S2+$AI2,$Z2+$S2)))</f>
        <v/>
      </c>
      <c r="AB2" s="12">
        <f>IF($B2="BLOCKED",IF(ROW()=2,0,$AG1+$AJ1),$D2+$G2+$J2)</f>
        <v/>
      </c>
      <c r="AC2" s="12">
        <f>IF($B2="BLOCKED",$AB2,IF($B2="BIG_SIDE",$W2,$AG2+$AJ2))</f>
        <v/>
      </c>
      <c r="AD2" s="12">
        <f>$AB2*Settings!$B$10</f>
        <v/>
      </c>
      <c r="AE2" s="12">
        <f>$AC2*Settings!$B$10</f>
        <v/>
      </c>
      <c r="AF2" s="12">
        <f>IF($B2="BLOCKED",IF(ROW()=2,$C2,$AF1),IF($B2="SMALL_SIDE",$E2,$C2))</f>
        <v/>
      </c>
      <c r="AG2" s="12">
        <f>IF($B2="BLOCKED",IF(ROW()=2,0,$AG1),IF($B2="SMALL_SIDE",$AM2,$W2))</f>
        <v/>
      </c>
      <c r="AH2" s="13" t="inlineStr">
        <is>
          <t>NO</t>
        </is>
      </c>
      <c r="AI2" s="13" t="n">
        <v>0</v>
      </c>
      <c r="AJ2" s="12">
        <f>IF($B2="SMALL_SIDE",MAX(0,$D2-$AV2),0)</f>
        <v/>
      </c>
      <c r="AK2" s="12">
        <f>IF(AND($AJ2&gt;0,$AG2&gt;0),TRUE,FALSE)</f>
        <v/>
      </c>
      <c r="AL2" s="12">
        <f>IF($B2="SMALL_SIDE",$G2*Settings!$B$7,IF($B2="BIG_SIDE",$G2,0))</f>
        <v/>
      </c>
      <c r="AM2" s="12">
        <f>IF($B2="SMALL_SIDE",MAX(0,$G2-$AL2),0)</f>
        <v/>
      </c>
      <c r="AN2" s="12">
        <f>IF($B2="BIG_SIDE",1,IF($B2="SMALL_SIDE",Settings!$B$7,0))</f>
        <v/>
      </c>
      <c r="AO2" s="12">
        <f>IF(OR($B2="BIG_SIDE",$B2="SMALL_SIDE"),1,0)</f>
        <v/>
      </c>
      <c r="AP2" s="12">
        <f>IF(OR($AQ2="DUAL_TAIL",$AQ2="DANGER",$AQ2="STOP"),"NO","YES")</f>
        <v/>
      </c>
      <c r="AQ2" s="12">
        <f>IF($B2="BLOCKED","STOP",IF($AK2=TRUE,"DUAL_TAIL",IF(OR(IFERROR($G2/$D2,0)&gt;Settings!$B$16,IFERROR($J2/$G2,0)&gt;Settings!$B$17,$AE2&gt;$AD2,$Y2&lt;0,$AG2&gt;$D2*1.0001,$S2&lt;-100),"DANGER",IF(OR(AND($B2="BIG_SIDE",$U2&lt;=0),$S2&lt;=0,$X2=0,$AE2&gt;$AD2*0.95),"WARNING","OK"))))</f>
        <v/>
      </c>
      <c r="AR2" s="12">
        <f>IF($B2="BLOCKED","Заблокировано: предыдущий уровень не разрешил новый полноценный уровень",IF($B2="BIG_SIDE","BIG_SIDE: Big и Small закрыты 100%; баланс учитывает RealizedFarLoss",IF($AQ2="DUAL_TAIL","SMALL_SIDE: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2" s="20">
        <f>IF($B2="BIG_SIDE",$V2*$U2,0)</f>
        <v/>
      </c>
      <c r="AT2" s="12">
        <f>IF($B2="BIG_SIDE",$G2+$J2+$V2,IF($B2="SMALL_SIDE",$J2+$AL2+$AV2,0))</f>
        <v/>
      </c>
      <c r="AU2" s="12">
        <f>Settings!$B$13+Settings!$B$14+Settings!$B$15</f>
        <v/>
      </c>
      <c r="AV2" s="12">
        <f>IF($B2="SMALL_SIDE",IF($AH2="YES",$D2,IFERROR(MIN($D2,MAX(0,$AI2/$U2)),0)),0)</f>
        <v/>
      </c>
      <c r="AW2" s="12">
        <f>IF($B2="BLOCKED","Заблокировано: предыдущий уровень не разрешил новый полноценный уровень","")</f>
        <v/>
      </c>
      <c r="AX2" s="12">
        <f>IF($B2="BIG_SIDE",$N2-$P2-$AY2,IF($B2="SMALL_SIDE",$O2-$Q2-$R2,0))</f>
        <v/>
      </c>
      <c r="AY2" s="12">
        <f>IF($B2="BIG_SIDE",($G2+$J2)*$AU2,0)</f>
        <v/>
      </c>
      <c r="AZ2" s="12">
        <f>IF($B2="BIG_SIDE",$V2*$AU2,0)</f>
        <v/>
      </c>
    </row>
    <row r="3">
      <c r="A3" s="12" t="n">
        <v>2</v>
      </c>
      <c r="B3" s="13">
        <f>IF(OR($AP2="NO",$AQ2="DUAL_TAIL",$AQ2="DANGER",$AQ2="STOP"),"BLOCKED","BIG_SIDE")</f>
        <v/>
      </c>
      <c r="C3" s="13">
        <f>IF($B3="BLOCKED",$AF2,IF($AP2="YES",$AF2,$C2))</f>
        <v/>
      </c>
      <c r="D3" s="13">
        <f>IF($B3="BLOCKED",0,IF($AP2="YES",MAX(0,$AG2),$D2))</f>
        <v/>
      </c>
      <c r="E3" s="12">
        <f>IF($B3="BLOCKED","",IF($C3="SELL","BUY","SELL"))</f>
        <v/>
      </c>
      <c r="F3" s="12">
        <f>IF($B3="BLOCKED",0,MAX(0,$D3*Settings!$B$3))</f>
        <v/>
      </c>
      <c r="G3" s="12">
        <f>IF($B3="BLOCKED",0,IFERROR(MAX(0,ROUND($F3/Settings!$B$11,0)*Settings!$B$11),0))</f>
        <v/>
      </c>
      <c r="H3" s="12">
        <f>IF($B3="BLOCKED","",$C3)</f>
        <v/>
      </c>
      <c r="I3" s="12">
        <f>IF($B3="BLOCKED",0,MAX(0,$G3*Settings!$B$4))</f>
        <v/>
      </c>
      <c r="J3" s="12">
        <f>IF($B3="BLOCKED",0,IFERROR(MAX(0,ROUND($I3/Settings!$B$11,0)*Settings!$B$11),0))</f>
        <v/>
      </c>
      <c r="K3" s="13" t="n">
        <v>100</v>
      </c>
      <c r="L3" s="13" t="n">
        <v>-40</v>
      </c>
      <c r="M3" s="13" t="n">
        <v>100</v>
      </c>
      <c r="N3" s="14">
        <f>IF($B3="BIG_SIDE",$G3*MAX(0,$K3)*Settings!$B$9,0)</f>
        <v/>
      </c>
      <c r="O3" s="14">
        <f>IF($B3="SMALL_SIDE",$J3*ABS($L3)*Settings!$B$9,0)</f>
        <v/>
      </c>
      <c r="P3" s="15">
        <f>IF($B3="BIG_SIDE",$J3*ABS($L3)*Settings!$B$9,0)</f>
        <v/>
      </c>
      <c r="Q3" s="15">
        <f>IF($B3="SMALL_SIDE",$AL3*ABS($K3)*Settings!$B$9,0)</f>
        <v/>
      </c>
      <c r="R3" s="15">
        <f>$AT3*$AU3</f>
        <v/>
      </c>
      <c r="S3" s="14">
        <f>IF($B3="BIG_SIDE",$N3-$P3-$R3,IF($B3="SMALL_SIDE",$O3-$Q3-$R3,0))</f>
        <v/>
      </c>
      <c r="T3" s="12">
        <f>IF(AND($B3="BIG_SIDE",$AX3&gt;0),$AX3*Settings!$B$5,0)</f>
        <v/>
      </c>
      <c r="U3" s="12">
        <f>MAX(0,$M3*Settings!$B$9)</f>
        <v/>
      </c>
      <c r="V3" s="12">
        <f>IF($B3="BIG_SIDE",IFERROR(MIN($D3,MAX(0,$T3/$U3)),0),0)</f>
        <v/>
      </c>
      <c r="W3" s="12">
        <f>IF($B3="BIG_SIDE",MAX(0,$D3-$V3),$AJ3)</f>
        <v/>
      </c>
      <c r="X3" s="19">
        <f>IF($B3="BIG_SIDE",IF($AX3&gt;0,$AX3-$AS3,0),IF($S3&gt;0,$S3*0.5,0))</f>
        <v/>
      </c>
      <c r="Y3" s="19">
        <f>$Y2+$X3</f>
        <v/>
      </c>
      <c r="Z3" s="12">
        <f>$AA2</f>
        <v/>
      </c>
      <c r="AA3" s="12">
        <f>IF($B3="BLOCKED",$Z3,IF($B3="BIG_SIDE",$Z3+$AX3-$AS3-$AZ3,IF($B3="SMALL_SIDE",$Z3+$S3+$AI3,$Z3+$S3)))</f>
        <v/>
      </c>
      <c r="AB3" s="12">
        <f>IF($B3="BLOCKED",IF(ROW()=2,0,$AG2+$AJ2),$D3+$G3+$J3)</f>
        <v/>
      </c>
      <c r="AC3" s="12">
        <f>IF($B3="BLOCKED",$AB3,IF($B3="BIG_SIDE",$W3,$AG3+$AJ3))</f>
        <v/>
      </c>
      <c r="AD3" s="12">
        <f>$AB3*Settings!$B$10</f>
        <v/>
      </c>
      <c r="AE3" s="12">
        <f>$AC3*Settings!$B$10</f>
        <v/>
      </c>
      <c r="AF3" s="12">
        <f>IF($B3="BLOCKED",IF(ROW()=2,$C3,$AF2),IF($B3="SMALL_SIDE",$E3,$C3))</f>
        <v/>
      </c>
      <c r="AG3" s="12">
        <f>IF($B3="BLOCKED",IF(ROW()=2,0,$AG2),IF($B3="SMALL_SIDE",$AM3,$W3))</f>
        <v/>
      </c>
      <c r="AH3" s="13" t="inlineStr">
        <is>
          <t>NO</t>
        </is>
      </c>
      <c r="AI3" s="13" t="n">
        <v>0</v>
      </c>
      <c r="AJ3" s="12">
        <f>IF($B3="SMALL_SIDE",MAX(0,$D3-$AV3),0)</f>
        <v/>
      </c>
      <c r="AK3" s="12">
        <f>IF(AND($AJ3&gt;0,$AG3&gt;0),TRUE,FALSE)</f>
        <v/>
      </c>
      <c r="AL3" s="12">
        <f>IF($B3="SMALL_SIDE",$G3*Settings!$B$7,IF($B3="BIG_SIDE",$G3,0))</f>
        <v/>
      </c>
      <c r="AM3" s="12">
        <f>IF($B3="SMALL_SIDE",MAX(0,$G3-$AL3),0)</f>
        <v/>
      </c>
      <c r="AN3" s="12">
        <f>IF($B3="BIG_SIDE",1,IF($B3="SMALL_SIDE",Settings!$B$7,0))</f>
        <v/>
      </c>
      <c r="AO3" s="12">
        <f>IF(OR($B3="BIG_SIDE",$B3="SMALL_SIDE"),1,0)</f>
        <v/>
      </c>
      <c r="AP3" s="12">
        <f>IF(OR($AQ3="DUAL_TAIL",$AQ3="DANGER",$AQ3="STOP"),"NO","YES")</f>
        <v/>
      </c>
      <c r="AQ3" s="12">
        <f>IF($B3="BLOCKED","STOP",IF($AK3=TRUE,"DUAL_TAIL",IF(OR(IFERROR($G3/$D3,0)&gt;Settings!$B$16,IFERROR($J3/$G3,0)&gt;Settings!$B$17,$AE3&gt;$AD3,$Y3&lt;0,$AG3&gt;$D3*1.0001,$S3&lt;-100),"DANGER",IF(OR(AND($B3="BIG_SIDE",$U3&lt;=0),$S3&lt;=0,$X3=0,$AE3&gt;$AD3*0.95),"WARNING","OK"))))</f>
        <v/>
      </c>
      <c r="AR3" s="12">
        <f>IF($B3="BLOCKED","Заблокировано: предыдущий уровень не разрешил новый полноценный уровень",IF($B3="BIG_SIDE","BIG_SIDE: Big и Small закрыты 100%; баланс учитывает RealizedFarLoss",IF($AQ3="DUAL_TAIL","SMALL_SIDE: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3" s="20">
        <f>IF($B3="BIG_SIDE",$V3*$U3,0)</f>
        <v/>
      </c>
      <c r="AT3" s="12">
        <f>IF($B3="BIG_SIDE",$G3+$J3+$V3,IF($B3="SMALL_SIDE",$J3+$AL3+$AV3,0))</f>
        <v/>
      </c>
      <c r="AU3" s="12">
        <f>Settings!$B$13+Settings!$B$14+Settings!$B$15</f>
        <v/>
      </c>
      <c r="AV3" s="12">
        <f>IF($B3="SMALL_SIDE",IF($AH3="YES",$D3,IFERROR(MIN($D3,MAX(0,$AI3/$U3)),0)),0)</f>
        <v/>
      </c>
      <c r="AW3" s="12">
        <f>IF($B3="BLOCKED","Заблокировано: предыдущий уровень не разрешил новый полноценный уровень","")</f>
        <v/>
      </c>
      <c r="AX3" s="12">
        <f>IF($B3="BIG_SIDE",$N3-$P3-$AY3,IF($B3="SMALL_SIDE",$O3-$Q3-$R3,0))</f>
        <v/>
      </c>
      <c r="AY3" s="12">
        <f>IF($B3="BIG_SIDE",($G3+$J3)*$AU3,0)</f>
        <v/>
      </c>
      <c r="AZ3" s="12">
        <f>IF($B3="BIG_SIDE",$V3*$AU3,0)</f>
        <v/>
      </c>
    </row>
    <row r="4">
      <c r="A4" s="12" t="n">
        <v>3</v>
      </c>
      <c r="B4" s="13">
        <f>IF(OR($AP3="NO",$AQ3="DUAL_TAIL",$AQ3="DANGER",$AQ3="STOP"),"BLOCKED","SMALL_SIDE")</f>
        <v/>
      </c>
      <c r="C4" s="13">
        <f>IF($B4="BLOCKED",$AF3,IF($AP3="YES",$AF3,$C3))</f>
        <v/>
      </c>
      <c r="D4" s="13">
        <f>IF($B4="BLOCKED",0,IF($AP3="YES",MAX(0,$AG3),$D3))</f>
        <v/>
      </c>
      <c r="E4" s="12">
        <f>IF($B4="BLOCKED","",IF($C4="SELL","BUY","SELL"))</f>
        <v/>
      </c>
      <c r="F4" s="12">
        <f>IF($B4="BLOCKED",0,MAX(0,$D4*Settings!$B$3))</f>
        <v/>
      </c>
      <c r="G4" s="12">
        <f>IF($B4="BLOCKED",0,IFERROR(MAX(0,ROUND($F4/Settings!$B$11,0)*Settings!$B$11),0))</f>
        <v/>
      </c>
      <c r="H4" s="12">
        <f>IF($B4="BLOCKED","",$C4)</f>
        <v/>
      </c>
      <c r="I4" s="12">
        <f>IF($B4="BLOCKED",0,MAX(0,$G4*Settings!$B$4))</f>
        <v/>
      </c>
      <c r="J4" s="12">
        <f>IF($B4="BLOCKED",0,IFERROR(MAX(0,ROUND($I4/Settings!$B$11,0)*Settings!$B$11),0))</f>
        <v/>
      </c>
      <c r="K4" s="13" t="n">
        <v>80</v>
      </c>
      <c r="L4" s="13" t="n">
        <v>60</v>
      </c>
      <c r="M4" s="13" t="n">
        <v>100</v>
      </c>
      <c r="N4" s="14">
        <f>IF($B4="BIG_SIDE",$G4*MAX(0,$K4)*Settings!$B$9,0)</f>
        <v/>
      </c>
      <c r="O4" s="14">
        <f>IF($B4="SMALL_SIDE",$J4*ABS($L4)*Settings!$B$9,0)</f>
        <v/>
      </c>
      <c r="P4" s="15">
        <f>IF($B4="BIG_SIDE",$J4*ABS($L4)*Settings!$B$9,0)</f>
        <v/>
      </c>
      <c r="Q4" s="15">
        <f>IF($B4="SMALL_SIDE",$AL4*ABS($K4)*Settings!$B$9,0)</f>
        <v/>
      </c>
      <c r="R4" s="15">
        <f>$AT4*$AU4</f>
        <v/>
      </c>
      <c r="S4" s="14">
        <f>IF($B4="BIG_SIDE",$N4-$P4-$R4,IF($B4="SMALL_SIDE",$O4-$Q4-$R4,0))</f>
        <v/>
      </c>
      <c r="T4" s="12">
        <f>IF(AND($B4="BIG_SIDE",$AX4&gt;0),$AX4*Settings!$B$5,0)</f>
        <v/>
      </c>
      <c r="U4" s="12">
        <f>MAX(0,$M4*Settings!$B$9)</f>
        <v/>
      </c>
      <c r="V4" s="12">
        <f>IF($B4="BIG_SIDE",IFERROR(MIN($D4,MAX(0,$T4/$U4)),0),0)</f>
        <v/>
      </c>
      <c r="W4" s="12">
        <f>IF($B4="BIG_SIDE",MAX(0,$D4-$V4),$AJ4)</f>
        <v/>
      </c>
      <c r="X4" s="19">
        <f>IF($B4="BIG_SIDE",IF($AX4&gt;0,$AX4-$AS4,0),IF($S4&gt;0,$S4*0.5,0))</f>
        <v/>
      </c>
      <c r="Y4" s="19">
        <f>$Y3+$X4</f>
        <v/>
      </c>
      <c r="Z4" s="12">
        <f>$AA3</f>
        <v/>
      </c>
      <c r="AA4" s="12">
        <f>IF($B4="BLOCKED",$Z4,IF($B4="BIG_SIDE",$Z4+$AX4-$AS4-$AZ4,IF($B4="SMALL_SIDE",$Z4+$S4+$AI4,$Z4+$S4)))</f>
        <v/>
      </c>
      <c r="AB4" s="12">
        <f>IF($B4="BLOCKED",IF(ROW()=2,0,$AG3+$AJ3),$D4+$G4+$J4)</f>
        <v/>
      </c>
      <c r="AC4" s="12">
        <f>IF($B4="BLOCKED",$AB4,IF($B4="BIG_SIDE",$W4,$AG4+$AJ4))</f>
        <v/>
      </c>
      <c r="AD4" s="12">
        <f>$AB4*Settings!$B$10</f>
        <v/>
      </c>
      <c r="AE4" s="12">
        <f>$AC4*Settings!$B$10</f>
        <v/>
      </c>
      <c r="AF4" s="12">
        <f>IF($B4="BLOCKED",IF(ROW()=2,$C4,$AF3),IF($B4="SMALL_SIDE",$E4,$C4))</f>
        <v/>
      </c>
      <c r="AG4" s="12">
        <f>IF($B4="BLOCKED",IF(ROW()=2,0,$AG3),IF($B4="SMALL_SIDE",$AM4,$W4))</f>
        <v/>
      </c>
      <c r="AH4" s="13" t="inlineStr">
        <is>
          <t>YES</t>
        </is>
      </c>
      <c r="AI4" s="13" t="n">
        <v>0</v>
      </c>
      <c r="AJ4" s="12">
        <f>IF($B4="SMALL_SIDE",MAX(0,$D4-$AV4),0)</f>
        <v/>
      </c>
      <c r="AK4" s="12">
        <f>IF(AND($AJ4&gt;0,$AG4&gt;0),TRUE,FALSE)</f>
        <v/>
      </c>
      <c r="AL4" s="12">
        <f>IF($B4="SMALL_SIDE",$G4*Settings!$B$7,IF($B4="BIG_SIDE",$G4,0))</f>
        <v/>
      </c>
      <c r="AM4" s="12">
        <f>IF($B4="SMALL_SIDE",MAX(0,$G4-$AL4),0)</f>
        <v/>
      </c>
      <c r="AN4" s="12">
        <f>IF($B4="BIG_SIDE",1,IF($B4="SMALL_SIDE",Settings!$B$7,0))</f>
        <v/>
      </c>
      <c r="AO4" s="12">
        <f>IF(OR($B4="BIG_SIDE",$B4="SMALL_SIDE"),1,0)</f>
        <v/>
      </c>
      <c r="AP4" s="12">
        <f>IF(OR($AQ4="DUAL_TAIL",$AQ4="DANGER",$AQ4="STOP"),"NO","YES")</f>
        <v/>
      </c>
      <c r="AQ4" s="12">
        <f>IF($B4="BLOCKED","STOP",IF($AK4=TRUE,"DUAL_TAIL",IF(OR(IFERROR($G4/$D4,0)&gt;Settings!$B$16,IFERROR($J4/$G4,0)&gt;Settings!$B$17,$AE4&gt;$AD4,$Y4&lt;0,$AG4&gt;$D4*1.0001,$S4&lt;-100),"DANGER",IF(OR(AND($B4="BIG_SIDE",$U4&lt;=0),$S4&lt;=0,$X4=0,$AE4&gt;$AD4*0.95),"WARNING","OK"))))</f>
        <v/>
      </c>
      <c r="AR4" s="12">
        <f>IF($B4="BLOCKED","Заблокировано: предыдущий уровень не разрешил новый полноценный уровень",IF($B4="BIG_SIDE","BIG_SIDE: Big и Small закрыты 100%; баланс учитывает RealizedFarLoss",IF($AQ4="DUAL_TAIL","SMALL_SIDE: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4" s="20">
        <f>IF($B4="BIG_SIDE",$V4*$U4,0)</f>
        <v/>
      </c>
      <c r="AT4" s="12">
        <f>IF($B4="BIG_SIDE",$G4+$J4+$V4,IF($B4="SMALL_SIDE",$J4+$AL4+$AV4,0))</f>
        <v/>
      </c>
      <c r="AU4" s="12">
        <f>Settings!$B$13+Settings!$B$14+Settings!$B$15</f>
        <v/>
      </c>
      <c r="AV4" s="12">
        <f>IF($B4="SMALL_SIDE",IF($AH4="YES",$D4,IFERROR(MIN($D4,MAX(0,$AI4/$U4)),0)),0)</f>
        <v/>
      </c>
      <c r="AW4" s="12">
        <f>IF($B4="BLOCKED","Заблокировано: предыдущий уровень не разрешил новый полноценный уровень","")</f>
        <v/>
      </c>
      <c r="AX4" s="12">
        <f>IF($B4="BIG_SIDE",$N4-$P4-$AY4,IF($B4="SMALL_SIDE",$O4-$Q4-$R4,0))</f>
        <v/>
      </c>
      <c r="AY4" s="12">
        <f>IF($B4="BIG_SIDE",($G4+$J4)*$AU4,0)</f>
        <v/>
      </c>
      <c r="AZ4" s="12">
        <f>IF($B4="BIG_SIDE",$V4*$AU4,0)</f>
        <v/>
      </c>
    </row>
    <row r="5">
      <c r="A5" s="12" t="n">
        <v>4</v>
      </c>
      <c r="B5" s="13">
        <f>IF(OR($AP4="NO",$AQ4="DUAL_TAIL",$AQ4="DANGER",$AQ4="STOP"),"BLOCKED","BIG_SIDE")</f>
        <v/>
      </c>
      <c r="C5" s="13">
        <f>IF($B5="BLOCKED",$AF4,IF($AP4="YES",$AF4,$C4))</f>
        <v/>
      </c>
      <c r="D5" s="13">
        <f>IF($B5="BLOCKED",0,IF($AP4="YES",MAX(0,$AG4),$D4))</f>
        <v/>
      </c>
      <c r="E5" s="12">
        <f>IF($B5="BLOCKED","",IF($C5="SELL","BUY","SELL"))</f>
        <v/>
      </c>
      <c r="F5" s="12">
        <f>IF($B5="BLOCKED",0,MAX(0,$D5*Settings!$B$3))</f>
        <v/>
      </c>
      <c r="G5" s="12">
        <f>IF($B5="BLOCKED",0,IFERROR(MAX(0,ROUND($F5/Settings!$B$11,0)*Settings!$B$11),0))</f>
        <v/>
      </c>
      <c r="H5" s="12">
        <f>IF($B5="BLOCKED","",$C5)</f>
        <v/>
      </c>
      <c r="I5" s="12">
        <f>IF($B5="BLOCKED",0,MAX(0,$G5*Settings!$B$4))</f>
        <v/>
      </c>
      <c r="J5" s="12">
        <f>IF($B5="BLOCKED",0,IFERROR(MAX(0,ROUND($I5/Settings!$B$11,0)*Settings!$B$11),0))</f>
        <v/>
      </c>
      <c r="K5" s="13" t="n">
        <v>100</v>
      </c>
      <c r="L5" s="13" t="n">
        <v>-40</v>
      </c>
      <c r="M5" s="13" t="n">
        <v>100</v>
      </c>
      <c r="N5" s="14">
        <f>IF($B5="BIG_SIDE",$G5*MAX(0,$K5)*Settings!$B$9,0)</f>
        <v/>
      </c>
      <c r="O5" s="14">
        <f>IF($B5="SMALL_SIDE",$J5*ABS($L5)*Settings!$B$9,0)</f>
        <v/>
      </c>
      <c r="P5" s="15">
        <f>IF($B5="BIG_SIDE",$J5*ABS($L5)*Settings!$B$9,0)</f>
        <v/>
      </c>
      <c r="Q5" s="15">
        <f>IF($B5="SMALL_SIDE",$AL5*ABS($K5)*Settings!$B$9,0)</f>
        <v/>
      </c>
      <c r="R5" s="15">
        <f>$AT5*$AU5</f>
        <v/>
      </c>
      <c r="S5" s="14">
        <f>IF($B5="BIG_SIDE",$N5-$P5-$R5,IF($B5="SMALL_SIDE",$O5-$Q5-$R5,0))</f>
        <v/>
      </c>
      <c r="T5" s="12">
        <f>IF(AND($B5="BIG_SIDE",$AX5&gt;0),$AX5*Settings!$B$5,0)</f>
        <v/>
      </c>
      <c r="U5" s="12">
        <f>MAX(0,$M5*Settings!$B$9)</f>
        <v/>
      </c>
      <c r="V5" s="12">
        <f>IF($B5="BIG_SIDE",IFERROR(MIN($D5,MAX(0,$T5/$U5)),0),0)</f>
        <v/>
      </c>
      <c r="W5" s="12">
        <f>IF($B5="BIG_SIDE",MAX(0,$D5-$V5),$AJ5)</f>
        <v/>
      </c>
      <c r="X5" s="19">
        <f>IF($B5="BIG_SIDE",IF($AX5&gt;0,$AX5-$AS5,0),IF($S5&gt;0,$S5*0.5,0))</f>
        <v/>
      </c>
      <c r="Y5" s="19">
        <f>$Y4+$X5</f>
        <v/>
      </c>
      <c r="Z5" s="12">
        <f>$AA4</f>
        <v/>
      </c>
      <c r="AA5" s="12">
        <f>IF($B5="BLOCKED",$Z5,IF($B5="BIG_SIDE",$Z5+$AX5-$AS5-$AZ5,IF($B5="SMALL_SIDE",$Z5+$S5+$AI5,$Z5+$S5)))</f>
        <v/>
      </c>
      <c r="AB5" s="12">
        <f>IF($B5="BLOCKED",IF(ROW()=2,0,$AG4+$AJ4),$D5+$G5+$J5)</f>
        <v/>
      </c>
      <c r="AC5" s="12">
        <f>IF($B5="BLOCKED",$AB5,IF($B5="BIG_SIDE",$W5,$AG5+$AJ5))</f>
        <v/>
      </c>
      <c r="AD5" s="12">
        <f>$AB5*Settings!$B$10</f>
        <v/>
      </c>
      <c r="AE5" s="12">
        <f>$AC5*Settings!$B$10</f>
        <v/>
      </c>
      <c r="AF5" s="12">
        <f>IF($B5="BLOCKED",IF(ROW()=2,$C5,$AF4),IF($B5="SMALL_SIDE",$E5,$C5))</f>
        <v/>
      </c>
      <c r="AG5" s="12">
        <f>IF($B5="BLOCKED",IF(ROW()=2,0,$AG4),IF($B5="SMALL_SIDE",$AM5,$W5))</f>
        <v/>
      </c>
      <c r="AH5" s="13" t="inlineStr">
        <is>
          <t>NO</t>
        </is>
      </c>
      <c r="AI5" s="13" t="n">
        <v>0</v>
      </c>
      <c r="AJ5" s="12">
        <f>IF($B5="SMALL_SIDE",MAX(0,$D5-$AV5),0)</f>
        <v/>
      </c>
      <c r="AK5" s="12">
        <f>IF(AND($AJ5&gt;0,$AG5&gt;0),TRUE,FALSE)</f>
        <v/>
      </c>
      <c r="AL5" s="12">
        <f>IF($B5="SMALL_SIDE",$G5*Settings!$B$7,IF($B5="BIG_SIDE",$G5,0))</f>
        <v/>
      </c>
      <c r="AM5" s="12">
        <f>IF($B5="SMALL_SIDE",MAX(0,$G5-$AL5),0)</f>
        <v/>
      </c>
      <c r="AN5" s="12">
        <f>IF($B5="BIG_SIDE",1,IF($B5="SMALL_SIDE",Settings!$B$7,0))</f>
        <v/>
      </c>
      <c r="AO5" s="12">
        <f>IF(OR($B5="BIG_SIDE",$B5="SMALL_SIDE"),1,0)</f>
        <v/>
      </c>
      <c r="AP5" s="12">
        <f>IF(OR($AQ5="DUAL_TAIL",$AQ5="DANGER",$AQ5="STOP"),"NO","YES")</f>
        <v/>
      </c>
      <c r="AQ5" s="12">
        <f>IF($B5="BLOCKED","STOP",IF($AK5=TRUE,"DUAL_TAIL",IF(OR(IFERROR($G5/$D5,0)&gt;Settings!$B$16,IFERROR($J5/$G5,0)&gt;Settings!$B$17,$AE5&gt;$AD5,$Y5&lt;0,$AG5&gt;$D5*1.0001,$S5&lt;-100),"DANGER",IF(OR(AND($B5="BIG_SIDE",$U5&lt;=0),$S5&lt;=0,$X5=0,$AE5&gt;$AD5*0.95),"WARNING","OK"))))</f>
        <v/>
      </c>
      <c r="AR5" s="12">
        <f>IF($B5="BLOCKED","Заблокировано: предыдущий уровень не разрешил новый полноценный уровень",IF($B5="BIG_SIDE","BIG_SIDE: Big и Small закрыты 100%; баланс учитывает RealizedFarLoss",IF($AQ5="DUAL_TAIL","SMALL_SIDE: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5" s="20">
        <f>IF($B5="BIG_SIDE",$V5*$U5,0)</f>
        <v/>
      </c>
      <c r="AT5" s="12">
        <f>IF($B5="BIG_SIDE",$G5+$J5+$V5,IF($B5="SMALL_SIDE",$J5+$AL5+$AV5,0))</f>
        <v/>
      </c>
      <c r="AU5" s="12">
        <f>Settings!$B$13+Settings!$B$14+Settings!$B$15</f>
        <v/>
      </c>
      <c r="AV5" s="12">
        <f>IF($B5="SMALL_SIDE",IF($AH5="YES",$D5,IFERROR(MIN($D5,MAX(0,$AI5/$U5)),0)),0)</f>
        <v/>
      </c>
      <c r="AW5" s="12">
        <f>IF($B5="BLOCKED","Заблокировано: предыдущий уровень не разрешил новый полноценный уровень","")</f>
        <v/>
      </c>
      <c r="AX5" s="12">
        <f>IF($B5="BIG_SIDE",$N5-$P5-$AY5,IF($B5="SMALL_SIDE",$O5-$Q5-$R5,0))</f>
        <v/>
      </c>
      <c r="AY5" s="12">
        <f>IF($B5="BIG_SIDE",($G5+$J5)*$AU5,0)</f>
        <v/>
      </c>
      <c r="AZ5" s="12">
        <f>IF($B5="BIG_SIDE",$V5*$AU5,0)</f>
        <v/>
      </c>
    </row>
    <row r="6">
      <c r="A6" s="12" t="n">
        <v>5</v>
      </c>
      <c r="B6" s="13">
        <f>IF(OR($AP5="NO",$AQ5="DUAL_TAIL",$AQ5="DANGER",$AQ5="STOP"),"BLOCKED","BIG_SIDE")</f>
        <v/>
      </c>
      <c r="C6" s="13">
        <f>IF($B6="BLOCKED",$AF5,IF($AP5="YES",$AF5,$C5))</f>
        <v/>
      </c>
      <c r="D6" s="13">
        <f>IF($B6="BLOCKED",0,IF($AP5="YES",MAX(0,$AG5),$D5))</f>
        <v/>
      </c>
      <c r="E6" s="12">
        <f>IF($B6="BLOCKED","",IF($C6="SELL","BUY","SELL"))</f>
        <v/>
      </c>
      <c r="F6" s="12">
        <f>IF($B6="BLOCKED",0,MAX(0,$D6*Settings!$B$3))</f>
        <v/>
      </c>
      <c r="G6" s="12">
        <f>IF($B6="BLOCKED",0,IFERROR(MAX(0,ROUND($F6/Settings!$B$11,0)*Settings!$B$11),0))</f>
        <v/>
      </c>
      <c r="H6" s="12">
        <f>IF($B6="BLOCKED","",$C6)</f>
        <v/>
      </c>
      <c r="I6" s="12">
        <f>IF($B6="BLOCKED",0,MAX(0,$G6*Settings!$B$4))</f>
        <v/>
      </c>
      <c r="J6" s="12">
        <f>IF($B6="BLOCKED",0,IFERROR(MAX(0,ROUND($I6/Settings!$B$11,0)*Settings!$B$11),0))</f>
        <v/>
      </c>
      <c r="K6" s="13" t="n">
        <v>100</v>
      </c>
      <c r="L6" s="13" t="n">
        <v>-40</v>
      </c>
      <c r="M6" s="13" t="n">
        <v>100</v>
      </c>
      <c r="N6" s="14">
        <f>IF($B6="BIG_SIDE",$G6*MAX(0,$K6)*Settings!$B$9,0)</f>
        <v/>
      </c>
      <c r="O6" s="14">
        <f>IF($B6="SMALL_SIDE",$J6*ABS($L6)*Settings!$B$9,0)</f>
        <v/>
      </c>
      <c r="P6" s="15">
        <f>IF($B6="BIG_SIDE",$J6*ABS($L6)*Settings!$B$9,0)</f>
        <v/>
      </c>
      <c r="Q6" s="15">
        <f>IF($B6="SMALL_SIDE",$AL6*ABS($K6)*Settings!$B$9,0)</f>
        <v/>
      </c>
      <c r="R6" s="15">
        <f>$AT6*$AU6</f>
        <v/>
      </c>
      <c r="S6" s="14">
        <f>IF($B6="BIG_SIDE",$N6-$P6-$R6,IF($B6="SMALL_SIDE",$O6-$Q6-$R6,0))</f>
        <v/>
      </c>
      <c r="T6" s="12">
        <f>IF(AND($B6="BIG_SIDE",$AX6&gt;0),$AX6*Settings!$B$5,0)</f>
        <v/>
      </c>
      <c r="U6" s="12">
        <f>MAX(0,$M6*Settings!$B$9)</f>
        <v/>
      </c>
      <c r="V6" s="12">
        <f>IF($B6="BIG_SIDE",IFERROR(MIN($D6,MAX(0,$T6/$U6)),0),0)</f>
        <v/>
      </c>
      <c r="W6" s="12">
        <f>IF($B6="BIG_SIDE",MAX(0,$D6-$V6),$AJ6)</f>
        <v/>
      </c>
      <c r="X6" s="19">
        <f>IF($B6="BIG_SIDE",IF($AX6&gt;0,$AX6-$AS6,0),IF($S6&gt;0,$S6*0.5,0))</f>
        <v/>
      </c>
      <c r="Y6" s="19">
        <f>$Y5+$X6</f>
        <v/>
      </c>
      <c r="Z6" s="12">
        <f>$AA5</f>
        <v/>
      </c>
      <c r="AA6" s="12">
        <f>IF($B6="BLOCKED",$Z6,IF($B6="BIG_SIDE",$Z6+$AX6-$AS6-$AZ6,IF($B6="SMALL_SIDE",$Z6+$S6+$AI6,$Z6+$S6)))</f>
        <v/>
      </c>
      <c r="AB6" s="12">
        <f>IF($B6="BLOCKED",IF(ROW()=2,0,$AG5+$AJ5),$D6+$G6+$J6)</f>
        <v/>
      </c>
      <c r="AC6" s="12">
        <f>IF($B6="BLOCKED",$AB6,IF($B6="BIG_SIDE",$W6,$AG6+$AJ6))</f>
        <v/>
      </c>
      <c r="AD6" s="12">
        <f>$AB6*Settings!$B$10</f>
        <v/>
      </c>
      <c r="AE6" s="12">
        <f>$AC6*Settings!$B$10</f>
        <v/>
      </c>
      <c r="AF6" s="12">
        <f>IF($B6="BLOCKED",IF(ROW()=2,$C6,$AF5),IF($B6="SMALL_SIDE",$E6,$C6))</f>
        <v/>
      </c>
      <c r="AG6" s="12">
        <f>IF($B6="BLOCKED",IF(ROW()=2,0,$AG5),IF($B6="SMALL_SIDE",$AM6,$W6))</f>
        <v/>
      </c>
      <c r="AH6" s="13" t="inlineStr">
        <is>
          <t>NO</t>
        </is>
      </c>
      <c r="AI6" s="13" t="n">
        <v>0</v>
      </c>
      <c r="AJ6" s="12">
        <f>IF($B6="SMALL_SIDE",MAX(0,$D6-$AV6),0)</f>
        <v/>
      </c>
      <c r="AK6" s="12">
        <f>IF(AND($AJ6&gt;0,$AG6&gt;0),TRUE,FALSE)</f>
        <v/>
      </c>
      <c r="AL6" s="12">
        <f>IF($B6="SMALL_SIDE",$G6*Settings!$B$7,IF($B6="BIG_SIDE",$G6,0))</f>
        <v/>
      </c>
      <c r="AM6" s="12">
        <f>IF($B6="SMALL_SIDE",MAX(0,$G6-$AL6),0)</f>
        <v/>
      </c>
      <c r="AN6" s="12">
        <f>IF($B6="BIG_SIDE",1,IF($B6="SMALL_SIDE",Settings!$B$7,0))</f>
        <v/>
      </c>
      <c r="AO6" s="12">
        <f>IF(OR($B6="BIG_SIDE",$B6="SMALL_SIDE"),1,0)</f>
        <v/>
      </c>
      <c r="AP6" s="12">
        <f>IF(OR($AQ6="DUAL_TAIL",$AQ6="DANGER",$AQ6="STOP"),"NO","YES")</f>
        <v/>
      </c>
      <c r="AQ6" s="12">
        <f>IF($B6="BLOCKED","STOP",IF($AK6=TRUE,"DUAL_TAIL",IF(OR(IFERROR($G6/$D6,0)&gt;Settings!$B$16,IFERROR($J6/$G6,0)&gt;Settings!$B$17,$AE6&gt;$AD6,$Y6&lt;0,$AG6&gt;$D6*1.0001,$S6&lt;-100),"DANGER",IF(OR(AND($B6="BIG_SIDE",$U6&lt;=0),$S6&lt;=0,$X6=0,$AE6&gt;$AD6*0.95),"WARNING","OK"))))</f>
        <v/>
      </c>
      <c r="AR6" s="12">
        <f>IF($B6="BLOCKED","Заблокировано: предыдущий уровень не разрешил новый полноценный уровень",IF($B6="BIG_SIDE","BIG_SIDE: Big и Small закрыты 100%; баланс учитывает RealizedFarLoss",IF($AQ6="DUAL_TAIL","SMALL_SIDE: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6" s="20">
        <f>IF($B6="BIG_SIDE",$V6*$U6,0)</f>
        <v/>
      </c>
      <c r="AT6" s="12">
        <f>IF($B6="BIG_SIDE",$G6+$J6+$V6,IF($B6="SMALL_SIDE",$J6+$AL6+$AV6,0))</f>
        <v/>
      </c>
      <c r="AU6" s="12">
        <f>Settings!$B$13+Settings!$B$14+Settings!$B$15</f>
        <v/>
      </c>
      <c r="AV6" s="12">
        <f>IF($B6="SMALL_SIDE",IF($AH6="YES",$D6,IFERROR(MIN($D6,MAX(0,$AI6/$U6)),0)),0)</f>
        <v/>
      </c>
      <c r="AW6" s="12">
        <f>IF($B6="BLOCKED","Заблокировано: предыдущий уровень не разрешил новый полноценный уровень","")</f>
        <v/>
      </c>
      <c r="AX6" s="12">
        <f>IF($B6="BIG_SIDE",$N6-$P6-$AY6,IF($B6="SMALL_SIDE",$O6-$Q6-$R6,0))</f>
        <v/>
      </c>
      <c r="AY6" s="12">
        <f>IF($B6="BIG_SIDE",($G6+$J6)*$AU6,0)</f>
        <v/>
      </c>
      <c r="AZ6" s="12">
        <f>IF($B6="BIG_SIDE",$V6*$AU6,0)</f>
        <v/>
      </c>
    </row>
    <row r="7">
      <c r="A7" s="12" t="n">
        <v>6</v>
      </c>
      <c r="B7" s="13">
        <f>IF(OR($AP6="NO",$AQ6="DUAL_TAIL",$AQ6="DANGER",$AQ6="STOP"),"BLOCKED","SMALL_SIDE")</f>
        <v/>
      </c>
      <c r="C7" s="13">
        <f>IF($B7="BLOCKED",$AF6,IF($AP6="YES",$AF6,$C6))</f>
        <v/>
      </c>
      <c r="D7" s="13">
        <f>IF($B7="BLOCKED",0,IF($AP6="YES",MAX(0,$AG6),$D6))</f>
        <v/>
      </c>
      <c r="E7" s="12">
        <f>IF($B7="BLOCKED","",IF($C7="SELL","BUY","SELL"))</f>
        <v/>
      </c>
      <c r="F7" s="12">
        <f>IF($B7="BLOCKED",0,MAX(0,$D7*Settings!$B$3))</f>
        <v/>
      </c>
      <c r="G7" s="12">
        <f>IF($B7="BLOCKED",0,IFERROR(MAX(0,ROUND($F7/Settings!$B$11,0)*Settings!$B$11),0))</f>
        <v/>
      </c>
      <c r="H7" s="12">
        <f>IF($B7="BLOCKED","",$C7)</f>
        <v/>
      </c>
      <c r="I7" s="12">
        <f>IF($B7="BLOCKED",0,MAX(0,$G7*Settings!$B$4))</f>
        <v/>
      </c>
      <c r="J7" s="12">
        <f>IF($B7="BLOCKED",0,IFERROR(MAX(0,ROUND($I7/Settings!$B$11,0)*Settings!$B$11),0))</f>
        <v/>
      </c>
      <c r="K7" s="13" t="n">
        <v>80</v>
      </c>
      <c r="L7" s="13" t="n">
        <v>60</v>
      </c>
      <c r="M7" s="13" t="n">
        <v>100</v>
      </c>
      <c r="N7" s="14">
        <f>IF($B7="BIG_SIDE",$G7*MAX(0,$K7)*Settings!$B$9,0)</f>
        <v/>
      </c>
      <c r="O7" s="14">
        <f>IF($B7="SMALL_SIDE",$J7*ABS($L7)*Settings!$B$9,0)</f>
        <v/>
      </c>
      <c r="P7" s="15">
        <f>IF($B7="BIG_SIDE",$J7*ABS($L7)*Settings!$B$9,0)</f>
        <v/>
      </c>
      <c r="Q7" s="15">
        <f>IF($B7="SMALL_SIDE",$AL7*ABS($K7)*Settings!$B$9,0)</f>
        <v/>
      </c>
      <c r="R7" s="15">
        <f>$AT7*$AU7</f>
        <v/>
      </c>
      <c r="S7" s="14">
        <f>IF($B7="BIG_SIDE",$N7-$P7-$R7,IF($B7="SMALL_SIDE",$O7-$Q7-$R7,0))</f>
        <v/>
      </c>
      <c r="T7" s="12">
        <f>IF(AND($B7="BIG_SIDE",$AX7&gt;0),$AX7*Settings!$B$5,0)</f>
        <v/>
      </c>
      <c r="U7" s="12">
        <f>MAX(0,$M7*Settings!$B$9)</f>
        <v/>
      </c>
      <c r="V7" s="12">
        <f>IF($B7="BIG_SIDE",IFERROR(MIN($D7,MAX(0,$T7/$U7)),0),0)</f>
        <v/>
      </c>
      <c r="W7" s="12">
        <f>IF($B7="BIG_SIDE",MAX(0,$D7-$V7),$AJ7)</f>
        <v/>
      </c>
      <c r="X7" s="19">
        <f>IF($B7="BIG_SIDE",IF($AX7&gt;0,$AX7-$AS7,0),IF($S7&gt;0,$S7*0.5,0))</f>
        <v/>
      </c>
      <c r="Y7" s="19">
        <f>$Y6+$X7</f>
        <v/>
      </c>
      <c r="Z7" s="12">
        <f>$AA6</f>
        <v/>
      </c>
      <c r="AA7" s="12">
        <f>IF($B7="BLOCKED",$Z7,IF($B7="BIG_SIDE",$Z7+$AX7-$AS7-$AZ7,IF($B7="SMALL_SIDE",$Z7+$S7+$AI7,$Z7+$S7)))</f>
        <v/>
      </c>
      <c r="AB7" s="12">
        <f>IF($B7="BLOCKED",IF(ROW()=2,0,$AG6+$AJ6),$D7+$G7+$J7)</f>
        <v/>
      </c>
      <c r="AC7" s="12">
        <f>IF($B7="BLOCKED",$AB7,IF($B7="BIG_SIDE",$W7,$AG7+$AJ7))</f>
        <v/>
      </c>
      <c r="AD7" s="12">
        <f>$AB7*Settings!$B$10</f>
        <v/>
      </c>
      <c r="AE7" s="12">
        <f>$AC7*Settings!$B$10</f>
        <v/>
      </c>
      <c r="AF7" s="12">
        <f>IF($B7="BLOCKED",IF(ROW()=2,$C7,$AF6),IF($B7="SMALL_SIDE",$E7,$C7))</f>
        <v/>
      </c>
      <c r="AG7" s="12">
        <f>IF($B7="BLOCKED",IF(ROW()=2,0,$AG6),IF($B7="SMALL_SIDE",$AM7,$W7))</f>
        <v/>
      </c>
      <c r="AH7" s="13" t="inlineStr">
        <is>
          <t>YES</t>
        </is>
      </c>
      <c r="AI7" s="13" t="n">
        <v>0</v>
      </c>
      <c r="AJ7" s="12">
        <f>IF($B7="SMALL_SIDE",MAX(0,$D7-$AV7),0)</f>
        <v/>
      </c>
      <c r="AK7" s="12">
        <f>IF(AND($AJ7&gt;0,$AG7&gt;0),TRUE,FALSE)</f>
        <v/>
      </c>
      <c r="AL7" s="12">
        <f>IF($B7="SMALL_SIDE",$G7*Settings!$B$7,IF($B7="BIG_SIDE",$G7,0))</f>
        <v/>
      </c>
      <c r="AM7" s="12">
        <f>IF($B7="SMALL_SIDE",MAX(0,$G7-$AL7),0)</f>
        <v/>
      </c>
      <c r="AN7" s="12">
        <f>IF($B7="BIG_SIDE",1,IF($B7="SMALL_SIDE",Settings!$B$7,0))</f>
        <v/>
      </c>
      <c r="AO7" s="12">
        <f>IF(OR($B7="BIG_SIDE",$B7="SMALL_SIDE"),1,0)</f>
        <v/>
      </c>
      <c r="AP7" s="12">
        <f>IF(OR($AQ7="DUAL_TAIL",$AQ7="DANGER",$AQ7="STOP"),"NO","YES")</f>
        <v/>
      </c>
      <c r="AQ7" s="12">
        <f>IF($B7="BLOCKED","STOP",IF($AK7=TRUE,"DUAL_TAIL",IF(OR(IFERROR($G7/$D7,0)&gt;Settings!$B$16,IFERROR($J7/$G7,0)&gt;Settings!$B$17,$AE7&gt;$AD7,$Y7&lt;0,$AG7&gt;$D7*1.0001,$S7&lt;-100),"DANGER",IF(OR(AND($B7="BIG_SIDE",$U7&lt;=0),$S7&lt;=0,$X7=0,$AE7&gt;$AD7*0.95),"WARNING","OK"))))</f>
        <v/>
      </c>
      <c r="AR7" s="12">
        <f>IF($B7="BLOCKED","Заблокировано: предыдущий уровень не разрешил новый полноценный уровень",IF($B7="BIG_SIDE","BIG_SIDE: Big и Small закрыты 100%; баланс учитывает RealizedFarLoss",IF($AQ7="DUAL_TAIL","SMALL_SIDE: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7" s="20">
        <f>IF($B7="BIG_SIDE",$V7*$U7,0)</f>
        <v/>
      </c>
      <c r="AT7" s="12">
        <f>IF($B7="BIG_SIDE",$G7+$J7+$V7,IF($B7="SMALL_SIDE",$J7+$AL7+$AV7,0))</f>
        <v/>
      </c>
      <c r="AU7" s="12">
        <f>Settings!$B$13+Settings!$B$14+Settings!$B$15</f>
        <v/>
      </c>
      <c r="AV7" s="12">
        <f>IF($B7="SMALL_SIDE",IF($AH7="YES",$D7,IFERROR(MIN($D7,MAX(0,$AI7/$U7)),0)),0)</f>
        <v/>
      </c>
      <c r="AW7" s="12">
        <f>IF($B7="BLOCKED","Заблокировано: предыдущий уровень не разрешил новый полноценный уровень","")</f>
        <v/>
      </c>
      <c r="AX7" s="12">
        <f>IF($B7="BIG_SIDE",$N7-$P7-$AY7,IF($B7="SMALL_SIDE",$O7-$Q7-$R7,0))</f>
        <v/>
      </c>
      <c r="AY7" s="12">
        <f>IF($B7="BIG_SIDE",($G7+$J7)*$AU7,0)</f>
        <v/>
      </c>
      <c r="AZ7" s="12">
        <f>IF($B7="BIG_SIDE",$V7*$AU7,0)</f>
        <v/>
      </c>
    </row>
    <row r="8">
      <c r="A8" s="12" t="n">
        <v>7</v>
      </c>
      <c r="B8" s="13">
        <f>IF(OR($AP7="NO",$AQ7="DUAL_TAIL",$AQ7="DANGER",$AQ7="STOP"),"BLOCKED","BIG_SIDE")</f>
        <v/>
      </c>
      <c r="C8" s="13">
        <f>IF($B8="BLOCKED",$AF7,IF($AP7="YES",$AF7,$C7))</f>
        <v/>
      </c>
      <c r="D8" s="13">
        <f>IF($B8="BLOCKED",0,IF($AP7="YES",MAX(0,$AG7),$D7))</f>
        <v/>
      </c>
      <c r="E8" s="12">
        <f>IF($B8="BLOCKED","",IF($C8="SELL","BUY","SELL"))</f>
        <v/>
      </c>
      <c r="F8" s="12">
        <f>IF($B8="BLOCKED",0,MAX(0,$D8*Settings!$B$3))</f>
        <v/>
      </c>
      <c r="G8" s="12">
        <f>IF($B8="BLOCKED",0,IFERROR(MAX(0,ROUND($F8/Settings!$B$11,0)*Settings!$B$11),0))</f>
        <v/>
      </c>
      <c r="H8" s="12">
        <f>IF($B8="BLOCKED","",$C8)</f>
        <v/>
      </c>
      <c r="I8" s="12">
        <f>IF($B8="BLOCKED",0,MAX(0,$G8*Settings!$B$4))</f>
        <v/>
      </c>
      <c r="J8" s="12">
        <f>IF($B8="BLOCKED",0,IFERROR(MAX(0,ROUND($I8/Settings!$B$11,0)*Settings!$B$11),0))</f>
        <v/>
      </c>
      <c r="K8" s="13" t="n">
        <v>100</v>
      </c>
      <c r="L8" s="13" t="n">
        <v>-40</v>
      </c>
      <c r="M8" s="13" t="n">
        <v>100</v>
      </c>
      <c r="N8" s="14">
        <f>IF($B8="BIG_SIDE",$G8*MAX(0,$K8)*Settings!$B$9,0)</f>
        <v/>
      </c>
      <c r="O8" s="14">
        <f>IF($B8="SMALL_SIDE",$J8*ABS($L8)*Settings!$B$9,0)</f>
        <v/>
      </c>
      <c r="P8" s="15">
        <f>IF($B8="BIG_SIDE",$J8*ABS($L8)*Settings!$B$9,0)</f>
        <v/>
      </c>
      <c r="Q8" s="15">
        <f>IF($B8="SMALL_SIDE",$AL8*ABS($K8)*Settings!$B$9,0)</f>
        <v/>
      </c>
      <c r="R8" s="15">
        <f>$AT8*$AU8</f>
        <v/>
      </c>
      <c r="S8" s="14">
        <f>IF($B8="BIG_SIDE",$N8-$P8-$R8,IF($B8="SMALL_SIDE",$O8-$Q8-$R8,0))</f>
        <v/>
      </c>
      <c r="T8" s="12">
        <f>IF(AND($B8="BIG_SIDE",$AX8&gt;0),$AX8*Settings!$B$5,0)</f>
        <v/>
      </c>
      <c r="U8" s="12">
        <f>MAX(0,$M8*Settings!$B$9)</f>
        <v/>
      </c>
      <c r="V8" s="12">
        <f>IF($B8="BIG_SIDE",IFERROR(MIN($D8,MAX(0,$T8/$U8)),0),0)</f>
        <v/>
      </c>
      <c r="W8" s="12">
        <f>IF($B8="BIG_SIDE",MAX(0,$D8-$V8),$AJ8)</f>
        <v/>
      </c>
      <c r="X8" s="19">
        <f>IF($B8="BIG_SIDE",IF($AX8&gt;0,$AX8-$AS8,0),IF($S8&gt;0,$S8*0.5,0))</f>
        <v/>
      </c>
      <c r="Y8" s="19">
        <f>$Y7+$X8</f>
        <v/>
      </c>
      <c r="Z8" s="12">
        <f>$AA7</f>
        <v/>
      </c>
      <c r="AA8" s="12">
        <f>IF($B8="BLOCKED",$Z8,IF($B8="BIG_SIDE",$Z8+$AX8-$AS8-$AZ8,IF($B8="SMALL_SIDE",$Z8+$S8+$AI8,$Z8+$S8)))</f>
        <v/>
      </c>
      <c r="AB8" s="12">
        <f>IF($B8="BLOCKED",IF(ROW()=2,0,$AG7+$AJ7),$D8+$G8+$J8)</f>
        <v/>
      </c>
      <c r="AC8" s="12">
        <f>IF($B8="BLOCKED",$AB8,IF($B8="BIG_SIDE",$W8,$AG8+$AJ8))</f>
        <v/>
      </c>
      <c r="AD8" s="12">
        <f>$AB8*Settings!$B$10</f>
        <v/>
      </c>
      <c r="AE8" s="12">
        <f>$AC8*Settings!$B$10</f>
        <v/>
      </c>
      <c r="AF8" s="12">
        <f>IF($B8="BLOCKED",IF(ROW()=2,$C8,$AF7),IF($B8="SMALL_SIDE",$E8,$C8))</f>
        <v/>
      </c>
      <c r="AG8" s="12">
        <f>IF($B8="BLOCKED",IF(ROW()=2,0,$AG7),IF($B8="SMALL_SIDE",$AM8,$W8))</f>
        <v/>
      </c>
      <c r="AH8" s="13" t="inlineStr">
        <is>
          <t>NO</t>
        </is>
      </c>
      <c r="AI8" s="13" t="n">
        <v>0</v>
      </c>
      <c r="AJ8" s="12">
        <f>IF($B8="SMALL_SIDE",MAX(0,$D8-$AV8),0)</f>
        <v/>
      </c>
      <c r="AK8" s="12">
        <f>IF(AND($AJ8&gt;0,$AG8&gt;0),TRUE,FALSE)</f>
        <v/>
      </c>
      <c r="AL8" s="12">
        <f>IF($B8="SMALL_SIDE",$G8*Settings!$B$7,IF($B8="BIG_SIDE",$G8,0))</f>
        <v/>
      </c>
      <c r="AM8" s="12">
        <f>IF($B8="SMALL_SIDE",MAX(0,$G8-$AL8),0)</f>
        <v/>
      </c>
      <c r="AN8" s="12">
        <f>IF($B8="BIG_SIDE",1,IF($B8="SMALL_SIDE",Settings!$B$7,0))</f>
        <v/>
      </c>
      <c r="AO8" s="12">
        <f>IF(OR($B8="BIG_SIDE",$B8="SMALL_SIDE"),1,0)</f>
        <v/>
      </c>
      <c r="AP8" s="12">
        <f>IF(OR($AQ8="DUAL_TAIL",$AQ8="DANGER",$AQ8="STOP"),"NO","YES")</f>
        <v/>
      </c>
      <c r="AQ8" s="12">
        <f>IF($B8="BLOCKED","STOP",IF($AK8=TRUE,"DUAL_TAIL",IF(OR(IFERROR($G8/$D8,0)&gt;Settings!$B$16,IFERROR($J8/$G8,0)&gt;Settings!$B$17,$AE8&gt;$AD8,$Y8&lt;0,$AG8&gt;$D8*1.0001,$S8&lt;-100),"DANGER",IF(OR(AND($B8="BIG_SIDE",$U8&lt;=0),$S8&lt;=0,$X8=0,$AE8&gt;$AD8*0.95),"WARNING","OK"))))</f>
        <v/>
      </c>
      <c r="AR8" s="12">
        <f>IF($B8="BLOCKED","Заблокировано: предыдущий уровень не разрешил новый полноценный уровень",IF($B8="BIG_SIDE","BIG_SIDE: Big и Small закрыты 100%; баланс учитывает RealizedFarLoss",IF($AQ8="DUAL_TAIL","SMALL_SIDE: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8" s="20">
        <f>IF($B8="BIG_SIDE",$V8*$U8,0)</f>
        <v/>
      </c>
      <c r="AT8" s="12">
        <f>IF($B8="BIG_SIDE",$G8+$J8+$V8,IF($B8="SMALL_SIDE",$J8+$AL8+$AV8,0))</f>
        <v/>
      </c>
      <c r="AU8" s="12">
        <f>Settings!$B$13+Settings!$B$14+Settings!$B$15</f>
        <v/>
      </c>
      <c r="AV8" s="12">
        <f>IF($B8="SMALL_SIDE",IF($AH8="YES",$D8,IFERROR(MIN($D8,MAX(0,$AI8/$U8)),0)),0)</f>
        <v/>
      </c>
      <c r="AW8" s="12">
        <f>IF($B8="BLOCKED","Заблокировано: предыдущий уровень не разрешил новый полноценный уровень","")</f>
        <v/>
      </c>
      <c r="AX8" s="12">
        <f>IF($B8="BIG_SIDE",$N8-$P8-$AY8,IF($B8="SMALL_SIDE",$O8-$Q8-$R8,0))</f>
        <v/>
      </c>
      <c r="AY8" s="12">
        <f>IF($B8="BIG_SIDE",($G8+$J8)*$AU8,0)</f>
        <v/>
      </c>
      <c r="AZ8" s="12">
        <f>IF($B8="BIG_SIDE",$V8*$AU8,0)</f>
        <v/>
      </c>
    </row>
    <row r="9">
      <c r="A9" s="12" t="n">
        <v>8</v>
      </c>
      <c r="B9" s="13">
        <f>IF(OR($AP8="NO",$AQ8="DUAL_TAIL",$AQ8="DANGER",$AQ8="STOP"),"BLOCKED","BIG_SIDE")</f>
        <v/>
      </c>
      <c r="C9" s="13">
        <f>IF($B9="BLOCKED",$AF8,IF($AP8="YES",$AF8,$C8))</f>
        <v/>
      </c>
      <c r="D9" s="13">
        <f>IF($B9="BLOCKED",0,IF($AP8="YES",MAX(0,$AG8),$D8))</f>
        <v/>
      </c>
      <c r="E9" s="12">
        <f>IF($B9="BLOCKED","",IF($C9="SELL","BUY","SELL"))</f>
        <v/>
      </c>
      <c r="F9" s="12">
        <f>IF($B9="BLOCKED",0,MAX(0,$D9*Settings!$B$3))</f>
        <v/>
      </c>
      <c r="G9" s="12">
        <f>IF($B9="BLOCKED",0,IFERROR(MAX(0,ROUND($F9/Settings!$B$11,0)*Settings!$B$11),0))</f>
        <v/>
      </c>
      <c r="H9" s="12">
        <f>IF($B9="BLOCKED","",$C9)</f>
        <v/>
      </c>
      <c r="I9" s="12">
        <f>IF($B9="BLOCKED",0,MAX(0,$G9*Settings!$B$4))</f>
        <v/>
      </c>
      <c r="J9" s="12">
        <f>IF($B9="BLOCKED",0,IFERROR(MAX(0,ROUND($I9/Settings!$B$11,0)*Settings!$B$11),0))</f>
        <v/>
      </c>
      <c r="K9" s="13" t="n">
        <v>100</v>
      </c>
      <c r="L9" s="13" t="n">
        <v>-40</v>
      </c>
      <c r="M9" s="13" t="n">
        <v>100</v>
      </c>
      <c r="N9" s="14">
        <f>IF($B9="BIG_SIDE",$G9*MAX(0,$K9)*Settings!$B$9,0)</f>
        <v/>
      </c>
      <c r="O9" s="14">
        <f>IF($B9="SMALL_SIDE",$J9*ABS($L9)*Settings!$B$9,0)</f>
        <v/>
      </c>
      <c r="P9" s="15">
        <f>IF($B9="BIG_SIDE",$J9*ABS($L9)*Settings!$B$9,0)</f>
        <v/>
      </c>
      <c r="Q9" s="15">
        <f>IF($B9="SMALL_SIDE",$AL9*ABS($K9)*Settings!$B$9,0)</f>
        <v/>
      </c>
      <c r="R9" s="15">
        <f>$AT9*$AU9</f>
        <v/>
      </c>
      <c r="S9" s="14">
        <f>IF($B9="BIG_SIDE",$N9-$P9-$R9,IF($B9="SMALL_SIDE",$O9-$Q9-$R9,0))</f>
        <v/>
      </c>
      <c r="T9" s="12">
        <f>IF(AND($B9="BIG_SIDE",$AX9&gt;0),$AX9*Settings!$B$5,0)</f>
        <v/>
      </c>
      <c r="U9" s="12">
        <f>MAX(0,$M9*Settings!$B$9)</f>
        <v/>
      </c>
      <c r="V9" s="12">
        <f>IF($B9="BIG_SIDE",IFERROR(MIN($D9,MAX(0,$T9/$U9)),0),0)</f>
        <v/>
      </c>
      <c r="W9" s="12">
        <f>IF($B9="BIG_SIDE",MAX(0,$D9-$V9),$AJ9)</f>
        <v/>
      </c>
      <c r="X9" s="19">
        <f>IF($B9="BIG_SIDE",IF($AX9&gt;0,$AX9-$AS9,0),IF($S9&gt;0,$S9*0.5,0))</f>
        <v/>
      </c>
      <c r="Y9" s="19">
        <f>$Y8+$X9</f>
        <v/>
      </c>
      <c r="Z9" s="12">
        <f>$AA8</f>
        <v/>
      </c>
      <c r="AA9" s="12">
        <f>IF($B9="BLOCKED",$Z9,IF($B9="BIG_SIDE",$Z9+$AX9-$AS9-$AZ9,IF($B9="SMALL_SIDE",$Z9+$S9+$AI9,$Z9+$S9)))</f>
        <v/>
      </c>
      <c r="AB9" s="12">
        <f>IF($B9="BLOCKED",IF(ROW()=2,0,$AG8+$AJ8),$D9+$G9+$J9)</f>
        <v/>
      </c>
      <c r="AC9" s="12">
        <f>IF($B9="BLOCKED",$AB9,IF($B9="BIG_SIDE",$W9,$AG9+$AJ9))</f>
        <v/>
      </c>
      <c r="AD9" s="12">
        <f>$AB9*Settings!$B$10</f>
        <v/>
      </c>
      <c r="AE9" s="12">
        <f>$AC9*Settings!$B$10</f>
        <v/>
      </c>
      <c r="AF9" s="12">
        <f>IF($B9="BLOCKED",IF(ROW()=2,$C9,$AF8),IF($B9="SMALL_SIDE",$E9,$C9))</f>
        <v/>
      </c>
      <c r="AG9" s="12">
        <f>IF($B9="BLOCKED",IF(ROW()=2,0,$AG8),IF($B9="SMALL_SIDE",$AM9,$W9))</f>
        <v/>
      </c>
      <c r="AH9" s="13" t="inlineStr">
        <is>
          <t>NO</t>
        </is>
      </c>
      <c r="AI9" s="13" t="n">
        <v>0</v>
      </c>
      <c r="AJ9" s="12">
        <f>IF($B9="SMALL_SIDE",MAX(0,$D9-$AV9),0)</f>
        <v/>
      </c>
      <c r="AK9" s="12">
        <f>IF(AND($AJ9&gt;0,$AG9&gt;0),TRUE,FALSE)</f>
        <v/>
      </c>
      <c r="AL9" s="12">
        <f>IF($B9="SMALL_SIDE",$G9*Settings!$B$7,IF($B9="BIG_SIDE",$G9,0))</f>
        <v/>
      </c>
      <c r="AM9" s="12">
        <f>IF($B9="SMALL_SIDE",MAX(0,$G9-$AL9),0)</f>
        <v/>
      </c>
      <c r="AN9" s="12">
        <f>IF($B9="BIG_SIDE",1,IF($B9="SMALL_SIDE",Settings!$B$7,0))</f>
        <v/>
      </c>
      <c r="AO9" s="12">
        <f>IF(OR($B9="BIG_SIDE",$B9="SMALL_SIDE"),1,0)</f>
        <v/>
      </c>
      <c r="AP9" s="12">
        <f>IF(OR($AQ9="DUAL_TAIL",$AQ9="DANGER",$AQ9="STOP"),"NO","YES")</f>
        <v/>
      </c>
      <c r="AQ9" s="12">
        <f>IF($B9="BLOCKED","STOP",IF($AK9=TRUE,"DUAL_TAIL",IF(OR(IFERROR($G9/$D9,0)&gt;Settings!$B$16,IFERROR($J9/$G9,0)&gt;Settings!$B$17,$AE9&gt;$AD9,$Y9&lt;0,$AG9&gt;$D9*1.0001,$S9&lt;-100),"DANGER",IF(OR(AND($B9="BIG_SIDE",$U9&lt;=0),$S9&lt;=0,$X9=0,$AE9&gt;$AD9*0.95),"WARNING","OK"))))</f>
        <v/>
      </c>
      <c r="AR9" s="12">
        <f>IF($B9="BLOCKED","Заблокировано: предыдущий уровень не разрешил новый полноценный уровень",IF($B9="BIG_SIDE","BIG_SIDE: Big и Small закрыты 100%; баланс учитывает RealizedFarLoss",IF($AQ9="DUAL_TAIL","SMALL_SIDE: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9" s="20">
        <f>IF($B9="BIG_SIDE",$V9*$U9,0)</f>
        <v/>
      </c>
      <c r="AT9" s="12">
        <f>IF($B9="BIG_SIDE",$G9+$J9+$V9,IF($B9="SMALL_SIDE",$J9+$AL9+$AV9,0))</f>
        <v/>
      </c>
      <c r="AU9" s="12">
        <f>Settings!$B$13+Settings!$B$14+Settings!$B$15</f>
        <v/>
      </c>
      <c r="AV9" s="12">
        <f>IF($B9="SMALL_SIDE",IF($AH9="YES",$D9,IFERROR(MIN($D9,MAX(0,$AI9/$U9)),0)),0)</f>
        <v/>
      </c>
      <c r="AW9" s="12">
        <f>IF($B9="BLOCKED","Заблокировано: предыдущий уровень не разрешил новый полноценный уровень","")</f>
        <v/>
      </c>
      <c r="AX9" s="12">
        <f>IF($B9="BIG_SIDE",$N9-$P9-$AY9,IF($B9="SMALL_SIDE",$O9-$Q9-$R9,0))</f>
        <v/>
      </c>
      <c r="AY9" s="12">
        <f>IF($B9="BIG_SIDE",($G9+$J9)*$AU9,0)</f>
        <v/>
      </c>
      <c r="AZ9" s="12">
        <f>IF($B9="BIG_SIDE",$V9*$AU9,0)</f>
        <v/>
      </c>
    </row>
    <row r="10">
      <c r="A10" s="12" t="n">
        <v>9</v>
      </c>
      <c r="B10" s="13">
        <f>IF(OR($AP9="NO",$AQ9="DUAL_TAIL",$AQ9="DANGER",$AQ9="STOP"),"BLOCKED","BIG_SIDE")</f>
        <v/>
      </c>
      <c r="C10" s="13">
        <f>IF($B10="BLOCKED",$AF9,IF($AP9="YES",$AF9,$C9))</f>
        <v/>
      </c>
      <c r="D10" s="13">
        <f>IF($B10="BLOCKED",0,IF($AP9="YES",MAX(0,$AG9),$D9))</f>
        <v/>
      </c>
      <c r="E10" s="12">
        <f>IF($B10="BLOCKED","",IF($C10="SELL","BUY","SELL"))</f>
        <v/>
      </c>
      <c r="F10" s="12">
        <f>IF($B10="BLOCKED",0,MAX(0,$D10*Settings!$B$3))</f>
        <v/>
      </c>
      <c r="G10" s="12">
        <f>IF($B10="BLOCKED",0,IFERROR(MAX(0,ROUND($F10/Settings!$B$11,0)*Settings!$B$11),0))</f>
        <v/>
      </c>
      <c r="H10" s="12">
        <f>IF($B10="BLOCKED","",$C10)</f>
        <v/>
      </c>
      <c r="I10" s="12">
        <f>IF($B10="BLOCKED",0,MAX(0,$G10*Settings!$B$4))</f>
        <v/>
      </c>
      <c r="J10" s="12">
        <f>IF($B10="BLOCKED",0,IFERROR(MAX(0,ROUND($I10/Settings!$B$11,0)*Settings!$B$11),0))</f>
        <v/>
      </c>
      <c r="K10" s="13" t="n">
        <v>100</v>
      </c>
      <c r="L10" s="13" t="n">
        <v>-40</v>
      </c>
      <c r="M10" s="13" t="n">
        <v>100</v>
      </c>
      <c r="N10" s="14">
        <f>IF($B10="BIG_SIDE",$G10*MAX(0,$K10)*Settings!$B$9,0)</f>
        <v/>
      </c>
      <c r="O10" s="14">
        <f>IF($B10="SMALL_SIDE",$J10*ABS($L10)*Settings!$B$9,0)</f>
        <v/>
      </c>
      <c r="P10" s="15">
        <f>IF($B10="BIG_SIDE",$J10*ABS($L10)*Settings!$B$9,0)</f>
        <v/>
      </c>
      <c r="Q10" s="15">
        <f>IF($B10="SMALL_SIDE",$AL10*ABS($K10)*Settings!$B$9,0)</f>
        <v/>
      </c>
      <c r="R10" s="15">
        <f>$AT10*$AU10</f>
        <v/>
      </c>
      <c r="S10" s="14">
        <f>IF($B10="BIG_SIDE",$N10-$P10-$R10,IF($B10="SMALL_SIDE",$O10-$Q10-$R10,0))</f>
        <v/>
      </c>
      <c r="T10" s="12">
        <f>IF(AND($B10="BIG_SIDE",$AX10&gt;0),$AX10*Settings!$B$5,0)</f>
        <v/>
      </c>
      <c r="U10" s="12">
        <f>MAX(0,$M10*Settings!$B$9)</f>
        <v/>
      </c>
      <c r="V10" s="12">
        <f>IF($B10="BIG_SIDE",IFERROR(MIN($D10,MAX(0,$T10/$U10)),0),0)</f>
        <v/>
      </c>
      <c r="W10" s="12">
        <f>IF($B10="BIG_SIDE",MAX(0,$D10-$V10),$AJ10)</f>
        <v/>
      </c>
      <c r="X10" s="19">
        <f>IF($B10="BIG_SIDE",IF($AX10&gt;0,$AX10-$AS10,0),IF($S10&gt;0,$S10*0.5,0))</f>
        <v/>
      </c>
      <c r="Y10" s="19">
        <f>$Y9+$X10</f>
        <v/>
      </c>
      <c r="Z10" s="12">
        <f>$AA9</f>
        <v/>
      </c>
      <c r="AA10" s="12">
        <f>IF($B10="BLOCKED",$Z10,IF($B10="BIG_SIDE",$Z10+$AX10-$AS10-$AZ10,IF($B10="SMALL_SIDE",$Z10+$S10+$AI10,$Z10+$S10)))</f>
        <v/>
      </c>
      <c r="AB10" s="12">
        <f>IF($B10="BLOCKED",IF(ROW()=2,0,$AG9+$AJ9),$D10+$G10+$J10)</f>
        <v/>
      </c>
      <c r="AC10" s="12">
        <f>IF($B10="BLOCKED",$AB10,IF($B10="BIG_SIDE",$W10,$AG10+$AJ10))</f>
        <v/>
      </c>
      <c r="AD10" s="12">
        <f>$AB10*Settings!$B$10</f>
        <v/>
      </c>
      <c r="AE10" s="12">
        <f>$AC10*Settings!$B$10</f>
        <v/>
      </c>
      <c r="AF10" s="12">
        <f>IF($B10="BLOCKED",IF(ROW()=2,$C10,$AF9),IF($B10="SMALL_SIDE",$E10,$C10))</f>
        <v/>
      </c>
      <c r="AG10" s="12">
        <f>IF($B10="BLOCKED",IF(ROW()=2,0,$AG9),IF($B10="SMALL_SIDE",$AM10,$W10))</f>
        <v/>
      </c>
      <c r="AH10" s="13" t="inlineStr">
        <is>
          <t>NO</t>
        </is>
      </c>
      <c r="AI10" s="13" t="n">
        <v>0</v>
      </c>
      <c r="AJ10" s="12">
        <f>IF($B10="SMALL_SIDE",MAX(0,$D10-$AV10),0)</f>
        <v/>
      </c>
      <c r="AK10" s="12">
        <f>IF(AND($AJ10&gt;0,$AG10&gt;0),TRUE,FALSE)</f>
        <v/>
      </c>
      <c r="AL10" s="12">
        <f>IF($B10="SMALL_SIDE",$G10*Settings!$B$7,IF($B10="BIG_SIDE",$G10,0))</f>
        <v/>
      </c>
      <c r="AM10" s="12">
        <f>IF($B10="SMALL_SIDE",MAX(0,$G10-$AL10),0)</f>
        <v/>
      </c>
      <c r="AN10" s="12">
        <f>IF($B10="BIG_SIDE",1,IF($B10="SMALL_SIDE",Settings!$B$7,0))</f>
        <v/>
      </c>
      <c r="AO10" s="12">
        <f>IF(OR($B10="BIG_SIDE",$B10="SMALL_SIDE"),1,0)</f>
        <v/>
      </c>
      <c r="AP10" s="12">
        <f>IF(OR($AQ10="DUAL_TAIL",$AQ10="DANGER",$AQ10="STOP"),"NO","YES")</f>
        <v/>
      </c>
      <c r="AQ10" s="12">
        <f>IF($B10="BLOCKED","STOP",IF($AK10=TRUE,"DUAL_TAIL",IF(OR(IFERROR($G10/$D10,0)&gt;Settings!$B$16,IFERROR($J10/$G10,0)&gt;Settings!$B$17,$AE10&gt;$AD10,$Y10&lt;0,$AG10&gt;$D10*1.0001,$S10&lt;-100),"DANGER",IF(OR(AND($B10="BIG_SIDE",$U10&lt;=0),$S10&lt;=0,$X10=0,$AE10&gt;$AD10*0.95),"WARNING","OK"))))</f>
        <v/>
      </c>
      <c r="AR10" s="12">
        <f>IF($B10="BLOCKED","Заблокировано: предыдущий уровень не разрешил новый полноценный уровень",IF($B10="BIG_SIDE","BIG_SIDE: Big и Small закрыты 100%; баланс учитывает RealizedFarLoss",IF($AQ10="DUAL_TAIL","SMALL_SIDE: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10" s="20">
        <f>IF($B10="BIG_SIDE",$V10*$U10,0)</f>
        <v/>
      </c>
      <c r="AT10" s="12">
        <f>IF($B10="BIG_SIDE",$G10+$J10+$V10,IF($B10="SMALL_SIDE",$J10+$AL10+$AV10,0))</f>
        <v/>
      </c>
      <c r="AU10" s="12">
        <f>Settings!$B$13+Settings!$B$14+Settings!$B$15</f>
        <v/>
      </c>
      <c r="AV10" s="12">
        <f>IF($B10="SMALL_SIDE",IF($AH10="YES",$D10,IFERROR(MIN($D10,MAX(0,$AI10/$U10)),0)),0)</f>
        <v/>
      </c>
      <c r="AW10" s="12">
        <f>IF($B10="BLOCKED","Заблокировано: предыдущий уровень не разрешил новый полноценный уровень","")</f>
        <v/>
      </c>
      <c r="AX10" s="12">
        <f>IF($B10="BIG_SIDE",$N10-$P10-$AY10,IF($B10="SMALL_SIDE",$O10-$Q10-$R10,0))</f>
        <v/>
      </c>
      <c r="AY10" s="12">
        <f>IF($B10="BIG_SIDE",($G10+$J10)*$AU10,0)</f>
        <v/>
      </c>
      <c r="AZ10" s="12">
        <f>IF($B10="BIG_SIDE",$V10*$AU10,0)</f>
        <v/>
      </c>
    </row>
    <row r="11">
      <c r="A11" s="12" t="n">
        <v>10</v>
      </c>
      <c r="B11" s="13">
        <f>IF(OR($AP10="NO",$AQ10="DUAL_TAIL",$AQ10="DANGER",$AQ10="STOP"),"BLOCKED","BIG_SIDE")</f>
        <v/>
      </c>
      <c r="C11" s="13">
        <f>IF($B11="BLOCKED",$AF10,IF($AP10="YES",$AF10,$C10))</f>
        <v/>
      </c>
      <c r="D11" s="13">
        <f>IF($B11="BLOCKED",0,IF($AP10="YES",MAX(0,$AG10),$D10))</f>
        <v/>
      </c>
      <c r="E11" s="12">
        <f>IF($B11="BLOCKED","",IF($C11="SELL","BUY","SELL"))</f>
        <v/>
      </c>
      <c r="F11" s="12">
        <f>IF($B11="BLOCKED",0,MAX(0,$D11*Settings!$B$3))</f>
        <v/>
      </c>
      <c r="G11" s="12">
        <f>IF($B11="BLOCKED",0,IFERROR(MAX(0,ROUND($F11/Settings!$B$11,0)*Settings!$B$11),0))</f>
        <v/>
      </c>
      <c r="H11" s="12">
        <f>IF($B11="BLOCKED","",$C11)</f>
        <v/>
      </c>
      <c r="I11" s="12">
        <f>IF($B11="BLOCKED",0,MAX(0,$G11*Settings!$B$4))</f>
        <v/>
      </c>
      <c r="J11" s="12">
        <f>IF($B11="BLOCKED",0,IFERROR(MAX(0,ROUND($I11/Settings!$B$11,0)*Settings!$B$11),0))</f>
        <v/>
      </c>
      <c r="K11" s="13" t="n">
        <v>100</v>
      </c>
      <c r="L11" s="13" t="n">
        <v>-40</v>
      </c>
      <c r="M11" s="13" t="n">
        <v>100</v>
      </c>
      <c r="N11" s="14">
        <f>IF($B11="BIG_SIDE",$G11*MAX(0,$K11)*Settings!$B$9,0)</f>
        <v/>
      </c>
      <c r="O11" s="14">
        <f>IF($B11="SMALL_SIDE",$J11*ABS($L11)*Settings!$B$9,0)</f>
        <v/>
      </c>
      <c r="P11" s="15">
        <f>IF($B11="BIG_SIDE",$J11*ABS($L11)*Settings!$B$9,0)</f>
        <v/>
      </c>
      <c r="Q11" s="15">
        <f>IF($B11="SMALL_SIDE",$AL11*ABS($K11)*Settings!$B$9,0)</f>
        <v/>
      </c>
      <c r="R11" s="15">
        <f>$AT11*$AU11</f>
        <v/>
      </c>
      <c r="S11" s="14">
        <f>IF($B11="BIG_SIDE",$N11-$P11-$R11,IF($B11="SMALL_SIDE",$O11-$Q11-$R11,0))</f>
        <v/>
      </c>
      <c r="T11" s="12">
        <f>IF(AND($B11="BIG_SIDE",$AX11&gt;0),$AX11*Settings!$B$5,0)</f>
        <v/>
      </c>
      <c r="U11" s="12">
        <f>MAX(0,$M11*Settings!$B$9)</f>
        <v/>
      </c>
      <c r="V11" s="12">
        <f>IF($B11="BIG_SIDE",IFERROR(MIN($D11,MAX(0,$T11/$U11)),0),0)</f>
        <v/>
      </c>
      <c r="W11" s="12">
        <f>IF($B11="BIG_SIDE",MAX(0,$D11-$V11),$AJ11)</f>
        <v/>
      </c>
      <c r="X11" s="19">
        <f>IF($B11="BIG_SIDE",IF($AX11&gt;0,$AX11-$AS11,0),IF($S11&gt;0,$S11*0.5,0))</f>
        <v/>
      </c>
      <c r="Y11" s="19">
        <f>$Y10+$X11</f>
        <v/>
      </c>
      <c r="Z11" s="12">
        <f>$AA10</f>
        <v/>
      </c>
      <c r="AA11" s="12">
        <f>IF($B11="BLOCKED",$Z11,IF($B11="BIG_SIDE",$Z11+$AX11-$AS11-$AZ11,IF($B11="SMALL_SIDE",$Z11+$S11+$AI11,$Z11+$S11)))</f>
        <v/>
      </c>
      <c r="AB11" s="12">
        <f>IF($B11="BLOCKED",IF(ROW()=2,0,$AG10+$AJ10),$D11+$G11+$J11)</f>
        <v/>
      </c>
      <c r="AC11" s="12">
        <f>IF($B11="BLOCKED",$AB11,IF($B11="BIG_SIDE",$W11,$AG11+$AJ11))</f>
        <v/>
      </c>
      <c r="AD11" s="12">
        <f>$AB11*Settings!$B$10</f>
        <v/>
      </c>
      <c r="AE11" s="12">
        <f>$AC11*Settings!$B$10</f>
        <v/>
      </c>
      <c r="AF11" s="12">
        <f>IF($B11="BLOCKED",IF(ROW()=2,$C11,$AF10),IF($B11="SMALL_SIDE",$E11,$C11))</f>
        <v/>
      </c>
      <c r="AG11" s="12">
        <f>IF($B11="BLOCKED",IF(ROW()=2,0,$AG10),IF($B11="SMALL_SIDE",$AM11,$W11))</f>
        <v/>
      </c>
      <c r="AH11" s="13" t="inlineStr">
        <is>
          <t>NO</t>
        </is>
      </c>
      <c r="AI11" s="13" t="n">
        <v>0</v>
      </c>
      <c r="AJ11" s="12">
        <f>IF($B11="SMALL_SIDE",MAX(0,$D11-$AV11),0)</f>
        <v/>
      </c>
      <c r="AK11" s="12">
        <f>IF(AND($AJ11&gt;0,$AG11&gt;0),TRUE,FALSE)</f>
        <v/>
      </c>
      <c r="AL11" s="12">
        <f>IF($B11="SMALL_SIDE",$G11*Settings!$B$7,IF($B11="BIG_SIDE",$G11,0))</f>
        <v/>
      </c>
      <c r="AM11" s="12">
        <f>IF($B11="SMALL_SIDE",MAX(0,$G11-$AL11),0)</f>
        <v/>
      </c>
      <c r="AN11" s="12">
        <f>IF($B11="BIG_SIDE",1,IF($B11="SMALL_SIDE",Settings!$B$7,0))</f>
        <v/>
      </c>
      <c r="AO11" s="12">
        <f>IF(OR($B11="BIG_SIDE",$B11="SMALL_SIDE"),1,0)</f>
        <v/>
      </c>
      <c r="AP11" s="12">
        <f>IF(OR($AQ11="DUAL_TAIL",$AQ11="DANGER",$AQ11="STOP"),"NO","YES")</f>
        <v/>
      </c>
      <c r="AQ11" s="12">
        <f>IF($B11="BLOCKED","STOP",IF($AK11=TRUE,"DUAL_TAIL",IF(OR(IFERROR($G11/$D11,0)&gt;Settings!$B$16,IFERROR($J11/$G11,0)&gt;Settings!$B$17,$AE11&gt;$AD11,$Y11&lt;0,$AG11&gt;$D11*1.0001,$S11&lt;-100),"DANGER",IF(OR(AND($B11="BIG_SIDE",$U11&lt;=0),$S11&lt;=0,$X11=0,$AE11&gt;$AD11*0.95),"WARNING","OK"))))</f>
        <v/>
      </c>
      <c r="AR11" s="12">
        <f>IF($B11="BLOCKED","Заблокировано: предыдущий уровень не разрешил новый полноценный уровень",IF($B11="BIG_SIDE","BIG_SIDE: Big и Small закрыты 100%; баланс учитывает RealizedFarLoss",IF($AQ11="DUAL_TAIL","SMALL_SIDE: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11" s="20">
        <f>IF($B11="BIG_SIDE",$V11*$U11,0)</f>
        <v/>
      </c>
      <c r="AT11" s="12">
        <f>IF($B11="BIG_SIDE",$G11+$J11+$V11,IF($B11="SMALL_SIDE",$J11+$AL11+$AV11,0))</f>
        <v/>
      </c>
      <c r="AU11" s="12">
        <f>Settings!$B$13+Settings!$B$14+Settings!$B$15</f>
        <v/>
      </c>
      <c r="AV11" s="12">
        <f>IF($B11="SMALL_SIDE",IF($AH11="YES",$D11,IFERROR(MIN($D11,MAX(0,$AI11/$U11)),0)),0)</f>
        <v/>
      </c>
      <c r="AW11" s="12">
        <f>IF($B11="BLOCKED","Заблокировано: предыдущий уровень не разрешил новый полноценный уровень","")</f>
        <v/>
      </c>
      <c r="AX11" s="12">
        <f>IF($B11="BIG_SIDE",$N11-$P11-$AY11,IF($B11="SMALL_SIDE",$O11-$Q11-$R11,0))</f>
        <v/>
      </c>
      <c r="AY11" s="12">
        <f>IF($B11="BIG_SIDE",($G11+$J11)*$AU11,0)</f>
        <v/>
      </c>
      <c r="AZ11" s="12">
        <f>IF($B11="BIG_SIDE",$V11*$AU11,0)</f>
        <v/>
      </c>
    </row>
  </sheetData>
  <autoFilter ref="A1:AZ11"/>
  <conditionalFormatting sqref="AQ2:AQ11">
    <cfRule type="expression" priority="1" dxfId="0">
      <formula>$AQ2="WARNING"</formula>
    </cfRule>
    <cfRule type="expression" priority="2" dxfId="1">
      <formula>$AQ2="DUAL_TAIL"</formula>
    </cfRule>
    <cfRule type="expression" priority="3" dxfId="2">
      <formula>$AQ2="DANGER"</formula>
    </cfRule>
    <cfRule type="expression" priority="4" dxfId="3">
      <formula>$AQ2="STOP"</formula>
    </cfRule>
  </conditionalFormatting>
  <dataValidations count="3">
    <dataValidation sqref="B2 B3 B4 B5 B6 B7 B8 B9 B10 B11" showDropDown="0" showInputMessage="0" showErrorMessage="0" allowBlank="0" type="list">
      <formula1>"BIG_SIDE,SMALL_SIDE"</formula1>
    </dataValidation>
    <dataValidation sqref="C2 C3 C4 C5 C6 C7 C8 C9 C10 C11" showDropDown="0" showInputMessage="0" showErrorMessage="0" allowBlank="0" type="list">
      <formula1>"BUY,SELL"</formula1>
    </dataValidation>
    <dataValidation sqref="AH2 AH3 AH4 AH5 AH6 AH7 AH8 AH9 AH10 AH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55" customWidth="1" min="44" max="44"/>
    <col width="18" customWidth="1" min="45" max="45"/>
    <col width="18" customWidth="1" min="46" max="46"/>
    <col width="18" customWidth="1" min="47" max="47"/>
    <col width="18" customWidth="1" min="48" max="48"/>
    <col width="50" customWidth="1" min="49" max="49"/>
    <col width="18" customWidth="1" min="50" max="50"/>
    <col width="18" customWidth="1" min="51" max="51"/>
    <col width="18" customWidth="1" min="52" max="52"/>
  </cols>
  <sheetData>
    <row r="1">
      <c r="A1" s="1" t="inlineStr">
        <is>
          <t>Level</t>
        </is>
      </c>
      <c r="B1" s="1" t="inlineStr">
        <is>
          <t>Scenario</t>
        </is>
      </c>
      <c r="C1" s="1" t="inlineStr">
        <is>
          <t>FarDirection</t>
        </is>
      </c>
      <c r="D1" s="1" t="inlineStr">
        <is>
          <t>FarStartLot</t>
        </is>
      </c>
      <c r="E1" s="1" t="inlineStr">
        <is>
          <t>BigDirection</t>
        </is>
      </c>
      <c r="F1" s="1" t="inlineStr">
        <is>
          <t>BigLotRaw</t>
        </is>
      </c>
      <c r="G1" s="1" t="inlineStr">
        <is>
          <t>BigLot</t>
        </is>
      </c>
      <c r="H1" s="1" t="inlineStr">
        <is>
          <t>SmallDirection</t>
        </is>
      </c>
      <c r="I1" s="1" t="inlineStr">
        <is>
          <t>SmallLotRaw</t>
        </is>
      </c>
      <c r="J1" s="1" t="inlineStr">
        <is>
          <t>SmallLot</t>
        </is>
      </c>
      <c r="K1" s="1" t="inlineStr">
        <is>
          <t>BigProfitPoints</t>
        </is>
      </c>
      <c r="L1" s="1" t="inlineStr">
        <is>
          <t>SmallPoints</t>
        </is>
      </c>
      <c r="M1" s="1" t="inlineStr">
        <is>
          <t>FarLossPoints</t>
        </is>
      </c>
      <c r="N1" s="1" t="inlineStr">
        <is>
          <t>ProfitBig</t>
        </is>
      </c>
      <c r="O1" s="1" t="inlineStr">
        <is>
          <t>ProfitSmall</t>
        </is>
      </c>
      <c r="P1" s="1" t="inlineStr">
        <is>
          <t>LossSmall</t>
        </is>
      </c>
      <c r="Q1" s="1" t="inlineStr">
        <is>
          <t>LossClosedBig</t>
        </is>
      </c>
      <c r="R1" s="1" t="inlineStr">
        <is>
          <t>Costs</t>
        </is>
      </c>
      <c r="S1" s="1" t="inlineStr">
        <is>
          <t>NetProfit</t>
        </is>
      </c>
      <c r="T1" s="1" t="inlineStr">
        <is>
          <t>CloseFarBudget</t>
        </is>
      </c>
      <c r="U1" s="1" t="inlineStr">
        <is>
          <t>LossPerLotToClose</t>
        </is>
      </c>
      <c r="V1" s="1" t="inlineStr">
        <is>
          <t>CloseFarLot</t>
        </is>
      </c>
      <c r="W1" s="1" t="inlineStr">
        <is>
          <t>FarRemainLot</t>
        </is>
      </c>
      <c r="X1" s="1" t="inlineStr">
        <is>
          <t>ReserveAdd</t>
        </is>
      </c>
      <c r="Y1" s="1" t="inlineStr">
        <is>
          <t>TotalReserve</t>
        </is>
      </c>
      <c r="Z1" s="1" t="inlineStr">
        <is>
          <t>BalanceBefore</t>
        </is>
      </c>
      <c r="AA1" s="1" t="inlineStr">
        <is>
          <t>BalanceAfter</t>
        </is>
      </c>
      <c r="AB1" s="1" t="inlineStr">
        <is>
          <t>OpenLotsBefore</t>
        </is>
      </c>
      <c r="AC1" s="1" t="inlineStr">
        <is>
          <t>OpenLotsAfter</t>
        </is>
      </c>
      <c r="AD1" s="1" t="inlineStr">
        <is>
          <t>MarginBefore</t>
        </is>
      </c>
      <c r="AE1" s="1" t="inlineStr">
        <is>
          <t>MarginAfter</t>
        </is>
      </c>
      <c r="AF1" s="1" t="inlineStr">
        <is>
          <t>NewFarDirection</t>
        </is>
      </c>
      <c r="AG1" s="1" t="inlineStr">
        <is>
          <t>NewFarStartLot</t>
        </is>
      </c>
      <c r="AH1" s="1" t="inlineStr">
        <is>
          <t>OldFarCanClose</t>
        </is>
      </c>
      <c r="AI1" s="1" t="inlineStr">
        <is>
          <t>OldFarClosePL</t>
        </is>
      </c>
      <c r="AJ1" s="1" t="inlineStr">
        <is>
          <t>OldFarRemainLot</t>
        </is>
      </c>
      <c r="AK1" s="1" t="inlineStr">
        <is>
          <t>DualTailFlag</t>
        </is>
      </c>
      <c r="AL1" s="1" t="inlineStr">
        <is>
          <t>CloseBigLot</t>
        </is>
      </c>
      <c r="AM1" s="1" t="inlineStr">
        <is>
          <t>RemainBigLot</t>
        </is>
      </c>
      <c r="AN1" s="1" t="inlineStr">
        <is>
          <t>BigClosedPercent</t>
        </is>
      </c>
      <c r="AO1" s="1" t="inlineStr">
        <is>
          <t>SmallClosedPercent</t>
        </is>
      </c>
      <c r="AP1" s="1" t="inlineStr">
        <is>
          <t>NewFullLevelAllowed</t>
        </is>
      </c>
      <c r="AQ1" s="1" t="inlineStr">
        <is>
          <t>Status</t>
        </is>
      </c>
      <c r="AR1" s="1" t="inlineStr">
        <is>
          <t>Comment</t>
        </is>
      </c>
      <c r="AS1" s="1" t="inlineStr">
        <is>
          <t>RealizedFarLoss</t>
        </is>
      </c>
      <c r="AT1" s="1" t="inlineStr">
        <is>
          <t>ClosedLotsForCosts</t>
        </is>
      </c>
      <c r="AU1" s="1" t="inlineStr">
        <is>
          <t>CostPerLot</t>
        </is>
      </c>
      <c r="AV1" s="1" t="inlineStr">
        <is>
          <t>OldFarClosedLot</t>
        </is>
      </c>
      <c r="AW1" s="1" t="inlineStr">
        <is>
          <t>BlockedReason</t>
        </is>
      </c>
      <c r="AX1" s="1" t="inlineStr">
        <is>
          <t>NetProfitBeforeFar</t>
        </is>
      </c>
      <c r="AY1" s="1" t="inlineStr">
        <is>
          <t>CostsBeforeFar</t>
        </is>
      </c>
      <c r="AZ1" s="1" t="inlineStr">
        <is>
          <t>CostsFarClose</t>
        </is>
      </c>
    </row>
    <row r="2">
      <c r="A2" s="12" t="n">
        <v>1</v>
      </c>
      <c r="B2" s="13" t="inlineStr">
        <is>
          <t>BIG_SIDE</t>
        </is>
      </c>
      <c r="C2" s="13" t="inlineStr">
        <is>
          <t>SELL</t>
        </is>
      </c>
      <c r="D2" s="13">
        <f>Settings!$B$2</f>
        <v/>
      </c>
      <c r="E2" s="12">
        <f>IF($B2="BLOCKED","",IF($C2="SELL","BUY","SELL"))</f>
        <v/>
      </c>
      <c r="F2" s="12">
        <f>IF($B2="BLOCKED",0,MAX(0,$D2*Settings!$B$3))</f>
        <v/>
      </c>
      <c r="G2" s="12">
        <f>IF($B2="BLOCKED",0,IFERROR(MAX(0,ROUND($F2/Settings!$B$11,0)*Settings!$B$11),0))</f>
        <v/>
      </c>
      <c r="H2" s="12">
        <f>IF($B2="BLOCKED","",$C2)</f>
        <v/>
      </c>
      <c r="I2" s="12">
        <f>IF($B2="BLOCKED",0,MAX(0,$G2*Settings!$B$4))</f>
        <v/>
      </c>
      <c r="J2" s="12">
        <f>IF($B2="BLOCKED",0,IFERROR(MAX(0,ROUND($I2/Settings!$B$11,0)*Settings!$B$11),0))</f>
        <v/>
      </c>
      <c r="K2" s="13" t="n">
        <v>100</v>
      </c>
      <c r="L2" s="13" t="n">
        <v>-40</v>
      </c>
      <c r="M2" s="13" t="n">
        <v>100</v>
      </c>
      <c r="N2" s="14">
        <f>IF($B2="BIG_SIDE",$G2*MAX(0,$K2)*Settings!$B$9,0)</f>
        <v/>
      </c>
      <c r="O2" s="14">
        <f>IF($B2="SMALL_SIDE",$J2*ABS($L2)*Settings!$B$9,0)</f>
        <v/>
      </c>
      <c r="P2" s="15">
        <f>IF($B2="BIG_SIDE",$J2*ABS($L2)*Settings!$B$9,0)</f>
        <v/>
      </c>
      <c r="Q2" s="15">
        <f>IF($B2="SMALL_SIDE",$AL2*ABS($K2)*Settings!$B$9,0)</f>
        <v/>
      </c>
      <c r="R2" s="15">
        <f>$AT2*$AU2</f>
        <v/>
      </c>
      <c r="S2" s="14">
        <f>IF($B2="BIG_SIDE",$N2-$P2-$R2,IF($B2="SMALL_SIDE",$O2-$Q2-$R2,0))</f>
        <v/>
      </c>
      <c r="T2" s="12">
        <f>IF(AND($B2="BIG_SIDE",$AX2&gt;0),$AX2*Settings!$B$5,0)</f>
        <v/>
      </c>
      <c r="U2" s="12">
        <f>MAX(0,$M2*Settings!$B$9)</f>
        <v/>
      </c>
      <c r="V2" s="12">
        <f>IF($B2="BIG_SIDE",IFERROR(MIN($D2,MAX(0,$T2/$U2)),0),0)</f>
        <v/>
      </c>
      <c r="W2" s="12">
        <f>IF($B2="BIG_SIDE",MAX(0,$D2-$V2),$AJ2)</f>
        <v/>
      </c>
      <c r="X2" s="19">
        <f>IF($B2="BIG_SIDE",IF($AX2&gt;0,$AX2-$AS2,0),IF($S2&gt;0,$S2*0.5,0))</f>
        <v/>
      </c>
      <c r="Y2" s="19">
        <f>X2</f>
        <v/>
      </c>
      <c r="Z2" s="12" t="n">
        <v>0</v>
      </c>
      <c r="AA2" s="12">
        <f>IF($B2="BLOCKED",$Z2,IF($B2="BIG_SIDE",$Z2+$AX2-$AS2-$AZ2,IF($B2="SMALL_SIDE",$Z2+$S2+$AI2,$Z2+$S2)))</f>
        <v/>
      </c>
      <c r="AB2" s="12">
        <f>IF($B2="BLOCKED",IF(ROW()=2,0,$AG1+$AJ1),$D2+$G2+$J2)</f>
        <v/>
      </c>
      <c r="AC2" s="12">
        <f>IF($B2="BLOCKED",$AB2,IF($B2="BIG_SIDE",$W2,$AG2+$AJ2))</f>
        <v/>
      </c>
      <c r="AD2" s="12">
        <f>$AB2*Settings!$B$10</f>
        <v/>
      </c>
      <c r="AE2" s="12">
        <f>$AC2*Settings!$B$10</f>
        <v/>
      </c>
      <c r="AF2" s="12">
        <f>IF($B2="BLOCKED",IF(ROW()=2,$C2,$AF1),IF($B2="SMALL_SIDE",$E2,$C2))</f>
        <v/>
      </c>
      <c r="AG2" s="12">
        <f>IF($B2="BLOCKED",IF(ROW()=2,0,$AG1),IF($B2="SMALL_SIDE",$AM2,$W2))</f>
        <v/>
      </c>
      <c r="AH2" s="13" t="inlineStr">
        <is>
          <t>NO</t>
        </is>
      </c>
      <c r="AI2" s="13" t="n">
        <v>0</v>
      </c>
      <c r="AJ2" s="12">
        <f>IF($B2="SMALL_SIDE",MAX(0,$D2-$AV2),0)</f>
        <v/>
      </c>
      <c r="AK2" s="12">
        <f>IF(AND($AJ2&gt;0,$AG2&gt;0),TRUE,FALSE)</f>
        <v/>
      </c>
      <c r="AL2" s="12">
        <f>IF($B2="SMALL_SIDE",$G2*Settings!$B$7,IF($B2="BIG_SIDE",$G2,0))</f>
        <v/>
      </c>
      <c r="AM2" s="12">
        <f>IF($B2="SMALL_SIDE",MAX(0,$G2-$AL2),0)</f>
        <v/>
      </c>
      <c r="AN2" s="12">
        <f>IF($B2="BIG_SIDE",1,IF($B2="SMALL_SIDE",Settings!$B$7,0))</f>
        <v/>
      </c>
      <c r="AO2" s="12">
        <f>IF(OR($B2="BIG_SIDE",$B2="SMALL_SIDE"),1,0)</f>
        <v/>
      </c>
      <c r="AP2" s="12">
        <f>IF(OR($AQ2="DUAL_TAIL",$AQ2="DANGER",$AQ2="STOP"),"NO","YES")</f>
        <v/>
      </c>
      <c r="AQ2" s="12">
        <f>IF($B2="BLOCKED","STOP",IF($AK2=TRUE,"DUAL_TAIL",IF(OR(IFERROR($G2/$D2,0)&gt;Settings!$B$16,IFERROR($J2/$G2,0)&gt;Settings!$B$17,$AE2&gt;$AD2,$Y2&lt;0,$AG2&gt;$D2*1.0001,$S2&lt;-100),"DANGER",IF(OR(AND($B2="BIG_SIDE",$U2&lt;=0),$S2&lt;=0,$X2=0,$AE2&gt;$AD2*0.95),"WARNING","OK"))))</f>
        <v/>
      </c>
      <c r="AR2" s="12">
        <f>IF($B2="BLOCKED","Заблокировано: предыдущий уровень не разрешил новый полноценный уровень",IF($B2="BIG_SIDE","BIG_SIDE: Big и Small закрыты 100%; баланс учитывает RealizedFarLoss",IF($AQ2="DUAL_TAIL","SMALL_SIDE: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2" s="20">
        <f>IF($B2="BIG_SIDE",$V2*$U2,0)</f>
        <v/>
      </c>
      <c r="AT2" s="12">
        <f>IF($B2="BIG_SIDE",$G2+$J2+$V2,IF($B2="SMALL_SIDE",$J2+$AL2+$AV2,0))</f>
        <v/>
      </c>
      <c r="AU2" s="12">
        <f>Settings!$B$13+Settings!$B$14+Settings!$B$15</f>
        <v/>
      </c>
      <c r="AV2" s="12">
        <f>IF($B2="SMALL_SIDE",IF($AH2="YES",$D2,IFERROR(MIN($D2,MAX(0,$AI2/$U2)),0)),0)</f>
        <v/>
      </c>
      <c r="AW2" s="12">
        <f>IF($B2="BLOCKED","Заблокировано: предыдущий уровень не разрешил новый полноценный уровень","")</f>
        <v/>
      </c>
      <c r="AX2" s="12">
        <f>IF($B2="BIG_SIDE",$N2-$P2-$AY2,IF($B2="SMALL_SIDE",$O2-$Q2-$R2,0))</f>
        <v/>
      </c>
      <c r="AY2" s="12">
        <f>IF($B2="BIG_SIDE",($G2+$J2)*$AU2,0)</f>
        <v/>
      </c>
      <c r="AZ2" s="12">
        <f>IF($B2="BIG_SIDE",$V2*$AU2,0)</f>
        <v/>
      </c>
    </row>
    <row r="3">
      <c r="A3" s="12" t="n">
        <v>2</v>
      </c>
      <c r="B3" s="13">
        <f>IF(OR($AP2="NO",$AQ2="DUAL_TAIL",$AQ2="DANGER",$AQ2="STOP"),"BLOCKED","BIG_SIDE")</f>
        <v/>
      </c>
      <c r="C3" s="13">
        <f>IF($B3="BLOCKED",$AF2,IF($AP2="YES",$AF2,$C2))</f>
        <v/>
      </c>
      <c r="D3" s="13">
        <f>IF($B3="BLOCKED",0,IF($AP2="YES",MAX(0,$AG2),$D2))</f>
        <v/>
      </c>
      <c r="E3" s="12">
        <f>IF($B3="BLOCKED","",IF($C3="SELL","BUY","SELL"))</f>
        <v/>
      </c>
      <c r="F3" s="12">
        <f>IF($B3="BLOCKED",0,MAX(0,$D3*Settings!$B$3))</f>
        <v/>
      </c>
      <c r="G3" s="12">
        <f>IF($B3="BLOCKED",0,IFERROR(MAX(0,ROUND($F3/Settings!$B$11,0)*Settings!$B$11),0))</f>
        <v/>
      </c>
      <c r="H3" s="12">
        <f>IF($B3="BLOCKED","",$C3)</f>
        <v/>
      </c>
      <c r="I3" s="12">
        <f>IF($B3="BLOCKED",0,MAX(0,$G3*Settings!$B$4))</f>
        <v/>
      </c>
      <c r="J3" s="12">
        <f>IF($B3="BLOCKED",0,IFERROR(MAX(0,ROUND($I3/Settings!$B$11,0)*Settings!$B$11),0))</f>
        <v/>
      </c>
      <c r="K3" s="13" t="n">
        <v>100</v>
      </c>
      <c r="L3" s="13" t="n">
        <v>-40</v>
      </c>
      <c r="M3" s="13" t="n">
        <v>100</v>
      </c>
      <c r="N3" s="14">
        <f>IF($B3="BIG_SIDE",$G3*MAX(0,$K3)*Settings!$B$9,0)</f>
        <v/>
      </c>
      <c r="O3" s="14">
        <f>IF($B3="SMALL_SIDE",$J3*ABS($L3)*Settings!$B$9,0)</f>
        <v/>
      </c>
      <c r="P3" s="15">
        <f>IF($B3="BIG_SIDE",$J3*ABS($L3)*Settings!$B$9,0)</f>
        <v/>
      </c>
      <c r="Q3" s="15">
        <f>IF($B3="SMALL_SIDE",$AL3*ABS($K3)*Settings!$B$9,0)</f>
        <v/>
      </c>
      <c r="R3" s="15">
        <f>$AT3*$AU3</f>
        <v/>
      </c>
      <c r="S3" s="14">
        <f>IF($B3="BIG_SIDE",$N3-$P3-$R3,IF($B3="SMALL_SIDE",$O3-$Q3-$R3,0))</f>
        <v/>
      </c>
      <c r="T3" s="12">
        <f>IF(AND($B3="BIG_SIDE",$AX3&gt;0),$AX3*Settings!$B$5,0)</f>
        <v/>
      </c>
      <c r="U3" s="12">
        <f>MAX(0,$M3*Settings!$B$9)</f>
        <v/>
      </c>
      <c r="V3" s="12">
        <f>IF($B3="BIG_SIDE",IFERROR(MIN($D3,MAX(0,$T3/$U3)),0),0)</f>
        <v/>
      </c>
      <c r="W3" s="12">
        <f>IF($B3="BIG_SIDE",MAX(0,$D3-$V3),$AJ3)</f>
        <v/>
      </c>
      <c r="X3" s="19">
        <f>IF($B3="BIG_SIDE",IF($AX3&gt;0,$AX3-$AS3,0),IF($S3&gt;0,$S3*0.5,0))</f>
        <v/>
      </c>
      <c r="Y3" s="19">
        <f>$Y2+$X3</f>
        <v/>
      </c>
      <c r="Z3" s="12">
        <f>$AA2</f>
        <v/>
      </c>
      <c r="AA3" s="12">
        <f>IF($B3="BLOCKED",$Z3,IF($B3="BIG_SIDE",$Z3+$AX3-$AS3-$AZ3,IF($B3="SMALL_SIDE",$Z3+$S3+$AI3,$Z3+$S3)))</f>
        <v/>
      </c>
      <c r="AB3" s="12">
        <f>IF($B3="BLOCKED",IF(ROW()=2,0,$AG2+$AJ2),$D3+$G3+$J3)</f>
        <v/>
      </c>
      <c r="AC3" s="12">
        <f>IF($B3="BLOCKED",$AB3,IF($B3="BIG_SIDE",$W3,$AG3+$AJ3))</f>
        <v/>
      </c>
      <c r="AD3" s="12">
        <f>$AB3*Settings!$B$10</f>
        <v/>
      </c>
      <c r="AE3" s="12">
        <f>$AC3*Settings!$B$10</f>
        <v/>
      </c>
      <c r="AF3" s="12">
        <f>IF($B3="BLOCKED",IF(ROW()=2,$C3,$AF2),IF($B3="SMALL_SIDE",$E3,$C3))</f>
        <v/>
      </c>
      <c r="AG3" s="12">
        <f>IF($B3="BLOCKED",IF(ROW()=2,0,$AG2),IF($B3="SMALL_SIDE",$AM3,$W3))</f>
        <v/>
      </c>
      <c r="AH3" s="13" t="inlineStr">
        <is>
          <t>NO</t>
        </is>
      </c>
      <c r="AI3" s="13" t="n">
        <v>0</v>
      </c>
      <c r="AJ3" s="12">
        <f>IF($B3="SMALL_SIDE",MAX(0,$D3-$AV3),0)</f>
        <v/>
      </c>
      <c r="AK3" s="12">
        <f>IF(AND($AJ3&gt;0,$AG3&gt;0),TRUE,FALSE)</f>
        <v/>
      </c>
      <c r="AL3" s="12">
        <f>IF($B3="SMALL_SIDE",$G3*Settings!$B$7,IF($B3="BIG_SIDE",$G3,0))</f>
        <v/>
      </c>
      <c r="AM3" s="12">
        <f>IF($B3="SMALL_SIDE",MAX(0,$G3-$AL3),0)</f>
        <v/>
      </c>
      <c r="AN3" s="12">
        <f>IF($B3="BIG_SIDE",1,IF($B3="SMALL_SIDE",Settings!$B$7,0))</f>
        <v/>
      </c>
      <c r="AO3" s="12">
        <f>IF(OR($B3="BIG_SIDE",$B3="SMALL_SIDE"),1,0)</f>
        <v/>
      </c>
      <c r="AP3" s="12">
        <f>IF(OR($AQ3="DUAL_TAIL",$AQ3="DANGER",$AQ3="STOP"),"NO","YES")</f>
        <v/>
      </c>
      <c r="AQ3" s="12">
        <f>IF($B3="BLOCKED","STOP",IF($AK3=TRUE,"DUAL_TAIL",IF(OR(IFERROR($G3/$D3,0)&gt;Settings!$B$16,IFERROR($J3/$G3,0)&gt;Settings!$B$17,$AE3&gt;$AD3,$Y3&lt;0,$AG3&gt;$D3*1.0001,$S3&lt;-100),"DANGER",IF(OR(AND($B3="BIG_SIDE",$U3&lt;=0),$S3&lt;=0,$X3=0,$AE3&gt;$AD3*0.95),"WARNING","OK"))))</f>
        <v/>
      </c>
      <c r="AR3" s="12">
        <f>IF($B3="BLOCKED","Заблокировано: предыдущий уровень не разрешил новый полноценный уровень",IF($B3="BIG_SIDE","BIG_SIDE: Big и Small закрыты 100%; баланс учитывает RealizedFarLoss",IF($AQ3="DUAL_TAIL","SMALL_SIDE: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3" s="20">
        <f>IF($B3="BIG_SIDE",$V3*$U3,0)</f>
        <v/>
      </c>
      <c r="AT3" s="12">
        <f>IF($B3="BIG_SIDE",$G3+$J3+$V3,IF($B3="SMALL_SIDE",$J3+$AL3+$AV3,0))</f>
        <v/>
      </c>
      <c r="AU3" s="12">
        <f>Settings!$B$13+Settings!$B$14+Settings!$B$15</f>
        <v/>
      </c>
      <c r="AV3" s="12">
        <f>IF($B3="SMALL_SIDE",IF($AH3="YES",$D3,IFERROR(MIN($D3,MAX(0,$AI3/$U3)),0)),0)</f>
        <v/>
      </c>
      <c r="AW3" s="12">
        <f>IF($B3="BLOCKED","Заблокировано: предыдущий уровень не разрешил новый полноценный уровень","")</f>
        <v/>
      </c>
      <c r="AX3" s="12">
        <f>IF($B3="BIG_SIDE",$N3-$P3-$AY3,IF($B3="SMALL_SIDE",$O3-$Q3-$R3,0))</f>
        <v/>
      </c>
      <c r="AY3" s="12">
        <f>IF($B3="BIG_SIDE",($G3+$J3)*$AU3,0)</f>
        <v/>
      </c>
      <c r="AZ3" s="12">
        <f>IF($B3="BIG_SIDE",$V3*$AU3,0)</f>
        <v/>
      </c>
    </row>
    <row r="4">
      <c r="A4" s="12" t="n">
        <v>3</v>
      </c>
      <c r="B4" s="13">
        <f>IF(OR($AP3="NO",$AQ3="DUAL_TAIL",$AQ3="DANGER",$AQ3="STOP"),"BLOCKED","BIG_SIDE")</f>
        <v/>
      </c>
      <c r="C4" s="13">
        <f>IF($B4="BLOCKED",$AF3,IF($AP3="YES",$AF3,$C3))</f>
        <v/>
      </c>
      <c r="D4" s="13">
        <f>IF($B4="BLOCKED",0,IF($AP3="YES",MAX(0,$AG3),$D3))</f>
        <v/>
      </c>
      <c r="E4" s="12">
        <f>IF($B4="BLOCKED","",IF($C4="SELL","BUY","SELL"))</f>
        <v/>
      </c>
      <c r="F4" s="12">
        <f>IF($B4="BLOCKED",0,MAX(0,$D4*Settings!$B$3))</f>
        <v/>
      </c>
      <c r="G4" s="12">
        <f>IF($B4="BLOCKED",0,IFERROR(MAX(0,ROUND($F4/Settings!$B$11,0)*Settings!$B$11),0))</f>
        <v/>
      </c>
      <c r="H4" s="12">
        <f>IF($B4="BLOCKED","",$C4)</f>
        <v/>
      </c>
      <c r="I4" s="12">
        <f>IF($B4="BLOCKED",0,MAX(0,$G4*Settings!$B$4))</f>
        <v/>
      </c>
      <c r="J4" s="12">
        <f>IF($B4="BLOCKED",0,IFERROR(MAX(0,ROUND($I4/Settings!$B$11,0)*Settings!$B$11),0))</f>
        <v/>
      </c>
      <c r="K4" s="13" t="n">
        <v>100</v>
      </c>
      <c r="L4" s="13" t="n">
        <v>-40</v>
      </c>
      <c r="M4" s="13" t="n">
        <v>100</v>
      </c>
      <c r="N4" s="14">
        <f>IF($B4="BIG_SIDE",$G4*MAX(0,$K4)*Settings!$B$9,0)</f>
        <v/>
      </c>
      <c r="O4" s="14">
        <f>IF($B4="SMALL_SIDE",$J4*ABS($L4)*Settings!$B$9,0)</f>
        <v/>
      </c>
      <c r="P4" s="15">
        <f>IF($B4="BIG_SIDE",$J4*ABS($L4)*Settings!$B$9,0)</f>
        <v/>
      </c>
      <c r="Q4" s="15">
        <f>IF($B4="SMALL_SIDE",$AL4*ABS($K4)*Settings!$B$9,0)</f>
        <v/>
      </c>
      <c r="R4" s="15">
        <f>$AT4*$AU4</f>
        <v/>
      </c>
      <c r="S4" s="14">
        <f>IF($B4="BIG_SIDE",$N4-$P4-$R4,IF($B4="SMALL_SIDE",$O4-$Q4-$R4,0))</f>
        <v/>
      </c>
      <c r="T4" s="12">
        <f>IF(AND($B4="BIG_SIDE",$AX4&gt;0),$AX4*Settings!$B$5,0)</f>
        <v/>
      </c>
      <c r="U4" s="12">
        <f>MAX(0,$M4*Settings!$B$9)</f>
        <v/>
      </c>
      <c r="V4" s="12">
        <f>IF($B4="BIG_SIDE",IFERROR(MIN($D4,MAX(0,$T4/$U4)),0),0)</f>
        <v/>
      </c>
      <c r="W4" s="12">
        <f>IF($B4="BIG_SIDE",MAX(0,$D4-$V4),$AJ4)</f>
        <v/>
      </c>
      <c r="X4" s="19">
        <f>IF($B4="BIG_SIDE",IF($AX4&gt;0,$AX4-$AS4,0),IF($S4&gt;0,$S4*0.5,0))</f>
        <v/>
      </c>
      <c r="Y4" s="19">
        <f>$Y3+$X4</f>
        <v/>
      </c>
      <c r="Z4" s="12">
        <f>$AA3</f>
        <v/>
      </c>
      <c r="AA4" s="12">
        <f>IF($B4="BLOCKED",$Z4,IF($B4="BIG_SIDE",$Z4+$AX4-$AS4-$AZ4,IF($B4="SMALL_SIDE",$Z4+$S4+$AI4,$Z4+$S4)))</f>
        <v/>
      </c>
      <c r="AB4" s="12">
        <f>IF($B4="BLOCKED",IF(ROW()=2,0,$AG3+$AJ3),$D4+$G4+$J4)</f>
        <v/>
      </c>
      <c r="AC4" s="12">
        <f>IF($B4="BLOCKED",$AB4,IF($B4="BIG_SIDE",$W4,$AG4+$AJ4))</f>
        <v/>
      </c>
      <c r="AD4" s="12">
        <f>$AB4*Settings!$B$10</f>
        <v/>
      </c>
      <c r="AE4" s="12">
        <f>$AC4*Settings!$B$10</f>
        <v/>
      </c>
      <c r="AF4" s="12">
        <f>IF($B4="BLOCKED",IF(ROW()=2,$C4,$AF3),IF($B4="SMALL_SIDE",$E4,$C4))</f>
        <v/>
      </c>
      <c r="AG4" s="12">
        <f>IF($B4="BLOCKED",IF(ROW()=2,0,$AG3),IF($B4="SMALL_SIDE",$AM4,$W4))</f>
        <v/>
      </c>
      <c r="AH4" s="13" t="inlineStr">
        <is>
          <t>NO</t>
        </is>
      </c>
      <c r="AI4" s="13" t="n">
        <v>0</v>
      </c>
      <c r="AJ4" s="12">
        <f>IF($B4="SMALL_SIDE",MAX(0,$D4-$AV4),0)</f>
        <v/>
      </c>
      <c r="AK4" s="12">
        <f>IF(AND($AJ4&gt;0,$AG4&gt;0),TRUE,FALSE)</f>
        <v/>
      </c>
      <c r="AL4" s="12">
        <f>IF($B4="SMALL_SIDE",$G4*Settings!$B$7,IF($B4="BIG_SIDE",$G4,0))</f>
        <v/>
      </c>
      <c r="AM4" s="12">
        <f>IF($B4="SMALL_SIDE",MAX(0,$G4-$AL4),0)</f>
        <v/>
      </c>
      <c r="AN4" s="12">
        <f>IF($B4="BIG_SIDE",1,IF($B4="SMALL_SIDE",Settings!$B$7,0))</f>
        <v/>
      </c>
      <c r="AO4" s="12">
        <f>IF(OR($B4="BIG_SIDE",$B4="SMALL_SIDE"),1,0)</f>
        <v/>
      </c>
      <c r="AP4" s="12">
        <f>IF(OR($AQ4="DUAL_TAIL",$AQ4="DANGER",$AQ4="STOP"),"NO","YES")</f>
        <v/>
      </c>
      <c r="AQ4" s="12">
        <f>IF($B4="BLOCKED","STOP",IF($AK4=TRUE,"DUAL_TAIL",IF(OR(IFERROR($G4/$D4,0)&gt;Settings!$B$16,IFERROR($J4/$G4,0)&gt;Settings!$B$17,$AE4&gt;$AD4,$Y4&lt;0,$AG4&gt;$D4*1.0001,$S4&lt;-100),"DANGER",IF(OR(AND($B4="BIG_SIDE",$U4&lt;=0),$S4&lt;=0,$X4=0,$AE4&gt;$AD4*0.95),"WARNING","OK"))))</f>
        <v/>
      </c>
      <c r="AR4" s="12">
        <f>IF($B4="BLOCKED","Заблокировано: предыдущий уровень не разрешил новый полноценный уровень",IF($B4="BIG_SIDE","BIG_SIDE: Big и Small закрыты 100%; баланс учитывает RealizedFarLoss",IF($AQ4="DUAL_TAIL","SMALL_SIDE: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4" s="20">
        <f>IF($B4="BIG_SIDE",$V4*$U4,0)</f>
        <v/>
      </c>
      <c r="AT4" s="12">
        <f>IF($B4="BIG_SIDE",$G4+$J4+$V4,IF($B4="SMALL_SIDE",$J4+$AL4+$AV4,0))</f>
        <v/>
      </c>
      <c r="AU4" s="12">
        <f>Settings!$B$13+Settings!$B$14+Settings!$B$15</f>
        <v/>
      </c>
      <c r="AV4" s="12">
        <f>IF($B4="SMALL_SIDE",IF($AH4="YES",$D4,IFERROR(MIN($D4,MAX(0,$AI4/$U4)),0)),0)</f>
        <v/>
      </c>
      <c r="AW4" s="12">
        <f>IF($B4="BLOCKED","Заблокировано: предыдущий уровень не разрешил новый полноценный уровень","")</f>
        <v/>
      </c>
      <c r="AX4" s="12">
        <f>IF($B4="BIG_SIDE",$N4-$P4-$AY4,IF($B4="SMALL_SIDE",$O4-$Q4-$R4,0))</f>
        <v/>
      </c>
      <c r="AY4" s="12">
        <f>IF($B4="BIG_SIDE",($G4+$J4)*$AU4,0)</f>
        <v/>
      </c>
      <c r="AZ4" s="12">
        <f>IF($B4="BIG_SIDE",$V4*$AU4,0)</f>
        <v/>
      </c>
    </row>
    <row r="5">
      <c r="A5" s="12" t="n">
        <v>4</v>
      </c>
      <c r="B5" s="13">
        <f>IF(OR($AP4="NO",$AQ4="DUAL_TAIL",$AQ4="DANGER",$AQ4="STOP"),"BLOCKED","SMALL_SIDE")</f>
        <v/>
      </c>
      <c r="C5" s="13">
        <f>IF($B5="BLOCKED",$AF4,IF($AP4="YES",$AF4,$C4))</f>
        <v/>
      </c>
      <c r="D5" s="13">
        <f>IF($B5="BLOCKED",0,IF($AP4="YES",MAX(0,$AG4),$D4))</f>
        <v/>
      </c>
      <c r="E5" s="12">
        <f>IF($B5="BLOCKED","",IF($C5="SELL","BUY","SELL"))</f>
        <v/>
      </c>
      <c r="F5" s="12">
        <f>IF($B5="BLOCKED",0,MAX(0,$D5*Settings!$B$3))</f>
        <v/>
      </c>
      <c r="G5" s="12">
        <f>IF($B5="BLOCKED",0,IFERROR(MAX(0,ROUND($F5/Settings!$B$11,0)*Settings!$B$11),0))</f>
        <v/>
      </c>
      <c r="H5" s="12">
        <f>IF($B5="BLOCKED","",$C5)</f>
        <v/>
      </c>
      <c r="I5" s="12">
        <f>IF($B5="BLOCKED",0,MAX(0,$G5*Settings!$B$4))</f>
        <v/>
      </c>
      <c r="J5" s="12">
        <f>IF($B5="BLOCKED",0,IFERROR(MAX(0,ROUND($I5/Settings!$B$11,0)*Settings!$B$11),0))</f>
        <v/>
      </c>
      <c r="K5" s="13" t="n">
        <v>80</v>
      </c>
      <c r="L5" s="13" t="n">
        <v>60</v>
      </c>
      <c r="M5" s="13" t="n">
        <v>100</v>
      </c>
      <c r="N5" s="14">
        <f>IF($B5="BIG_SIDE",$G5*MAX(0,$K5)*Settings!$B$9,0)</f>
        <v/>
      </c>
      <c r="O5" s="14">
        <f>IF($B5="SMALL_SIDE",$J5*ABS($L5)*Settings!$B$9,0)</f>
        <v/>
      </c>
      <c r="P5" s="15">
        <f>IF($B5="BIG_SIDE",$J5*ABS($L5)*Settings!$B$9,0)</f>
        <v/>
      </c>
      <c r="Q5" s="15">
        <f>IF($B5="SMALL_SIDE",$AL5*ABS($K5)*Settings!$B$9,0)</f>
        <v/>
      </c>
      <c r="R5" s="15">
        <f>$AT5*$AU5</f>
        <v/>
      </c>
      <c r="S5" s="14">
        <f>IF($B5="BIG_SIDE",$N5-$P5-$R5,IF($B5="SMALL_SIDE",$O5-$Q5-$R5,0))</f>
        <v/>
      </c>
      <c r="T5" s="12">
        <f>IF(AND($B5="BIG_SIDE",$AX5&gt;0),$AX5*Settings!$B$5,0)</f>
        <v/>
      </c>
      <c r="U5" s="12">
        <f>MAX(0,$M5*Settings!$B$9)</f>
        <v/>
      </c>
      <c r="V5" s="12">
        <f>IF($B5="BIG_SIDE",IFERROR(MIN($D5,MAX(0,$T5/$U5)),0),0)</f>
        <v/>
      </c>
      <c r="W5" s="12">
        <f>IF($B5="BIG_SIDE",MAX(0,$D5-$V5),$AJ5)</f>
        <v/>
      </c>
      <c r="X5" s="19">
        <f>IF($B5="BIG_SIDE",IF($AX5&gt;0,$AX5-$AS5,0),IF($S5&gt;0,$S5*0.5,0))</f>
        <v/>
      </c>
      <c r="Y5" s="19">
        <f>$Y4+$X5</f>
        <v/>
      </c>
      <c r="Z5" s="12">
        <f>$AA4</f>
        <v/>
      </c>
      <c r="AA5" s="12">
        <f>IF($B5="BLOCKED",$Z5,IF($B5="BIG_SIDE",$Z5+$AX5-$AS5-$AZ5,IF($B5="SMALL_SIDE",$Z5+$S5+$AI5,$Z5+$S5)))</f>
        <v/>
      </c>
      <c r="AB5" s="12">
        <f>IF($B5="BLOCKED",IF(ROW()=2,0,$AG4+$AJ4),$D5+$G5+$J5)</f>
        <v/>
      </c>
      <c r="AC5" s="12">
        <f>IF($B5="BLOCKED",$AB5,IF($B5="BIG_SIDE",$W5,$AG5+$AJ5))</f>
        <v/>
      </c>
      <c r="AD5" s="12">
        <f>$AB5*Settings!$B$10</f>
        <v/>
      </c>
      <c r="AE5" s="12">
        <f>$AC5*Settings!$B$10</f>
        <v/>
      </c>
      <c r="AF5" s="12">
        <f>IF($B5="BLOCKED",IF(ROW()=2,$C5,$AF4),IF($B5="SMALL_SIDE",$E5,$C5))</f>
        <v/>
      </c>
      <c r="AG5" s="12">
        <f>IF($B5="BLOCKED",IF(ROW()=2,0,$AG4),IF($B5="SMALL_SIDE",$AM5,$W5))</f>
        <v/>
      </c>
      <c r="AH5" s="13" t="inlineStr">
        <is>
          <t>NO</t>
        </is>
      </c>
      <c r="AI5" s="13" t="n">
        <v>0</v>
      </c>
      <c r="AJ5" s="12">
        <f>IF($B5="SMALL_SIDE",MAX(0,$D5-$AV5),0)</f>
        <v/>
      </c>
      <c r="AK5" s="12">
        <f>IF(AND($AJ5&gt;0,$AG5&gt;0),TRUE,FALSE)</f>
        <v/>
      </c>
      <c r="AL5" s="12">
        <f>IF($B5="SMALL_SIDE",$G5*Settings!$B$7,IF($B5="BIG_SIDE",$G5,0))</f>
        <v/>
      </c>
      <c r="AM5" s="12">
        <f>IF($B5="SMALL_SIDE",MAX(0,$G5-$AL5),0)</f>
        <v/>
      </c>
      <c r="AN5" s="12">
        <f>IF($B5="BIG_SIDE",1,IF($B5="SMALL_SIDE",Settings!$B$7,0))</f>
        <v/>
      </c>
      <c r="AO5" s="12">
        <f>IF(OR($B5="BIG_SIDE",$B5="SMALL_SIDE"),1,0)</f>
        <v/>
      </c>
      <c r="AP5" s="12">
        <f>IF(OR($AQ5="DUAL_TAIL",$AQ5="DANGER",$AQ5="STOP"),"NO","YES")</f>
        <v/>
      </c>
      <c r="AQ5" s="12">
        <f>IF($B5="BLOCKED","STOP",IF($AK5=TRUE,"DUAL_TAIL",IF(OR(IFERROR($G5/$D5,0)&gt;Settings!$B$16,IFERROR($J5/$G5,0)&gt;Settings!$B$17,$AE5&gt;$AD5,$Y5&lt;0,$AG5&gt;$D5*1.0001,$S5&lt;-100),"DANGER",IF(OR(AND($B5="BIG_SIDE",$U5&lt;=0),$S5&lt;=0,$X5=0,$AE5&gt;$AD5*0.95),"WARNING","OK"))))</f>
        <v/>
      </c>
      <c r="AR5" s="12">
        <f>IF($B5="BLOCKED","Заблокировано: предыдущий уровень не разрешил новый полноценный уровень",IF($B5="BIG_SIDE","BIG_SIDE: Big и Small закрыты 100%; баланс учитывает RealizedFarLoss",IF($AQ5="DUAL_TAIL","SMALL_SIDE: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5" s="20">
        <f>IF($B5="BIG_SIDE",$V5*$U5,0)</f>
        <v/>
      </c>
      <c r="AT5" s="12">
        <f>IF($B5="BIG_SIDE",$G5+$J5+$V5,IF($B5="SMALL_SIDE",$J5+$AL5+$AV5,0))</f>
        <v/>
      </c>
      <c r="AU5" s="12">
        <f>Settings!$B$13+Settings!$B$14+Settings!$B$15</f>
        <v/>
      </c>
      <c r="AV5" s="12">
        <f>IF($B5="SMALL_SIDE",IF($AH5="YES",$D5,IFERROR(MIN($D5,MAX(0,$AI5/$U5)),0)),0)</f>
        <v/>
      </c>
      <c r="AW5" s="12">
        <f>IF($B5="BLOCKED","Заблокировано: предыдущий уровень не разрешил новый полноценный уровень","")</f>
        <v/>
      </c>
      <c r="AX5" s="12">
        <f>IF($B5="BIG_SIDE",$N5-$P5-$AY5,IF($B5="SMALL_SIDE",$O5-$Q5-$R5,0))</f>
        <v/>
      </c>
      <c r="AY5" s="12">
        <f>IF($B5="BIG_SIDE",($G5+$J5)*$AU5,0)</f>
        <v/>
      </c>
      <c r="AZ5" s="12">
        <f>IF($B5="BIG_SIDE",$V5*$AU5,0)</f>
        <v/>
      </c>
    </row>
    <row r="6">
      <c r="A6" s="12" t="n">
        <v>5</v>
      </c>
      <c r="B6" s="13">
        <f>IF(OR($AP5="NO",$AQ5="DUAL_TAIL",$AQ5="DANGER",$AQ5="STOP"),"BLOCKED","BIG_SIDE")</f>
        <v/>
      </c>
      <c r="C6" s="13">
        <f>IF($B6="BLOCKED",$AF5,IF($AP5="YES",$AF5,$C5))</f>
        <v/>
      </c>
      <c r="D6" s="13">
        <f>IF($B6="BLOCKED",0,IF($AP5="YES",MAX(0,$AG5),$D5))</f>
        <v/>
      </c>
      <c r="E6" s="12">
        <f>IF($B6="BLOCKED","",IF($C6="SELL","BUY","SELL"))</f>
        <v/>
      </c>
      <c r="F6" s="12">
        <f>IF($B6="BLOCKED",0,MAX(0,$D6*Settings!$B$3))</f>
        <v/>
      </c>
      <c r="G6" s="12">
        <f>IF($B6="BLOCKED",0,IFERROR(MAX(0,ROUND($F6/Settings!$B$11,0)*Settings!$B$11),0))</f>
        <v/>
      </c>
      <c r="H6" s="12">
        <f>IF($B6="BLOCKED","",$C6)</f>
        <v/>
      </c>
      <c r="I6" s="12">
        <f>IF($B6="BLOCKED",0,MAX(0,$G6*Settings!$B$4))</f>
        <v/>
      </c>
      <c r="J6" s="12">
        <f>IF($B6="BLOCKED",0,IFERROR(MAX(0,ROUND($I6/Settings!$B$11,0)*Settings!$B$11),0))</f>
        <v/>
      </c>
      <c r="K6" s="13" t="n">
        <v>100</v>
      </c>
      <c r="L6" s="13" t="n">
        <v>-40</v>
      </c>
      <c r="M6" s="13" t="n">
        <v>100</v>
      </c>
      <c r="N6" s="14">
        <f>IF($B6="BIG_SIDE",$G6*MAX(0,$K6)*Settings!$B$9,0)</f>
        <v/>
      </c>
      <c r="O6" s="14">
        <f>IF($B6="SMALL_SIDE",$J6*ABS($L6)*Settings!$B$9,0)</f>
        <v/>
      </c>
      <c r="P6" s="15">
        <f>IF($B6="BIG_SIDE",$J6*ABS($L6)*Settings!$B$9,0)</f>
        <v/>
      </c>
      <c r="Q6" s="15">
        <f>IF($B6="SMALL_SIDE",$AL6*ABS($K6)*Settings!$B$9,0)</f>
        <v/>
      </c>
      <c r="R6" s="15">
        <f>$AT6*$AU6</f>
        <v/>
      </c>
      <c r="S6" s="14">
        <f>IF($B6="BIG_SIDE",$N6-$P6-$R6,IF($B6="SMALL_SIDE",$O6-$Q6-$R6,0))</f>
        <v/>
      </c>
      <c r="T6" s="12">
        <f>IF(AND($B6="BIG_SIDE",$AX6&gt;0),$AX6*Settings!$B$5,0)</f>
        <v/>
      </c>
      <c r="U6" s="12">
        <f>MAX(0,$M6*Settings!$B$9)</f>
        <v/>
      </c>
      <c r="V6" s="12">
        <f>IF($B6="BIG_SIDE",IFERROR(MIN($D6,MAX(0,$T6/$U6)),0),0)</f>
        <v/>
      </c>
      <c r="W6" s="12">
        <f>IF($B6="BIG_SIDE",MAX(0,$D6-$V6),$AJ6)</f>
        <v/>
      </c>
      <c r="X6" s="19">
        <f>IF($B6="BIG_SIDE",IF($AX6&gt;0,$AX6-$AS6,0),IF($S6&gt;0,$S6*0.5,0))</f>
        <v/>
      </c>
      <c r="Y6" s="19">
        <f>$Y5+$X6</f>
        <v/>
      </c>
      <c r="Z6" s="12">
        <f>$AA5</f>
        <v/>
      </c>
      <c r="AA6" s="12">
        <f>IF($B6="BLOCKED",$Z6,IF($B6="BIG_SIDE",$Z6+$AX6-$AS6-$AZ6,IF($B6="SMALL_SIDE",$Z6+$S6+$AI6,$Z6+$S6)))</f>
        <v/>
      </c>
      <c r="AB6" s="12">
        <f>IF($B6="BLOCKED",IF(ROW()=2,0,$AG5+$AJ5),$D6+$G6+$J6)</f>
        <v/>
      </c>
      <c r="AC6" s="12">
        <f>IF($B6="BLOCKED",$AB6,IF($B6="BIG_SIDE",$W6,$AG6+$AJ6))</f>
        <v/>
      </c>
      <c r="AD6" s="12">
        <f>$AB6*Settings!$B$10</f>
        <v/>
      </c>
      <c r="AE6" s="12">
        <f>$AC6*Settings!$B$10</f>
        <v/>
      </c>
      <c r="AF6" s="12">
        <f>IF($B6="BLOCKED",IF(ROW()=2,$C6,$AF5),IF($B6="SMALL_SIDE",$E6,$C6))</f>
        <v/>
      </c>
      <c r="AG6" s="12">
        <f>IF($B6="BLOCKED",IF(ROW()=2,0,$AG5),IF($B6="SMALL_SIDE",$AM6,$W6))</f>
        <v/>
      </c>
      <c r="AH6" s="13" t="inlineStr">
        <is>
          <t>NO</t>
        </is>
      </c>
      <c r="AI6" s="13" t="n">
        <v>0</v>
      </c>
      <c r="AJ6" s="12">
        <f>IF($B6="SMALL_SIDE",MAX(0,$D6-$AV6),0)</f>
        <v/>
      </c>
      <c r="AK6" s="12">
        <f>IF(AND($AJ6&gt;0,$AG6&gt;0),TRUE,FALSE)</f>
        <v/>
      </c>
      <c r="AL6" s="12">
        <f>IF($B6="SMALL_SIDE",$G6*Settings!$B$7,IF($B6="BIG_SIDE",$G6,0))</f>
        <v/>
      </c>
      <c r="AM6" s="12">
        <f>IF($B6="SMALL_SIDE",MAX(0,$G6-$AL6),0)</f>
        <v/>
      </c>
      <c r="AN6" s="12">
        <f>IF($B6="BIG_SIDE",1,IF($B6="SMALL_SIDE",Settings!$B$7,0))</f>
        <v/>
      </c>
      <c r="AO6" s="12">
        <f>IF(OR($B6="BIG_SIDE",$B6="SMALL_SIDE"),1,0)</f>
        <v/>
      </c>
      <c r="AP6" s="12">
        <f>IF(OR($AQ6="DUAL_TAIL",$AQ6="DANGER",$AQ6="STOP"),"NO","YES")</f>
        <v/>
      </c>
      <c r="AQ6" s="12">
        <f>IF($B6="BLOCKED","STOP",IF($AK6=TRUE,"DUAL_TAIL",IF(OR(IFERROR($G6/$D6,0)&gt;Settings!$B$16,IFERROR($J6/$G6,0)&gt;Settings!$B$17,$AE6&gt;$AD6,$Y6&lt;0,$AG6&gt;$D6*1.0001,$S6&lt;-100),"DANGER",IF(OR(AND($B6="BIG_SIDE",$U6&lt;=0),$S6&lt;=0,$X6=0,$AE6&gt;$AD6*0.95),"WARNING","OK"))))</f>
        <v/>
      </c>
      <c r="AR6" s="12">
        <f>IF($B6="BLOCKED","Заблокировано: предыдущий уровень не разрешил новый полноценный уровень",IF($B6="BIG_SIDE","BIG_SIDE: Big и Small закрыты 100%; баланс учитывает RealizedFarLoss",IF($AQ6="DUAL_TAIL","SMALL_SIDE: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6" s="20">
        <f>IF($B6="BIG_SIDE",$V6*$U6,0)</f>
        <v/>
      </c>
      <c r="AT6" s="12">
        <f>IF($B6="BIG_SIDE",$G6+$J6+$V6,IF($B6="SMALL_SIDE",$J6+$AL6+$AV6,0))</f>
        <v/>
      </c>
      <c r="AU6" s="12">
        <f>Settings!$B$13+Settings!$B$14+Settings!$B$15</f>
        <v/>
      </c>
      <c r="AV6" s="12">
        <f>IF($B6="SMALL_SIDE",IF($AH6="YES",$D6,IFERROR(MIN($D6,MAX(0,$AI6/$U6)),0)),0)</f>
        <v/>
      </c>
      <c r="AW6" s="12">
        <f>IF($B6="BLOCKED","Заблокировано: предыдущий уровень не разрешил новый полноценный уровень","")</f>
        <v/>
      </c>
      <c r="AX6" s="12">
        <f>IF($B6="BIG_SIDE",$N6-$P6-$AY6,IF($B6="SMALL_SIDE",$O6-$Q6-$R6,0))</f>
        <v/>
      </c>
      <c r="AY6" s="12">
        <f>IF($B6="BIG_SIDE",($G6+$J6)*$AU6,0)</f>
        <v/>
      </c>
      <c r="AZ6" s="12">
        <f>IF($B6="BIG_SIDE",$V6*$AU6,0)</f>
        <v/>
      </c>
    </row>
    <row r="7">
      <c r="A7" s="12" t="n">
        <v>6</v>
      </c>
      <c r="B7" s="13">
        <f>IF(OR($AP6="NO",$AQ6="DUAL_TAIL",$AQ6="DANGER",$AQ6="STOP"),"BLOCKED","BIG_SIDE")</f>
        <v/>
      </c>
      <c r="C7" s="13">
        <f>IF($B7="BLOCKED",$AF6,IF($AP6="YES",$AF6,$C6))</f>
        <v/>
      </c>
      <c r="D7" s="13">
        <f>IF($B7="BLOCKED",0,IF($AP6="YES",MAX(0,$AG6),$D6))</f>
        <v/>
      </c>
      <c r="E7" s="12">
        <f>IF($B7="BLOCKED","",IF($C7="SELL","BUY","SELL"))</f>
        <v/>
      </c>
      <c r="F7" s="12">
        <f>IF($B7="BLOCKED",0,MAX(0,$D7*Settings!$B$3))</f>
        <v/>
      </c>
      <c r="G7" s="12">
        <f>IF($B7="BLOCKED",0,IFERROR(MAX(0,ROUND($F7/Settings!$B$11,0)*Settings!$B$11),0))</f>
        <v/>
      </c>
      <c r="H7" s="12">
        <f>IF($B7="BLOCKED","",$C7)</f>
        <v/>
      </c>
      <c r="I7" s="12">
        <f>IF($B7="BLOCKED",0,MAX(0,$G7*Settings!$B$4))</f>
        <v/>
      </c>
      <c r="J7" s="12">
        <f>IF($B7="BLOCKED",0,IFERROR(MAX(0,ROUND($I7/Settings!$B$11,0)*Settings!$B$11),0))</f>
        <v/>
      </c>
      <c r="K7" s="13" t="n">
        <v>100</v>
      </c>
      <c r="L7" s="13" t="n">
        <v>-40</v>
      </c>
      <c r="M7" s="13" t="n">
        <v>100</v>
      </c>
      <c r="N7" s="14">
        <f>IF($B7="BIG_SIDE",$G7*MAX(0,$K7)*Settings!$B$9,0)</f>
        <v/>
      </c>
      <c r="O7" s="14">
        <f>IF($B7="SMALL_SIDE",$J7*ABS($L7)*Settings!$B$9,0)</f>
        <v/>
      </c>
      <c r="P7" s="15">
        <f>IF($B7="BIG_SIDE",$J7*ABS($L7)*Settings!$B$9,0)</f>
        <v/>
      </c>
      <c r="Q7" s="15">
        <f>IF($B7="SMALL_SIDE",$AL7*ABS($K7)*Settings!$B$9,0)</f>
        <v/>
      </c>
      <c r="R7" s="15">
        <f>$AT7*$AU7</f>
        <v/>
      </c>
      <c r="S7" s="14">
        <f>IF($B7="BIG_SIDE",$N7-$P7-$R7,IF($B7="SMALL_SIDE",$O7-$Q7-$R7,0))</f>
        <v/>
      </c>
      <c r="T7" s="12">
        <f>IF(AND($B7="BIG_SIDE",$AX7&gt;0),$AX7*Settings!$B$5,0)</f>
        <v/>
      </c>
      <c r="U7" s="12">
        <f>MAX(0,$M7*Settings!$B$9)</f>
        <v/>
      </c>
      <c r="V7" s="12">
        <f>IF($B7="BIG_SIDE",IFERROR(MIN($D7,MAX(0,$T7/$U7)),0),0)</f>
        <v/>
      </c>
      <c r="W7" s="12">
        <f>IF($B7="BIG_SIDE",MAX(0,$D7-$V7),$AJ7)</f>
        <v/>
      </c>
      <c r="X7" s="19">
        <f>IF($B7="BIG_SIDE",IF($AX7&gt;0,$AX7-$AS7,0),IF($S7&gt;0,$S7*0.5,0))</f>
        <v/>
      </c>
      <c r="Y7" s="19">
        <f>$Y6+$X7</f>
        <v/>
      </c>
      <c r="Z7" s="12">
        <f>$AA6</f>
        <v/>
      </c>
      <c r="AA7" s="12">
        <f>IF($B7="BLOCKED",$Z7,IF($B7="BIG_SIDE",$Z7+$AX7-$AS7-$AZ7,IF($B7="SMALL_SIDE",$Z7+$S7+$AI7,$Z7+$S7)))</f>
        <v/>
      </c>
      <c r="AB7" s="12">
        <f>IF($B7="BLOCKED",IF(ROW()=2,0,$AG6+$AJ6),$D7+$G7+$J7)</f>
        <v/>
      </c>
      <c r="AC7" s="12">
        <f>IF($B7="BLOCKED",$AB7,IF($B7="BIG_SIDE",$W7,$AG7+$AJ7))</f>
        <v/>
      </c>
      <c r="AD7" s="12">
        <f>$AB7*Settings!$B$10</f>
        <v/>
      </c>
      <c r="AE7" s="12">
        <f>$AC7*Settings!$B$10</f>
        <v/>
      </c>
      <c r="AF7" s="12">
        <f>IF($B7="BLOCKED",IF(ROW()=2,$C7,$AF6),IF($B7="SMALL_SIDE",$E7,$C7))</f>
        <v/>
      </c>
      <c r="AG7" s="12">
        <f>IF($B7="BLOCKED",IF(ROW()=2,0,$AG6),IF($B7="SMALL_SIDE",$AM7,$W7))</f>
        <v/>
      </c>
      <c r="AH7" s="13" t="inlineStr">
        <is>
          <t>NO</t>
        </is>
      </c>
      <c r="AI7" s="13" t="n">
        <v>0</v>
      </c>
      <c r="AJ7" s="12">
        <f>IF($B7="SMALL_SIDE",MAX(0,$D7-$AV7),0)</f>
        <v/>
      </c>
      <c r="AK7" s="12">
        <f>IF(AND($AJ7&gt;0,$AG7&gt;0),TRUE,FALSE)</f>
        <v/>
      </c>
      <c r="AL7" s="12">
        <f>IF($B7="SMALL_SIDE",$G7*Settings!$B$7,IF($B7="BIG_SIDE",$G7,0))</f>
        <v/>
      </c>
      <c r="AM7" s="12">
        <f>IF($B7="SMALL_SIDE",MAX(0,$G7-$AL7),0)</f>
        <v/>
      </c>
      <c r="AN7" s="12">
        <f>IF($B7="BIG_SIDE",1,IF($B7="SMALL_SIDE",Settings!$B$7,0))</f>
        <v/>
      </c>
      <c r="AO7" s="12">
        <f>IF(OR($B7="BIG_SIDE",$B7="SMALL_SIDE"),1,0)</f>
        <v/>
      </c>
      <c r="AP7" s="12">
        <f>IF(OR($AQ7="DUAL_TAIL",$AQ7="DANGER",$AQ7="STOP"),"NO","YES")</f>
        <v/>
      </c>
      <c r="AQ7" s="12">
        <f>IF($B7="BLOCKED","STOP",IF($AK7=TRUE,"DUAL_TAIL",IF(OR(IFERROR($G7/$D7,0)&gt;Settings!$B$16,IFERROR($J7/$G7,0)&gt;Settings!$B$17,$AE7&gt;$AD7,$Y7&lt;0,$AG7&gt;$D7*1.0001,$S7&lt;-100),"DANGER",IF(OR(AND($B7="BIG_SIDE",$U7&lt;=0),$S7&lt;=0,$X7=0,$AE7&gt;$AD7*0.95),"WARNING","OK"))))</f>
        <v/>
      </c>
      <c r="AR7" s="12">
        <f>IF($B7="BLOCKED","Заблокировано: предыдущий уровень не разрешил новый полноценный уровень",IF($B7="BIG_SIDE","BIG_SIDE: Big и Small закрыты 100%; баланс учитывает RealizedFarLoss",IF($AQ7="DUAL_TAIL","SMALL_SIDE: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7" s="20">
        <f>IF($B7="BIG_SIDE",$V7*$U7,0)</f>
        <v/>
      </c>
      <c r="AT7" s="12">
        <f>IF($B7="BIG_SIDE",$G7+$J7+$V7,IF($B7="SMALL_SIDE",$J7+$AL7+$AV7,0))</f>
        <v/>
      </c>
      <c r="AU7" s="12">
        <f>Settings!$B$13+Settings!$B$14+Settings!$B$15</f>
        <v/>
      </c>
      <c r="AV7" s="12">
        <f>IF($B7="SMALL_SIDE",IF($AH7="YES",$D7,IFERROR(MIN($D7,MAX(0,$AI7/$U7)),0)),0)</f>
        <v/>
      </c>
      <c r="AW7" s="12">
        <f>IF($B7="BLOCKED","Заблокировано: предыдущий уровень не разрешил новый полноценный уровень","")</f>
        <v/>
      </c>
      <c r="AX7" s="12">
        <f>IF($B7="BIG_SIDE",$N7-$P7-$AY7,IF($B7="SMALL_SIDE",$O7-$Q7-$R7,0))</f>
        <v/>
      </c>
      <c r="AY7" s="12">
        <f>IF($B7="BIG_SIDE",($G7+$J7)*$AU7,0)</f>
        <v/>
      </c>
      <c r="AZ7" s="12">
        <f>IF($B7="BIG_SIDE",$V7*$AU7,0)</f>
        <v/>
      </c>
    </row>
    <row r="8">
      <c r="A8" s="12" t="n">
        <v>7</v>
      </c>
      <c r="B8" s="13">
        <f>IF(OR($AP7="NO",$AQ7="DUAL_TAIL",$AQ7="DANGER",$AQ7="STOP"),"BLOCKED","BIG_SIDE")</f>
        <v/>
      </c>
      <c r="C8" s="13">
        <f>IF($B8="BLOCKED",$AF7,IF($AP7="YES",$AF7,$C7))</f>
        <v/>
      </c>
      <c r="D8" s="13">
        <f>IF($B8="BLOCKED",0,IF($AP7="YES",MAX(0,$AG7),$D7))</f>
        <v/>
      </c>
      <c r="E8" s="12">
        <f>IF($B8="BLOCKED","",IF($C8="SELL","BUY","SELL"))</f>
        <v/>
      </c>
      <c r="F8" s="12">
        <f>IF($B8="BLOCKED",0,MAX(0,$D8*Settings!$B$3))</f>
        <v/>
      </c>
      <c r="G8" s="12">
        <f>IF($B8="BLOCKED",0,IFERROR(MAX(0,ROUND($F8/Settings!$B$11,0)*Settings!$B$11),0))</f>
        <v/>
      </c>
      <c r="H8" s="12">
        <f>IF($B8="BLOCKED","",$C8)</f>
        <v/>
      </c>
      <c r="I8" s="12">
        <f>IF($B8="BLOCKED",0,MAX(0,$G8*Settings!$B$4))</f>
        <v/>
      </c>
      <c r="J8" s="12">
        <f>IF($B8="BLOCKED",0,IFERROR(MAX(0,ROUND($I8/Settings!$B$11,0)*Settings!$B$11),0))</f>
        <v/>
      </c>
      <c r="K8" s="13" t="n">
        <v>100</v>
      </c>
      <c r="L8" s="13" t="n">
        <v>-40</v>
      </c>
      <c r="M8" s="13" t="n">
        <v>100</v>
      </c>
      <c r="N8" s="14">
        <f>IF($B8="BIG_SIDE",$G8*MAX(0,$K8)*Settings!$B$9,0)</f>
        <v/>
      </c>
      <c r="O8" s="14">
        <f>IF($B8="SMALL_SIDE",$J8*ABS($L8)*Settings!$B$9,0)</f>
        <v/>
      </c>
      <c r="P8" s="15">
        <f>IF($B8="BIG_SIDE",$J8*ABS($L8)*Settings!$B$9,0)</f>
        <v/>
      </c>
      <c r="Q8" s="15">
        <f>IF($B8="SMALL_SIDE",$AL8*ABS($K8)*Settings!$B$9,0)</f>
        <v/>
      </c>
      <c r="R8" s="15">
        <f>$AT8*$AU8</f>
        <v/>
      </c>
      <c r="S8" s="14">
        <f>IF($B8="BIG_SIDE",$N8-$P8-$R8,IF($B8="SMALL_SIDE",$O8-$Q8-$R8,0))</f>
        <v/>
      </c>
      <c r="T8" s="12">
        <f>IF(AND($B8="BIG_SIDE",$AX8&gt;0),$AX8*Settings!$B$5,0)</f>
        <v/>
      </c>
      <c r="U8" s="12">
        <f>MAX(0,$M8*Settings!$B$9)</f>
        <v/>
      </c>
      <c r="V8" s="12">
        <f>IF($B8="BIG_SIDE",IFERROR(MIN($D8,MAX(0,$T8/$U8)),0),0)</f>
        <v/>
      </c>
      <c r="W8" s="12">
        <f>IF($B8="BIG_SIDE",MAX(0,$D8-$V8),$AJ8)</f>
        <v/>
      </c>
      <c r="X8" s="19">
        <f>IF($B8="BIG_SIDE",IF($AX8&gt;0,$AX8-$AS8,0),IF($S8&gt;0,$S8*0.5,0))</f>
        <v/>
      </c>
      <c r="Y8" s="19">
        <f>$Y7+$X8</f>
        <v/>
      </c>
      <c r="Z8" s="12">
        <f>$AA7</f>
        <v/>
      </c>
      <c r="AA8" s="12">
        <f>IF($B8="BLOCKED",$Z8,IF($B8="BIG_SIDE",$Z8+$AX8-$AS8-$AZ8,IF($B8="SMALL_SIDE",$Z8+$S8+$AI8,$Z8+$S8)))</f>
        <v/>
      </c>
      <c r="AB8" s="12">
        <f>IF($B8="BLOCKED",IF(ROW()=2,0,$AG7+$AJ7),$D8+$G8+$J8)</f>
        <v/>
      </c>
      <c r="AC8" s="12">
        <f>IF($B8="BLOCKED",$AB8,IF($B8="BIG_SIDE",$W8,$AG8+$AJ8))</f>
        <v/>
      </c>
      <c r="AD8" s="12">
        <f>$AB8*Settings!$B$10</f>
        <v/>
      </c>
      <c r="AE8" s="12">
        <f>$AC8*Settings!$B$10</f>
        <v/>
      </c>
      <c r="AF8" s="12">
        <f>IF($B8="BLOCKED",IF(ROW()=2,$C8,$AF7),IF($B8="SMALL_SIDE",$E8,$C8))</f>
        <v/>
      </c>
      <c r="AG8" s="12">
        <f>IF($B8="BLOCKED",IF(ROW()=2,0,$AG7),IF($B8="SMALL_SIDE",$AM8,$W8))</f>
        <v/>
      </c>
      <c r="AH8" s="13" t="inlineStr">
        <is>
          <t>NO</t>
        </is>
      </c>
      <c r="AI8" s="13" t="n">
        <v>0</v>
      </c>
      <c r="AJ8" s="12">
        <f>IF($B8="SMALL_SIDE",MAX(0,$D8-$AV8),0)</f>
        <v/>
      </c>
      <c r="AK8" s="12">
        <f>IF(AND($AJ8&gt;0,$AG8&gt;0),TRUE,FALSE)</f>
        <v/>
      </c>
      <c r="AL8" s="12">
        <f>IF($B8="SMALL_SIDE",$G8*Settings!$B$7,IF($B8="BIG_SIDE",$G8,0))</f>
        <v/>
      </c>
      <c r="AM8" s="12">
        <f>IF($B8="SMALL_SIDE",MAX(0,$G8-$AL8),0)</f>
        <v/>
      </c>
      <c r="AN8" s="12">
        <f>IF($B8="BIG_SIDE",1,IF($B8="SMALL_SIDE",Settings!$B$7,0))</f>
        <v/>
      </c>
      <c r="AO8" s="12">
        <f>IF(OR($B8="BIG_SIDE",$B8="SMALL_SIDE"),1,0)</f>
        <v/>
      </c>
      <c r="AP8" s="12">
        <f>IF(OR($AQ8="DUAL_TAIL",$AQ8="DANGER",$AQ8="STOP"),"NO","YES")</f>
        <v/>
      </c>
      <c r="AQ8" s="12">
        <f>IF($B8="BLOCKED","STOP",IF($AK8=TRUE,"DUAL_TAIL",IF(OR(IFERROR($G8/$D8,0)&gt;Settings!$B$16,IFERROR($J8/$G8,0)&gt;Settings!$B$17,$AE8&gt;$AD8,$Y8&lt;0,$AG8&gt;$D8*1.0001,$S8&lt;-100),"DANGER",IF(OR(AND($B8="BIG_SIDE",$U8&lt;=0),$S8&lt;=0,$X8=0,$AE8&gt;$AD8*0.95),"WARNING","OK"))))</f>
        <v/>
      </c>
      <c r="AR8" s="12">
        <f>IF($B8="BLOCKED","Заблокировано: предыдущий уровень не разрешил новый полноценный уровень",IF($B8="BIG_SIDE","BIG_SIDE: Big и Small закрыты 100%; баланс учитывает RealizedFarLoss",IF($AQ8="DUAL_TAIL","SMALL_SIDE: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8" s="20">
        <f>IF($B8="BIG_SIDE",$V8*$U8,0)</f>
        <v/>
      </c>
      <c r="AT8" s="12">
        <f>IF($B8="BIG_SIDE",$G8+$J8+$V8,IF($B8="SMALL_SIDE",$J8+$AL8+$AV8,0))</f>
        <v/>
      </c>
      <c r="AU8" s="12">
        <f>Settings!$B$13+Settings!$B$14+Settings!$B$15</f>
        <v/>
      </c>
      <c r="AV8" s="12">
        <f>IF($B8="SMALL_SIDE",IF($AH8="YES",$D8,IFERROR(MIN($D8,MAX(0,$AI8/$U8)),0)),0)</f>
        <v/>
      </c>
      <c r="AW8" s="12">
        <f>IF($B8="BLOCKED","Заблокировано: предыдущий уровень не разрешил новый полноценный уровень","")</f>
        <v/>
      </c>
      <c r="AX8" s="12">
        <f>IF($B8="BIG_SIDE",$N8-$P8-$AY8,IF($B8="SMALL_SIDE",$O8-$Q8-$R8,0))</f>
        <v/>
      </c>
      <c r="AY8" s="12">
        <f>IF($B8="BIG_SIDE",($G8+$J8)*$AU8,0)</f>
        <v/>
      </c>
      <c r="AZ8" s="12">
        <f>IF($B8="BIG_SIDE",$V8*$AU8,0)</f>
        <v/>
      </c>
    </row>
    <row r="9">
      <c r="A9" s="12" t="n">
        <v>8</v>
      </c>
      <c r="B9" s="13">
        <f>IF(OR($AP8="NO",$AQ8="DUAL_TAIL",$AQ8="DANGER",$AQ8="STOP"),"BLOCKED","SMALL_SIDE")</f>
        <v/>
      </c>
      <c r="C9" s="13">
        <f>IF($B9="BLOCKED",$AF8,IF($AP8="YES",$AF8,$C8))</f>
        <v/>
      </c>
      <c r="D9" s="13">
        <f>IF($B9="BLOCKED",0,IF($AP8="YES",MAX(0,$AG8),$D8))</f>
        <v/>
      </c>
      <c r="E9" s="12">
        <f>IF($B9="BLOCKED","",IF($C9="SELL","BUY","SELL"))</f>
        <v/>
      </c>
      <c r="F9" s="12">
        <f>IF($B9="BLOCKED",0,MAX(0,$D9*Settings!$B$3))</f>
        <v/>
      </c>
      <c r="G9" s="12">
        <f>IF($B9="BLOCKED",0,IFERROR(MAX(0,ROUND($F9/Settings!$B$11,0)*Settings!$B$11),0))</f>
        <v/>
      </c>
      <c r="H9" s="12">
        <f>IF($B9="BLOCKED","",$C9)</f>
        <v/>
      </c>
      <c r="I9" s="12">
        <f>IF($B9="BLOCKED",0,MAX(0,$G9*Settings!$B$4))</f>
        <v/>
      </c>
      <c r="J9" s="12">
        <f>IF($B9="BLOCKED",0,IFERROR(MAX(0,ROUND($I9/Settings!$B$11,0)*Settings!$B$11),0))</f>
        <v/>
      </c>
      <c r="K9" s="13" t="n">
        <v>80</v>
      </c>
      <c r="L9" s="13" t="n">
        <v>60</v>
      </c>
      <c r="M9" s="13" t="n">
        <v>100</v>
      </c>
      <c r="N9" s="14">
        <f>IF($B9="BIG_SIDE",$G9*MAX(0,$K9)*Settings!$B$9,0)</f>
        <v/>
      </c>
      <c r="O9" s="14">
        <f>IF($B9="SMALL_SIDE",$J9*ABS($L9)*Settings!$B$9,0)</f>
        <v/>
      </c>
      <c r="P9" s="15">
        <f>IF($B9="BIG_SIDE",$J9*ABS($L9)*Settings!$B$9,0)</f>
        <v/>
      </c>
      <c r="Q9" s="15">
        <f>IF($B9="SMALL_SIDE",$AL9*ABS($K9)*Settings!$B$9,0)</f>
        <v/>
      </c>
      <c r="R9" s="15">
        <f>$AT9*$AU9</f>
        <v/>
      </c>
      <c r="S9" s="14">
        <f>IF($B9="BIG_SIDE",$N9-$P9-$R9,IF($B9="SMALL_SIDE",$O9-$Q9-$R9,0))</f>
        <v/>
      </c>
      <c r="T9" s="12">
        <f>IF(AND($B9="BIG_SIDE",$AX9&gt;0),$AX9*Settings!$B$5,0)</f>
        <v/>
      </c>
      <c r="U9" s="12">
        <f>MAX(0,$M9*Settings!$B$9)</f>
        <v/>
      </c>
      <c r="V9" s="12">
        <f>IF($B9="BIG_SIDE",IFERROR(MIN($D9,MAX(0,$T9/$U9)),0),0)</f>
        <v/>
      </c>
      <c r="W9" s="12">
        <f>IF($B9="BIG_SIDE",MAX(0,$D9-$V9),$AJ9)</f>
        <v/>
      </c>
      <c r="X9" s="19">
        <f>IF($B9="BIG_SIDE",IF($AX9&gt;0,$AX9-$AS9,0),IF($S9&gt;0,$S9*0.5,0))</f>
        <v/>
      </c>
      <c r="Y9" s="19">
        <f>$Y8+$X9</f>
        <v/>
      </c>
      <c r="Z9" s="12">
        <f>$AA8</f>
        <v/>
      </c>
      <c r="AA9" s="12">
        <f>IF($B9="BLOCKED",$Z9,IF($B9="BIG_SIDE",$Z9+$AX9-$AS9-$AZ9,IF($B9="SMALL_SIDE",$Z9+$S9+$AI9,$Z9+$S9)))</f>
        <v/>
      </c>
      <c r="AB9" s="12">
        <f>IF($B9="BLOCKED",IF(ROW()=2,0,$AG8+$AJ8),$D9+$G9+$J9)</f>
        <v/>
      </c>
      <c r="AC9" s="12">
        <f>IF($B9="BLOCKED",$AB9,IF($B9="BIG_SIDE",$W9,$AG9+$AJ9))</f>
        <v/>
      </c>
      <c r="AD9" s="12">
        <f>$AB9*Settings!$B$10</f>
        <v/>
      </c>
      <c r="AE9" s="12">
        <f>$AC9*Settings!$B$10</f>
        <v/>
      </c>
      <c r="AF9" s="12">
        <f>IF($B9="BLOCKED",IF(ROW()=2,$C9,$AF8),IF($B9="SMALL_SIDE",$E9,$C9))</f>
        <v/>
      </c>
      <c r="AG9" s="12">
        <f>IF($B9="BLOCKED",IF(ROW()=2,0,$AG8),IF($B9="SMALL_SIDE",$AM9,$W9))</f>
        <v/>
      </c>
      <c r="AH9" s="13" t="inlineStr">
        <is>
          <t>NO</t>
        </is>
      </c>
      <c r="AI9" s="13" t="n">
        <v>0</v>
      </c>
      <c r="AJ9" s="12">
        <f>IF($B9="SMALL_SIDE",MAX(0,$D9-$AV9),0)</f>
        <v/>
      </c>
      <c r="AK9" s="12">
        <f>IF(AND($AJ9&gt;0,$AG9&gt;0),TRUE,FALSE)</f>
        <v/>
      </c>
      <c r="AL9" s="12">
        <f>IF($B9="SMALL_SIDE",$G9*Settings!$B$7,IF($B9="BIG_SIDE",$G9,0))</f>
        <v/>
      </c>
      <c r="AM9" s="12">
        <f>IF($B9="SMALL_SIDE",MAX(0,$G9-$AL9),0)</f>
        <v/>
      </c>
      <c r="AN9" s="12">
        <f>IF($B9="BIG_SIDE",1,IF($B9="SMALL_SIDE",Settings!$B$7,0))</f>
        <v/>
      </c>
      <c r="AO9" s="12">
        <f>IF(OR($B9="BIG_SIDE",$B9="SMALL_SIDE"),1,0)</f>
        <v/>
      </c>
      <c r="AP9" s="12">
        <f>IF(OR($AQ9="DUAL_TAIL",$AQ9="DANGER",$AQ9="STOP"),"NO","YES")</f>
        <v/>
      </c>
      <c r="AQ9" s="12">
        <f>IF($B9="BLOCKED","STOP",IF($AK9=TRUE,"DUAL_TAIL",IF(OR(IFERROR($G9/$D9,0)&gt;Settings!$B$16,IFERROR($J9/$G9,0)&gt;Settings!$B$17,$AE9&gt;$AD9,$Y9&lt;0,$AG9&gt;$D9*1.0001,$S9&lt;-100),"DANGER",IF(OR(AND($B9="BIG_SIDE",$U9&lt;=0),$S9&lt;=0,$X9=0,$AE9&gt;$AD9*0.95),"WARNING","OK"))))</f>
        <v/>
      </c>
      <c r="AR9" s="12">
        <f>IF($B9="BLOCKED","Заблокировано: предыдущий уровень не разрешил новый полноценный уровень",IF($B9="BIG_SIDE","BIG_SIDE: Big и Small закрыты 100%; баланс учитывает RealizedFarLoss",IF($AQ9="DUAL_TAIL","SMALL_SIDE: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9" s="20">
        <f>IF($B9="BIG_SIDE",$V9*$U9,0)</f>
        <v/>
      </c>
      <c r="AT9" s="12">
        <f>IF($B9="BIG_SIDE",$G9+$J9+$V9,IF($B9="SMALL_SIDE",$J9+$AL9+$AV9,0))</f>
        <v/>
      </c>
      <c r="AU9" s="12">
        <f>Settings!$B$13+Settings!$B$14+Settings!$B$15</f>
        <v/>
      </c>
      <c r="AV9" s="12">
        <f>IF($B9="SMALL_SIDE",IF($AH9="YES",$D9,IFERROR(MIN($D9,MAX(0,$AI9/$U9)),0)),0)</f>
        <v/>
      </c>
      <c r="AW9" s="12">
        <f>IF($B9="BLOCKED","Заблокировано: предыдущий уровень не разрешил новый полноценный уровень","")</f>
        <v/>
      </c>
      <c r="AX9" s="12">
        <f>IF($B9="BIG_SIDE",$N9-$P9-$AY9,IF($B9="SMALL_SIDE",$O9-$Q9-$R9,0))</f>
        <v/>
      </c>
      <c r="AY9" s="12">
        <f>IF($B9="BIG_SIDE",($G9+$J9)*$AU9,0)</f>
        <v/>
      </c>
      <c r="AZ9" s="12">
        <f>IF($B9="BIG_SIDE",$V9*$AU9,0)</f>
        <v/>
      </c>
    </row>
    <row r="10">
      <c r="A10" s="12" t="n">
        <v>9</v>
      </c>
      <c r="B10" s="13">
        <f>IF(OR($AP9="NO",$AQ9="DUAL_TAIL",$AQ9="DANGER",$AQ9="STOP"),"BLOCKED","BIG_SIDE")</f>
        <v/>
      </c>
      <c r="C10" s="13">
        <f>IF($B10="BLOCKED",$AF9,IF($AP9="YES",$AF9,$C9))</f>
        <v/>
      </c>
      <c r="D10" s="13">
        <f>IF($B10="BLOCKED",0,IF($AP9="YES",MAX(0,$AG9),$D9))</f>
        <v/>
      </c>
      <c r="E10" s="12">
        <f>IF($B10="BLOCKED","",IF($C10="SELL","BUY","SELL"))</f>
        <v/>
      </c>
      <c r="F10" s="12">
        <f>IF($B10="BLOCKED",0,MAX(0,$D10*Settings!$B$3))</f>
        <v/>
      </c>
      <c r="G10" s="12">
        <f>IF($B10="BLOCKED",0,IFERROR(MAX(0,ROUND($F10/Settings!$B$11,0)*Settings!$B$11),0))</f>
        <v/>
      </c>
      <c r="H10" s="12">
        <f>IF($B10="BLOCKED","",$C10)</f>
        <v/>
      </c>
      <c r="I10" s="12">
        <f>IF($B10="BLOCKED",0,MAX(0,$G10*Settings!$B$4))</f>
        <v/>
      </c>
      <c r="J10" s="12">
        <f>IF($B10="BLOCKED",0,IFERROR(MAX(0,ROUND($I10/Settings!$B$11,0)*Settings!$B$11),0))</f>
        <v/>
      </c>
      <c r="K10" s="13" t="n">
        <v>100</v>
      </c>
      <c r="L10" s="13" t="n">
        <v>-40</v>
      </c>
      <c r="M10" s="13" t="n">
        <v>100</v>
      </c>
      <c r="N10" s="14">
        <f>IF($B10="BIG_SIDE",$G10*MAX(0,$K10)*Settings!$B$9,0)</f>
        <v/>
      </c>
      <c r="O10" s="14">
        <f>IF($B10="SMALL_SIDE",$J10*ABS($L10)*Settings!$B$9,0)</f>
        <v/>
      </c>
      <c r="P10" s="15">
        <f>IF($B10="BIG_SIDE",$J10*ABS($L10)*Settings!$B$9,0)</f>
        <v/>
      </c>
      <c r="Q10" s="15">
        <f>IF($B10="SMALL_SIDE",$AL10*ABS($K10)*Settings!$B$9,0)</f>
        <v/>
      </c>
      <c r="R10" s="15">
        <f>$AT10*$AU10</f>
        <v/>
      </c>
      <c r="S10" s="14">
        <f>IF($B10="BIG_SIDE",$N10-$P10-$R10,IF($B10="SMALL_SIDE",$O10-$Q10-$R10,0))</f>
        <v/>
      </c>
      <c r="T10" s="12">
        <f>IF(AND($B10="BIG_SIDE",$AX10&gt;0),$AX10*Settings!$B$5,0)</f>
        <v/>
      </c>
      <c r="U10" s="12">
        <f>MAX(0,$M10*Settings!$B$9)</f>
        <v/>
      </c>
      <c r="V10" s="12">
        <f>IF($B10="BIG_SIDE",IFERROR(MIN($D10,MAX(0,$T10/$U10)),0),0)</f>
        <v/>
      </c>
      <c r="W10" s="12">
        <f>IF($B10="BIG_SIDE",MAX(0,$D10-$V10),$AJ10)</f>
        <v/>
      </c>
      <c r="X10" s="19">
        <f>IF($B10="BIG_SIDE",IF($AX10&gt;0,$AX10-$AS10,0),IF($S10&gt;0,$S10*0.5,0))</f>
        <v/>
      </c>
      <c r="Y10" s="19">
        <f>$Y9+$X10</f>
        <v/>
      </c>
      <c r="Z10" s="12">
        <f>$AA9</f>
        <v/>
      </c>
      <c r="AA10" s="12">
        <f>IF($B10="BLOCKED",$Z10,IF($B10="BIG_SIDE",$Z10+$AX10-$AS10-$AZ10,IF($B10="SMALL_SIDE",$Z10+$S10+$AI10,$Z10+$S10)))</f>
        <v/>
      </c>
      <c r="AB10" s="12">
        <f>IF($B10="BLOCKED",IF(ROW()=2,0,$AG9+$AJ9),$D10+$G10+$J10)</f>
        <v/>
      </c>
      <c r="AC10" s="12">
        <f>IF($B10="BLOCKED",$AB10,IF($B10="BIG_SIDE",$W10,$AG10+$AJ10))</f>
        <v/>
      </c>
      <c r="AD10" s="12">
        <f>$AB10*Settings!$B$10</f>
        <v/>
      </c>
      <c r="AE10" s="12">
        <f>$AC10*Settings!$B$10</f>
        <v/>
      </c>
      <c r="AF10" s="12">
        <f>IF($B10="BLOCKED",IF(ROW()=2,$C10,$AF9),IF($B10="SMALL_SIDE",$E10,$C10))</f>
        <v/>
      </c>
      <c r="AG10" s="12">
        <f>IF($B10="BLOCKED",IF(ROW()=2,0,$AG9),IF($B10="SMALL_SIDE",$AM10,$W10))</f>
        <v/>
      </c>
      <c r="AH10" s="13" t="inlineStr">
        <is>
          <t>NO</t>
        </is>
      </c>
      <c r="AI10" s="13" t="n">
        <v>0</v>
      </c>
      <c r="AJ10" s="12">
        <f>IF($B10="SMALL_SIDE",MAX(0,$D10-$AV10),0)</f>
        <v/>
      </c>
      <c r="AK10" s="12">
        <f>IF(AND($AJ10&gt;0,$AG10&gt;0),TRUE,FALSE)</f>
        <v/>
      </c>
      <c r="AL10" s="12">
        <f>IF($B10="SMALL_SIDE",$G10*Settings!$B$7,IF($B10="BIG_SIDE",$G10,0))</f>
        <v/>
      </c>
      <c r="AM10" s="12">
        <f>IF($B10="SMALL_SIDE",MAX(0,$G10-$AL10),0)</f>
        <v/>
      </c>
      <c r="AN10" s="12">
        <f>IF($B10="BIG_SIDE",1,IF($B10="SMALL_SIDE",Settings!$B$7,0))</f>
        <v/>
      </c>
      <c r="AO10" s="12">
        <f>IF(OR($B10="BIG_SIDE",$B10="SMALL_SIDE"),1,0)</f>
        <v/>
      </c>
      <c r="AP10" s="12">
        <f>IF(OR($AQ10="DUAL_TAIL",$AQ10="DANGER",$AQ10="STOP"),"NO","YES")</f>
        <v/>
      </c>
      <c r="AQ10" s="12">
        <f>IF($B10="BLOCKED","STOP",IF($AK10=TRUE,"DUAL_TAIL",IF(OR(IFERROR($G10/$D10,0)&gt;Settings!$B$16,IFERROR($J10/$G10,0)&gt;Settings!$B$17,$AE10&gt;$AD10,$Y10&lt;0,$AG10&gt;$D10*1.0001,$S10&lt;-100),"DANGER",IF(OR(AND($B10="BIG_SIDE",$U10&lt;=0),$S10&lt;=0,$X10=0,$AE10&gt;$AD10*0.95),"WARNING","OK"))))</f>
        <v/>
      </c>
      <c r="AR10" s="12">
        <f>IF($B10="BLOCKED","Заблокировано: предыдущий уровень не разрешил новый полноценный уровень",IF($B10="BIG_SIDE","BIG_SIDE: Big и Small закрыты 100%; баланс учитывает RealizedFarLoss",IF($AQ10="DUAL_TAIL","SMALL_SIDE: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10" s="20">
        <f>IF($B10="BIG_SIDE",$V10*$U10,0)</f>
        <v/>
      </c>
      <c r="AT10" s="12">
        <f>IF($B10="BIG_SIDE",$G10+$J10+$V10,IF($B10="SMALL_SIDE",$J10+$AL10+$AV10,0))</f>
        <v/>
      </c>
      <c r="AU10" s="12">
        <f>Settings!$B$13+Settings!$B$14+Settings!$B$15</f>
        <v/>
      </c>
      <c r="AV10" s="12">
        <f>IF($B10="SMALL_SIDE",IF($AH10="YES",$D10,IFERROR(MIN($D10,MAX(0,$AI10/$U10)),0)),0)</f>
        <v/>
      </c>
      <c r="AW10" s="12">
        <f>IF($B10="BLOCKED","Заблокировано: предыдущий уровень не разрешил новый полноценный уровень","")</f>
        <v/>
      </c>
      <c r="AX10" s="12">
        <f>IF($B10="BIG_SIDE",$N10-$P10-$AY10,IF($B10="SMALL_SIDE",$O10-$Q10-$R10,0))</f>
        <v/>
      </c>
      <c r="AY10" s="12">
        <f>IF($B10="BIG_SIDE",($G10+$J10)*$AU10,0)</f>
        <v/>
      </c>
      <c r="AZ10" s="12">
        <f>IF($B10="BIG_SIDE",$V10*$AU10,0)</f>
        <v/>
      </c>
    </row>
    <row r="11">
      <c r="A11" s="12" t="n">
        <v>10</v>
      </c>
      <c r="B11" s="13">
        <f>IF(OR($AP10="NO",$AQ10="DUAL_TAIL",$AQ10="DANGER",$AQ10="STOP"),"BLOCKED","BIG_SIDE")</f>
        <v/>
      </c>
      <c r="C11" s="13">
        <f>IF($B11="BLOCKED",$AF10,IF($AP10="YES",$AF10,$C10))</f>
        <v/>
      </c>
      <c r="D11" s="13">
        <f>IF($B11="BLOCKED",0,IF($AP10="YES",MAX(0,$AG10),$D10))</f>
        <v/>
      </c>
      <c r="E11" s="12">
        <f>IF($B11="BLOCKED","",IF($C11="SELL","BUY","SELL"))</f>
        <v/>
      </c>
      <c r="F11" s="12">
        <f>IF($B11="BLOCKED",0,MAX(0,$D11*Settings!$B$3))</f>
        <v/>
      </c>
      <c r="G11" s="12">
        <f>IF($B11="BLOCKED",0,IFERROR(MAX(0,ROUND($F11/Settings!$B$11,0)*Settings!$B$11),0))</f>
        <v/>
      </c>
      <c r="H11" s="12">
        <f>IF($B11="BLOCKED","",$C11)</f>
        <v/>
      </c>
      <c r="I11" s="12">
        <f>IF($B11="BLOCKED",0,MAX(0,$G11*Settings!$B$4))</f>
        <v/>
      </c>
      <c r="J11" s="12">
        <f>IF($B11="BLOCKED",0,IFERROR(MAX(0,ROUND($I11/Settings!$B$11,0)*Settings!$B$11),0))</f>
        <v/>
      </c>
      <c r="K11" s="13" t="n">
        <v>100</v>
      </c>
      <c r="L11" s="13" t="n">
        <v>-40</v>
      </c>
      <c r="M11" s="13" t="n">
        <v>100</v>
      </c>
      <c r="N11" s="14">
        <f>IF($B11="BIG_SIDE",$G11*MAX(0,$K11)*Settings!$B$9,0)</f>
        <v/>
      </c>
      <c r="O11" s="14">
        <f>IF($B11="SMALL_SIDE",$J11*ABS($L11)*Settings!$B$9,0)</f>
        <v/>
      </c>
      <c r="P11" s="15">
        <f>IF($B11="BIG_SIDE",$J11*ABS($L11)*Settings!$B$9,0)</f>
        <v/>
      </c>
      <c r="Q11" s="15">
        <f>IF($B11="SMALL_SIDE",$AL11*ABS($K11)*Settings!$B$9,0)</f>
        <v/>
      </c>
      <c r="R11" s="15">
        <f>$AT11*$AU11</f>
        <v/>
      </c>
      <c r="S11" s="14">
        <f>IF($B11="BIG_SIDE",$N11-$P11-$R11,IF($B11="SMALL_SIDE",$O11-$Q11-$R11,0))</f>
        <v/>
      </c>
      <c r="T11" s="12">
        <f>IF(AND($B11="BIG_SIDE",$AX11&gt;0),$AX11*Settings!$B$5,0)</f>
        <v/>
      </c>
      <c r="U11" s="12">
        <f>MAX(0,$M11*Settings!$B$9)</f>
        <v/>
      </c>
      <c r="V11" s="12">
        <f>IF($B11="BIG_SIDE",IFERROR(MIN($D11,MAX(0,$T11/$U11)),0),0)</f>
        <v/>
      </c>
      <c r="W11" s="12">
        <f>IF($B11="BIG_SIDE",MAX(0,$D11-$V11),$AJ11)</f>
        <v/>
      </c>
      <c r="X11" s="19">
        <f>IF($B11="BIG_SIDE",IF($AX11&gt;0,$AX11-$AS11,0),IF($S11&gt;0,$S11*0.5,0))</f>
        <v/>
      </c>
      <c r="Y11" s="19">
        <f>$Y10+$X11</f>
        <v/>
      </c>
      <c r="Z11" s="12">
        <f>$AA10</f>
        <v/>
      </c>
      <c r="AA11" s="12">
        <f>IF($B11="BLOCKED",$Z11,IF($B11="BIG_SIDE",$Z11+$AX11-$AS11-$AZ11,IF($B11="SMALL_SIDE",$Z11+$S11+$AI11,$Z11+$S11)))</f>
        <v/>
      </c>
      <c r="AB11" s="12">
        <f>IF($B11="BLOCKED",IF(ROW()=2,0,$AG10+$AJ10),$D11+$G11+$J11)</f>
        <v/>
      </c>
      <c r="AC11" s="12">
        <f>IF($B11="BLOCKED",$AB11,IF($B11="BIG_SIDE",$W11,$AG11+$AJ11))</f>
        <v/>
      </c>
      <c r="AD11" s="12">
        <f>$AB11*Settings!$B$10</f>
        <v/>
      </c>
      <c r="AE11" s="12">
        <f>$AC11*Settings!$B$10</f>
        <v/>
      </c>
      <c r="AF11" s="12">
        <f>IF($B11="BLOCKED",IF(ROW()=2,$C11,$AF10),IF($B11="SMALL_SIDE",$E11,$C11))</f>
        <v/>
      </c>
      <c r="AG11" s="12">
        <f>IF($B11="BLOCKED",IF(ROW()=2,0,$AG10),IF($B11="SMALL_SIDE",$AM11,$W11))</f>
        <v/>
      </c>
      <c r="AH11" s="13" t="inlineStr">
        <is>
          <t>NO</t>
        </is>
      </c>
      <c r="AI11" s="13" t="n">
        <v>0</v>
      </c>
      <c r="AJ11" s="12">
        <f>IF($B11="SMALL_SIDE",MAX(0,$D11-$AV11),0)</f>
        <v/>
      </c>
      <c r="AK11" s="12">
        <f>IF(AND($AJ11&gt;0,$AG11&gt;0),TRUE,FALSE)</f>
        <v/>
      </c>
      <c r="AL11" s="12">
        <f>IF($B11="SMALL_SIDE",$G11*Settings!$B$7,IF($B11="BIG_SIDE",$G11,0))</f>
        <v/>
      </c>
      <c r="AM11" s="12">
        <f>IF($B11="SMALL_SIDE",MAX(0,$G11-$AL11),0)</f>
        <v/>
      </c>
      <c r="AN11" s="12">
        <f>IF($B11="BIG_SIDE",1,IF($B11="SMALL_SIDE",Settings!$B$7,0))</f>
        <v/>
      </c>
      <c r="AO11" s="12">
        <f>IF(OR($B11="BIG_SIDE",$B11="SMALL_SIDE"),1,0)</f>
        <v/>
      </c>
      <c r="AP11" s="12">
        <f>IF(OR($AQ11="DUAL_TAIL",$AQ11="DANGER",$AQ11="STOP"),"NO","YES")</f>
        <v/>
      </c>
      <c r="AQ11" s="12">
        <f>IF($B11="BLOCKED","STOP",IF($AK11=TRUE,"DUAL_TAIL",IF(OR(IFERROR($G11/$D11,0)&gt;Settings!$B$16,IFERROR($J11/$G11,0)&gt;Settings!$B$17,$AE11&gt;$AD11,$Y11&lt;0,$AG11&gt;$D11*1.0001,$S11&lt;-100),"DANGER",IF(OR(AND($B11="BIG_SIDE",$U11&lt;=0),$S11&lt;=0,$X11=0,$AE11&gt;$AD11*0.95),"WARNING","OK"))))</f>
        <v/>
      </c>
      <c r="AR11" s="12">
        <f>IF($B11="BLOCKED","Заблокировано: предыдущий уровень не разрешил новый полноценный уровень",IF($B11="BIG_SIDE","BIG_SIDE: Big и Small закрыты 100%; баланс учитывает RealizedFarLoss",IF($AQ11="DUAL_TAIL","SMALL_SIDE: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11" s="20">
        <f>IF($B11="BIG_SIDE",$V11*$U11,0)</f>
        <v/>
      </c>
      <c r="AT11" s="12">
        <f>IF($B11="BIG_SIDE",$G11+$J11+$V11,IF($B11="SMALL_SIDE",$J11+$AL11+$AV11,0))</f>
        <v/>
      </c>
      <c r="AU11" s="12">
        <f>Settings!$B$13+Settings!$B$14+Settings!$B$15</f>
        <v/>
      </c>
      <c r="AV11" s="12">
        <f>IF($B11="SMALL_SIDE",IF($AH11="YES",$D11,IFERROR(MIN($D11,MAX(0,$AI11/$U11)),0)),0)</f>
        <v/>
      </c>
      <c r="AW11" s="12">
        <f>IF($B11="BLOCKED","Заблокировано: предыдущий уровень не разрешил новый полноценный уровень","")</f>
        <v/>
      </c>
      <c r="AX11" s="12">
        <f>IF($B11="BIG_SIDE",$N11-$P11-$AY11,IF($B11="SMALL_SIDE",$O11-$Q11-$R11,0))</f>
        <v/>
      </c>
      <c r="AY11" s="12">
        <f>IF($B11="BIG_SIDE",($G11+$J11)*$AU11,0)</f>
        <v/>
      </c>
      <c r="AZ11" s="12">
        <f>IF($B11="BIG_SIDE",$V11*$AU11,0)</f>
        <v/>
      </c>
    </row>
  </sheetData>
  <autoFilter ref="A1:AZ11"/>
  <conditionalFormatting sqref="AQ2:AQ11">
    <cfRule type="expression" priority="1" dxfId="0">
      <formula>$AQ2="WARNING"</formula>
    </cfRule>
    <cfRule type="expression" priority="2" dxfId="1">
      <formula>$AQ2="DUAL_TAIL"</formula>
    </cfRule>
    <cfRule type="expression" priority="3" dxfId="2">
      <formula>$AQ2="DANGER"</formula>
    </cfRule>
    <cfRule type="expression" priority="4" dxfId="3">
      <formula>$AQ2="STOP"</formula>
    </cfRule>
  </conditionalFormatting>
  <dataValidations count="3">
    <dataValidation sqref="B2 B3 B4 B5 B6 B7 B8 B9 B10 B11" showDropDown="0" showInputMessage="0" showErrorMessage="0" allowBlank="0" type="list">
      <formula1>"BIG_SIDE,SMALL_SIDE"</formula1>
    </dataValidation>
    <dataValidation sqref="C2 C3 C4 C5 C6 C7 C8 C9 C10 C11" showDropDown="0" showInputMessage="0" showErrorMessage="0" allowBlank="0" type="list">
      <formula1>"BUY,SELL"</formula1>
    </dataValidation>
    <dataValidation sqref="AH2 AH3 AH4 AH5 AH6 AH7 AH8 AH9 AH10 AH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55" customWidth="1" min="44" max="44"/>
    <col width="18" customWidth="1" min="45" max="45"/>
    <col width="18" customWidth="1" min="46" max="46"/>
    <col width="18" customWidth="1" min="47" max="47"/>
    <col width="18" customWidth="1" min="48" max="48"/>
    <col width="50" customWidth="1" min="49" max="49"/>
    <col width="18" customWidth="1" min="50" max="50"/>
    <col width="18" customWidth="1" min="51" max="51"/>
    <col width="18" customWidth="1" min="52" max="52"/>
  </cols>
  <sheetData>
    <row r="1">
      <c r="A1" s="1" t="inlineStr">
        <is>
          <t>Level</t>
        </is>
      </c>
      <c r="B1" s="1" t="inlineStr">
        <is>
          <t>Scenario</t>
        </is>
      </c>
      <c r="C1" s="1" t="inlineStr">
        <is>
          <t>FarDirection</t>
        </is>
      </c>
      <c r="D1" s="1" t="inlineStr">
        <is>
          <t>FarStartLot</t>
        </is>
      </c>
      <c r="E1" s="1" t="inlineStr">
        <is>
          <t>BigDirection</t>
        </is>
      </c>
      <c r="F1" s="1" t="inlineStr">
        <is>
          <t>BigLotRaw</t>
        </is>
      </c>
      <c r="G1" s="1" t="inlineStr">
        <is>
          <t>BigLot</t>
        </is>
      </c>
      <c r="H1" s="1" t="inlineStr">
        <is>
          <t>SmallDirection</t>
        </is>
      </c>
      <c r="I1" s="1" t="inlineStr">
        <is>
          <t>SmallLotRaw</t>
        </is>
      </c>
      <c r="J1" s="1" t="inlineStr">
        <is>
          <t>SmallLot</t>
        </is>
      </c>
      <c r="K1" s="1" t="inlineStr">
        <is>
          <t>BigProfitPoints</t>
        </is>
      </c>
      <c r="L1" s="1" t="inlineStr">
        <is>
          <t>SmallPoints</t>
        </is>
      </c>
      <c r="M1" s="1" t="inlineStr">
        <is>
          <t>FarLossPoints</t>
        </is>
      </c>
      <c r="N1" s="1" t="inlineStr">
        <is>
          <t>ProfitBig</t>
        </is>
      </c>
      <c r="O1" s="1" t="inlineStr">
        <is>
          <t>ProfitSmall</t>
        </is>
      </c>
      <c r="P1" s="1" t="inlineStr">
        <is>
          <t>LossSmall</t>
        </is>
      </c>
      <c r="Q1" s="1" t="inlineStr">
        <is>
          <t>LossClosedBig</t>
        </is>
      </c>
      <c r="R1" s="1" t="inlineStr">
        <is>
          <t>Costs</t>
        </is>
      </c>
      <c r="S1" s="1" t="inlineStr">
        <is>
          <t>NetProfit</t>
        </is>
      </c>
      <c r="T1" s="1" t="inlineStr">
        <is>
          <t>CloseFarBudget</t>
        </is>
      </c>
      <c r="U1" s="1" t="inlineStr">
        <is>
          <t>LossPerLotToClose</t>
        </is>
      </c>
      <c r="V1" s="1" t="inlineStr">
        <is>
          <t>CloseFarLot</t>
        </is>
      </c>
      <c r="W1" s="1" t="inlineStr">
        <is>
          <t>FarRemainLot</t>
        </is>
      </c>
      <c r="X1" s="1" t="inlineStr">
        <is>
          <t>ReserveAdd</t>
        </is>
      </c>
      <c r="Y1" s="1" t="inlineStr">
        <is>
          <t>TotalReserve</t>
        </is>
      </c>
      <c r="Z1" s="1" t="inlineStr">
        <is>
          <t>BalanceBefore</t>
        </is>
      </c>
      <c r="AA1" s="1" t="inlineStr">
        <is>
          <t>BalanceAfter</t>
        </is>
      </c>
      <c r="AB1" s="1" t="inlineStr">
        <is>
          <t>OpenLotsBefore</t>
        </is>
      </c>
      <c r="AC1" s="1" t="inlineStr">
        <is>
          <t>OpenLotsAfter</t>
        </is>
      </c>
      <c r="AD1" s="1" t="inlineStr">
        <is>
          <t>MarginBefore</t>
        </is>
      </c>
      <c r="AE1" s="1" t="inlineStr">
        <is>
          <t>MarginAfter</t>
        </is>
      </c>
      <c r="AF1" s="1" t="inlineStr">
        <is>
          <t>NewFarDirection</t>
        </is>
      </c>
      <c r="AG1" s="1" t="inlineStr">
        <is>
          <t>NewFarStartLot</t>
        </is>
      </c>
      <c r="AH1" s="1" t="inlineStr">
        <is>
          <t>OldFarCanClose</t>
        </is>
      </c>
      <c r="AI1" s="1" t="inlineStr">
        <is>
          <t>OldFarClosePL</t>
        </is>
      </c>
      <c r="AJ1" s="1" t="inlineStr">
        <is>
          <t>OldFarRemainLot</t>
        </is>
      </c>
      <c r="AK1" s="1" t="inlineStr">
        <is>
          <t>DualTailFlag</t>
        </is>
      </c>
      <c r="AL1" s="1" t="inlineStr">
        <is>
          <t>CloseBigLot</t>
        </is>
      </c>
      <c r="AM1" s="1" t="inlineStr">
        <is>
          <t>RemainBigLot</t>
        </is>
      </c>
      <c r="AN1" s="1" t="inlineStr">
        <is>
          <t>BigClosedPercent</t>
        </is>
      </c>
      <c r="AO1" s="1" t="inlineStr">
        <is>
          <t>SmallClosedPercent</t>
        </is>
      </c>
      <c r="AP1" s="1" t="inlineStr">
        <is>
          <t>NewFullLevelAllowed</t>
        </is>
      </c>
      <c r="AQ1" s="1" t="inlineStr">
        <is>
          <t>Status</t>
        </is>
      </c>
      <c r="AR1" s="1" t="inlineStr">
        <is>
          <t>Comment</t>
        </is>
      </c>
      <c r="AS1" s="1" t="inlineStr">
        <is>
          <t>RealizedFarLoss</t>
        </is>
      </c>
      <c r="AT1" s="1" t="inlineStr">
        <is>
          <t>ClosedLotsForCosts</t>
        </is>
      </c>
      <c r="AU1" s="1" t="inlineStr">
        <is>
          <t>CostPerLot</t>
        </is>
      </c>
      <c r="AV1" s="1" t="inlineStr">
        <is>
          <t>OldFarClosedLot</t>
        </is>
      </c>
      <c r="AW1" s="1" t="inlineStr">
        <is>
          <t>BlockedReason</t>
        </is>
      </c>
      <c r="AX1" s="1" t="inlineStr">
        <is>
          <t>NetProfitBeforeFar</t>
        </is>
      </c>
      <c r="AY1" s="1" t="inlineStr">
        <is>
          <t>CostsBeforeFar</t>
        </is>
      </c>
      <c r="AZ1" s="1" t="inlineStr">
        <is>
          <t>CostsFarClose</t>
        </is>
      </c>
    </row>
    <row r="2">
      <c r="A2" s="12" t="n">
        <v>1</v>
      </c>
      <c r="B2" s="13" t="inlineStr">
        <is>
          <t>BIG_SIDE</t>
        </is>
      </c>
      <c r="C2" s="13" t="inlineStr">
        <is>
          <t>BUY</t>
        </is>
      </c>
      <c r="D2" s="13">
        <f>Settings!$B$2</f>
        <v/>
      </c>
      <c r="E2" s="12">
        <f>IF($B2="BLOCKED","",IF($C2="SELL","BUY","SELL"))</f>
        <v/>
      </c>
      <c r="F2" s="12">
        <f>IF($B2="BLOCKED",0,MAX(0,$D2*Settings!$B$3))</f>
        <v/>
      </c>
      <c r="G2" s="12">
        <f>IF($B2="BLOCKED",0,IFERROR(MAX(0,ROUND($F2/Settings!$B$11,0)*Settings!$B$11),0))</f>
        <v/>
      </c>
      <c r="H2" s="12">
        <f>IF($B2="BLOCKED","",$C2)</f>
        <v/>
      </c>
      <c r="I2" s="12">
        <f>IF($B2="BLOCKED",0,MAX(0,$G2*Settings!$B$4))</f>
        <v/>
      </c>
      <c r="J2" s="12">
        <f>IF($B2="BLOCKED",0,IFERROR(MAX(0,ROUND($I2/Settings!$B$11,0)*Settings!$B$11),0))</f>
        <v/>
      </c>
      <c r="K2" s="13" t="n">
        <v>100</v>
      </c>
      <c r="L2" s="13" t="n">
        <v>-40</v>
      </c>
      <c r="M2" s="13" t="n">
        <v>100</v>
      </c>
      <c r="N2" s="14">
        <f>IF($B2="BIG_SIDE",$G2*MAX(0,$K2)*Settings!$B$9,0)</f>
        <v/>
      </c>
      <c r="O2" s="14">
        <f>IF($B2="SMALL_SIDE",$J2*ABS($L2)*Settings!$B$9,0)</f>
        <v/>
      </c>
      <c r="P2" s="15">
        <f>IF($B2="BIG_SIDE",$J2*ABS($L2)*Settings!$B$9,0)</f>
        <v/>
      </c>
      <c r="Q2" s="15">
        <f>IF($B2="SMALL_SIDE",$AL2*ABS($K2)*Settings!$B$9,0)</f>
        <v/>
      </c>
      <c r="R2" s="15">
        <f>$AT2*$AU2</f>
        <v/>
      </c>
      <c r="S2" s="14">
        <f>IF($B2="BIG_SIDE",$N2-$P2-$R2,IF($B2="SMALL_SIDE",$O2-$Q2-$R2,0))</f>
        <v/>
      </c>
      <c r="T2" s="12">
        <f>IF(AND($B2="BIG_SIDE",$AX2&gt;0),$AX2*Settings!$B$5,0)</f>
        <v/>
      </c>
      <c r="U2" s="12">
        <f>MAX(0,$M2*Settings!$B$9)</f>
        <v/>
      </c>
      <c r="V2" s="12">
        <f>IF($B2="BIG_SIDE",IFERROR(MIN($D2,MAX(0,$T2/$U2)),0),0)</f>
        <v/>
      </c>
      <c r="W2" s="12">
        <f>IF($B2="BIG_SIDE",MAX(0,$D2-$V2),$AJ2)</f>
        <v/>
      </c>
      <c r="X2" s="19">
        <f>IF($B2="BIG_SIDE",IF($AX2&gt;0,$AX2-$AS2,0),IF($S2&gt;0,$S2*0.5,0))</f>
        <v/>
      </c>
      <c r="Y2" s="19">
        <f>X2</f>
        <v/>
      </c>
      <c r="Z2" s="12" t="n">
        <v>0</v>
      </c>
      <c r="AA2" s="12">
        <f>IF($B2="BLOCKED",$Z2,IF($B2="BIG_SIDE",$Z2+$AX2-$AS2-$AZ2,IF($B2="SMALL_SIDE",$Z2+$S2+$AI2,$Z2+$S2)))</f>
        <v/>
      </c>
      <c r="AB2" s="12">
        <f>IF($B2="BLOCKED",IF(ROW()=2,0,$AG1+$AJ1),$D2+$G2+$J2)</f>
        <v/>
      </c>
      <c r="AC2" s="12">
        <f>IF($B2="BLOCKED",$AB2,IF($B2="BIG_SIDE",$W2,$AG2+$AJ2))</f>
        <v/>
      </c>
      <c r="AD2" s="12">
        <f>$AB2*Settings!$B$10</f>
        <v/>
      </c>
      <c r="AE2" s="12">
        <f>$AC2*Settings!$B$10</f>
        <v/>
      </c>
      <c r="AF2" s="12">
        <f>IF($B2="BLOCKED",IF(ROW()=2,$C2,$AF1),IF($B2="SMALL_SIDE",$E2,$C2))</f>
        <v/>
      </c>
      <c r="AG2" s="12">
        <f>IF($B2="BLOCKED",IF(ROW()=2,0,$AG1),IF($B2="SMALL_SIDE",$AM2,$W2))</f>
        <v/>
      </c>
      <c r="AH2" s="13" t="inlineStr">
        <is>
          <t>NO</t>
        </is>
      </c>
      <c r="AI2" s="13" t="n">
        <v>0</v>
      </c>
      <c r="AJ2" s="12">
        <f>IF($B2="SMALL_SIDE",MAX(0,$D2-$AV2),0)</f>
        <v/>
      </c>
      <c r="AK2" s="12">
        <f>IF(AND($AJ2&gt;0,$AG2&gt;0),TRUE,FALSE)</f>
        <v/>
      </c>
      <c r="AL2" s="12">
        <f>IF($B2="SMALL_SIDE",$G2*Settings!$B$7,IF($B2="BIG_SIDE",$G2,0))</f>
        <v/>
      </c>
      <c r="AM2" s="12">
        <f>IF($B2="SMALL_SIDE",MAX(0,$G2-$AL2),0)</f>
        <v/>
      </c>
      <c r="AN2" s="12">
        <f>IF($B2="BIG_SIDE",1,IF($B2="SMALL_SIDE",Settings!$B$7,0))</f>
        <v/>
      </c>
      <c r="AO2" s="12">
        <f>IF(OR($B2="BIG_SIDE",$B2="SMALL_SIDE"),1,0)</f>
        <v/>
      </c>
      <c r="AP2" s="12">
        <f>IF(OR($AQ2="DUAL_TAIL",$AQ2="DANGER",$AQ2="STOP"),"NO","YES")</f>
        <v/>
      </c>
      <c r="AQ2" s="12">
        <f>IF($B2="BLOCKED","STOP",IF($AK2=TRUE,"DUAL_TAIL",IF(OR(IFERROR($G2/$D2,0)&gt;Settings!$B$16,IFERROR($J2/$G2,0)&gt;Settings!$B$17,$AE2&gt;$AD2,$Y2&lt;0,$AG2&gt;$D2*1.0001,$S2&lt;-100),"DANGER",IF(OR(AND($B2="BIG_SIDE",$U2&lt;=0),$S2&lt;=0,$X2=0,$AE2&gt;$AD2*0.95),"WARNING","OK"))))</f>
        <v/>
      </c>
      <c r="AR2" s="12">
        <f>IF($B2="BLOCKED","Заблокировано: предыдущий уровень не разрешил новый полноценный уровень",IF($B2="BIG_SIDE","BIG_SIDE: Big и Small закрыты 100%; баланс учитывает RealizedFarLoss",IF($AQ2="DUAL_TAIL","SMALL_SIDE: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2" s="20">
        <f>IF($B2="BIG_SIDE",$V2*$U2,0)</f>
        <v/>
      </c>
      <c r="AT2" s="12">
        <f>IF($B2="BIG_SIDE",$G2+$J2+$V2,IF($B2="SMALL_SIDE",$J2+$AL2+$AV2,0))</f>
        <v/>
      </c>
      <c r="AU2" s="12">
        <f>Settings!$B$13+Settings!$B$14+Settings!$B$15</f>
        <v/>
      </c>
      <c r="AV2" s="12">
        <f>IF($B2="SMALL_SIDE",IF($AH2="YES",$D2,IFERROR(MIN($D2,MAX(0,$AI2/$U2)),0)),0)</f>
        <v/>
      </c>
      <c r="AW2" s="12">
        <f>IF($B2="BLOCKED","Заблокировано: предыдущий уровень не разрешил новый полноценный уровень","")</f>
        <v/>
      </c>
      <c r="AX2" s="12">
        <f>IF($B2="BIG_SIDE",$N2-$P2-$AY2,IF($B2="SMALL_SIDE",$O2-$Q2-$R2,0))</f>
        <v/>
      </c>
      <c r="AY2" s="12">
        <f>IF($B2="BIG_SIDE",($G2+$J2)*$AU2,0)</f>
        <v/>
      </c>
      <c r="AZ2" s="12">
        <f>IF($B2="BIG_SIDE",$V2*$AU2,0)</f>
        <v/>
      </c>
    </row>
    <row r="3">
      <c r="A3" s="12" t="n">
        <v>2</v>
      </c>
      <c r="B3" s="13">
        <f>IF(OR($AP2="NO",$AQ2="DUAL_TAIL",$AQ2="DANGER",$AQ2="STOP"),"BLOCKED","SMALL_SIDE")</f>
        <v/>
      </c>
      <c r="C3" s="13">
        <f>IF($B3="BLOCKED",$AF2,IF($AP2="YES",$AF2,$C2))</f>
        <v/>
      </c>
      <c r="D3" s="13">
        <f>IF($B3="BLOCKED",0,IF($AP2="YES",MAX(0,$AG2),$D2))</f>
        <v/>
      </c>
      <c r="E3" s="12">
        <f>IF($B3="BLOCKED","",IF($C3="SELL","BUY","SELL"))</f>
        <v/>
      </c>
      <c r="F3" s="12">
        <f>IF($B3="BLOCKED",0,MAX(0,$D3*Settings!$B$3))</f>
        <v/>
      </c>
      <c r="G3" s="12">
        <f>IF($B3="BLOCKED",0,IFERROR(MAX(0,ROUND($F3/Settings!$B$11,0)*Settings!$B$11),0))</f>
        <v/>
      </c>
      <c r="H3" s="12">
        <f>IF($B3="BLOCKED","",$C3)</f>
        <v/>
      </c>
      <c r="I3" s="12">
        <f>IF($B3="BLOCKED",0,MAX(0,$G3*Settings!$B$4))</f>
        <v/>
      </c>
      <c r="J3" s="12">
        <f>IF($B3="BLOCKED",0,IFERROR(MAX(0,ROUND($I3/Settings!$B$11,0)*Settings!$B$11),0))</f>
        <v/>
      </c>
      <c r="K3" s="13" t="n">
        <v>80</v>
      </c>
      <c r="L3" s="13" t="n">
        <v>60</v>
      </c>
      <c r="M3" s="13" t="n">
        <v>100</v>
      </c>
      <c r="N3" s="14">
        <f>IF($B3="BIG_SIDE",$G3*MAX(0,$K3)*Settings!$B$9,0)</f>
        <v/>
      </c>
      <c r="O3" s="14">
        <f>IF($B3="SMALL_SIDE",$J3*ABS($L3)*Settings!$B$9,0)</f>
        <v/>
      </c>
      <c r="P3" s="15">
        <f>IF($B3="BIG_SIDE",$J3*ABS($L3)*Settings!$B$9,0)</f>
        <v/>
      </c>
      <c r="Q3" s="15">
        <f>IF($B3="SMALL_SIDE",$AL3*ABS($K3)*Settings!$B$9,0)</f>
        <v/>
      </c>
      <c r="R3" s="15">
        <f>$AT3*$AU3</f>
        <v/>
      </c>
      <c r="S3" s="14">
        <f>IF($B3="BIG_SIDE",$N3-$P3-$R3,IF($B3="SMALL_SIDE",$O3-$Q3-$R3,0))</f>
        <v/>
      </c>
      <c r="T3" s="12">
        <f>IF(AND($B3="BIG_SIDE",$AX3&gt;0),$AX3*Settings!$B$5,0)</f>
        <v/>
      </c>
      <c r="U3" s="12">
        <f>MAX(0,$M3*Settings!$B$9)</f>
        <v/>
      </c>
      <c r="V3" s="12">
        <f>IF($B3="BIG_SIDE",IFERROR(MIN($D3,MAX(0,$T3/$U3)),0),0)</f>
        <v/>
      </c>
      <c r="W3" s="12">
        <f>IF($B3="BIG_SIDE",MAX(0,$D3-$V3),$AJ3)</f>
        <v/>
      </c>
      <c r="X3" s="19">
        <f>IF($B3="BIG_SIDE",IF($AX3&gt;0,$AX3-$AS3,0),IF($S3&gt;0,$S3*0.5,0))</f>
        <v/>
      </c>
      <c r="Y3" s="19">
        <f>$Y2+$X3</f>
        <v/>
      </c>
      <c r="Z3" s="12">
        <f>$AA2</f>
        <v/>
      </c>
      <c r="AA3" s="12">
        <f>IF($B3="BLOCKED",$Z3,IF($B3="BIG_SIDE",$Z3+$AX3-$AS3-$AZ3,IF($B3="SMALL_SIDE",$Z3+$S3+$AI3,$Z3+$S3)))</f>
        <v/>
      </c>
      <c r="AB3" s="12">
        <f>IF($B3="BLOCKED",IF(ROW()=2,0,$AG2+$AJ2),$D3+$G3+$J3)</f>
        <v/>
      </c>
      <c r="AC3" s="12">
        <f>IF($B3="BLOCKED",$AB3,IF($B3="BIG_SIDE",$W3,$AG3+$AJ3))</f>
        <v/>
      </c>
      <c r="AD3" s="12">
        <f>$AB3*Settings!$B$10</f>
        <v/>
      </c>
      <c r="AE3" s="12">
        <f>$AC3*Settings!$B$10</f>
        <v/>
      </c>
      <c r="AF3" s="12">
        <f>IF($B3="BLOCKED",IF(ROW()=2,$C3,$AF2),IF($B3="SMALL_SIDE",$E3,$C3))</f>
        <v/>
      </c>
      <c r="AG3" s="12">
        <f>IF($B3="BLOCKED",IF(ROW()=2,0,$AG2),IF($B3="SMALL_SIDE",$AM3,$W3))</f>
        <v/>
      </c>
      <c r="AH3" s="13" t="inlineStr">
        <is>
          <t>NO</t>
        </is>
      </c>
      <c r="AI3" s="13" t="n">
        <v>0</v>
      </c>
      <c r="AJ3" s="12">
        <f>IF($B3="SMALL_SIDE",MAX(0,$D3-$AV3),0)</f>
        <v/>
      </c>
      <c r="AK3" s="12">
        <f>IF(AND($AJ3&gt;0,$AG3&gt;0),TRUE,FALSE)</f>
        <v/>
      </c>
      <c r="AL3" s="12">
        <f>IF($B3="SMALL_SIDE",$G3*Settings!$B$7,IF($B3="BIG_SIDE",$G3,0))</f>
        <v/>
      </c>
      <c r="AM3" s="12">
        <f>IF($B3="SMALL_SIDE",MAX(0,$G3-$AL3),0)</f>
        <v/>
      </c>
      <c r="AN3" s="12">
        <f>IF($B3="BIG_SIDE",1,IF($B3="SMALL_SIDE",Settings!$B$7,0))</f>
        <v/>
      </c>
      <c r="AO3" s="12">
        <f>IF(OR($B3="BIG_SIDE",$B3="SMALL_SIDE"),1,0)</f>
        <v/>
      </c>
      <c r="AP3" s="12">
        <f>IF(OR($AQ3="DUAL_TAIL",$AQ3="DANGER",$AQ3="STOP"),"NO","YES")</f>
        <v/>
      </c>
      <c r="AQ3" s="12">
        <f>IF($B3="BLOCKED","STOP",IF($AK3=TRUE,"DUAL_TAIL",IF(OR(IFERROR($G3/$D3,0)&gt;Settings!$B$16,IFERROR($J3/$G3,0)&gt;Settings!$B$17,$AE3&gt;$AD3,$Y3&lt;0,$AG3&gt;$D3*1.0001,$S3&lt;-100),"DANGER",IF(OR(AND($B3="BIG_SIDE",$U3&lt;=0),$S3&lt;=0,$X3=0,$AE3&gt;$AD3*0.95),"WARNING","OK"))))</f>
        <v/>
      </c>
      <c r="AR3" s="12">
        <f>IF($B3="BLOCKED","Заблокировано: предыдущий уровень не разрешил новый полноценный уровень",IF($B3="BIG_SIDE","BIG_SIDE: Big и Small закрыты 100%; баланс учитывает RealizedFarLoss",IF($AQ3="DUAL_TAIL","SMALL_SIDE: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3" s="20">
        <f>IF($B3="BIG_SIDE",$V3*$U3,0)</f>
        <v/>
      </c>
      <c r="AT3" s="12">
        <f>IF($B3="BIG_SIDE",$G3+$J3+$V3,IF($B3="SMALL_SIDE",$J3+$AL3+$AV3,0))</f>
        <v/>
      </c>
      <c r="AU3" s="12">
        <f>Settings!$B$13+Settings!$B$14+Settings!$B$15</f>
        <v/>
      </c>
      <c r="AV3" s="12">
        <f>IF($B3="SMALL_SIDE",IF($AH3="YES",$D3,IFERROR(MIN($D3,MAX(0,$AI3/$U3)),0)),0)</f>
        <v/>
      </c>
      <c r="AW3" s="12">
        <f>IF($B3="BLOCKED","Заблокировано: предыдущий уровень не разрешил новый полноценный уровень","")</f>
        <v/>
      </c>
      <c r="AX3" s="12">
        <f>IF($B3="BIG_SIDE",$N3-$P3-$AY3,IF($B3="SMALL_SIDE",$O3-$Q3-$R3,0))</f>
        <v/>
      </c>
      <c r="AY3" s="12">
        <f>IF($B3="BIG_SIDE",($G3+$J3)*$AU3,0)</f>
        <v/>
      </c>
      <c r="AZ3" s="12">
        <f>IF($B3="BIG_SIDE",$V3*$AU3,0)</f>
        <v/>
      </c>
    </row>
    <row r="4">
      <c r="A4" s="12" t="n">
        <v>3</v>
      </c>
      <c r="B4" s="13">
        <f>IF(OR($AP3="NO",$AQ3="DUAL_TAIL",$AQ3="DANGER",$AQ3="STOP"),"BLOCKED","BIG_SIDE")</f>
        <v/>
      </c>
      <c r="C4" s="13">
        <f>IF($B4="BLOCKED",$AF3,IF($AP3="YES",$AF3,$C3))</f>
        <v/>
      </c>
      <c r="D4" s="13">
        <f>IF($B4="BLOCKED",0,IF($AP3="YES",MAX(0,$AG3),$D3))</f>
        <v/>
      </c>
      <c r="E4" s="12">
        <f>IF($B4="BLOCKED","",IF($C4="SELL","BUY","SELL"))</f>
        <v/>
      </c>
      <c r="F4" s="12">
        <f>IF($B4="BLOCKED",0,MAX(0,$D4*Settings!$B$3))</f>
        <v/>
      </c>
      <c r="G4" s="12">
        <f>IF($B4="BLOCKED",0,IFERROR(MAX(0,ROUND($F4/Settings!$B$11,0)*Settings!$B$11),0))</f>
        <v/>
      </c>
      <c r="H4" s="12">
        <f>IF($B4="BLOCKED","",$C4)</f>
        <v/>
      </c>
      <c r="I4" s="12">
        <f>IF($B4="BLOCKED",0,MAX(0,$G4*Settings!$B$4))</f>
        <v/>
      </c>
      <c r="J4" s="12">
        <f>IF($B4="BLOCKED",0,IFERROR(MAX(0,ROUND($I4/Settings!$B$11,0)*Settings!$B$11),0))</f>
        <v/>
      </c>
      <c r="K4" s="13" t="n">
        <v>100</v>
      </c>
      <c r="L4" s="13" t="n">
        <v>-40</v>
      </c>
      <c r="M4" s="13" t="n">
        <v>100</v>
      </c>
      <c r="N4" s="14">
        <f>IF($B4="BIG_SIDE",$G4*MAX(0,$K4)*Settings!$B$9,0)</f>
        <v/>
      </c>
      <c r="O4" s="14">
        <f>IF($B4="SMALL_SIDE",$J4*ABS($L4)*Settings!$B$9,0)</f>
        <v/>
      </c>
      <c r="P4" s="15">
        <f>IF($B4="BIG_SIDE",$J4*ABS($L4)*Settings!$B$9,0)</f>
        <v/>
      </c>
      <c r="Q4" s="15">
        <f>IF($B4="SMALL_SIDE",$AL4*ABS($K4)*Settings!$B$9,0)</f>
        <v/>
      </c>
      <c r="R4" s="15">
        <f>$AT4*$AU4</f>
        <v/>
      </c>
      <c r="S4" s="14">
        <f>IF($B4="BIG_SIDE",$N4-$P4-$R4,IF($B4="SMALL_SIDE",$O4-$Q4-$R4,0))</f>
        <v/>
      </c>
      <c r="T4" s="12">
        <f>IF(AND($B4="BIG_SIDE",$AX4&gt;0),$AX4*Settings!$B$5,0)</f>
        <v/>
      </c>
      <c r="U4" s="12">
        <f>MAX(0,$M4*Settings!$B$9)</f>
        <v/>
      </c>
      <c r="V4" s="12">
        <f>IF($B4="BIG_SIDE",IFERROR(MIN($D4,MAX(0,$T4/$U4)),0),0)</f>
        <v/>
      </c>
      <c r="W4" s="12">
        <f>IF($B4="BIG_SIDE",MAX(0,$D4-$V4),$AJ4)</f>
        <v/>
      </c>
      <c r="X4" s="19">
        <f>IF($B4="BIG_SIDE",IF($AX4&gt;0,$AX4-$AS4,0),IF($S4&gt;0,$S4*0.5,0))</f>
        <v/>
      </c>
      <c r="Y4" s="19">
        <f>$Y3+$X4</f>
        <v/>
      </c>
      <c r="Z4" s="12">
        <f>$AA3</f>
        <v/>
      </c>
      <c r="AA4" s="12">
        <f>IF($B4="BLOCKED",$Z4,IF($B4="BIG_SIDE",$Z4+$AX4-$AS4-$AZ4,IF($B4="SMALL_SIDE",$Z4+$S4+$AI4,$Z4+$S4)))</f>
        <v/>
      </c>
      <c r="AB4" s="12">
        <f>IF($B4="BLOCKED",IF(ROW()=2,0,$AG3+$AJ3),$D4+$G4+$J4)</f>
        <v/>
      </c>
      <c r="AC4" s="12">
        <f>IF($B4="BLOCKED",$AB4,IF($B4="BIG_SIDE",$W4,$AG4+$AJ4))</f>
        <v/>
      </c>
      <c r="AD4" s="12">
        <f>$AB4*Settings!$B$10</f>
        <v/>
      </c>
      <c r="AE4" s="12">
        <f>$AC4*Settings!$B$10</f>
        <v/>
      </c>
      <c r="AF4" s="12">
        <f>IF($B4="BLOCKED",IF(ROW()=2,$C4,$AF3),IF($B4="SMALL_SIDE",$E4,$C4))</f>
        <v/>
      </c>
      <c r="AG4" s="12">
        <f>IF($B4="BLOCKED",IF(ROW()=2,0,$AG3),IF($B4="SMALL_SIDE",$AM4,$W4))</f>
        <v/>
      </c>
      <c r="AH4" s="13" t="inlineStr">
        <is>
          <t>NO</t>
        </is>
      </c>
      <c r="AI4" s="13" t="n">
        <v>0</v>
      </c>
      <c r="AJ4" s="12">
        <f>IF($B4="SMALL_SIDE",MAX(0,$D4-$AV4),0)</f>
        <v/>
      </c>
      <c r="AK4" s="12">
        <f>IF(AND($AJ4&gt;0,$AG4&gt;0),TRUE,FALSE)</f>
        <v/>
      </c>
      <c r="AL4" s="12">
        <f>IF($B4="SMALL_SIDE",$G4*Settings!$B$7,IF($B4="BIG_SIDE",$G4,0))</f>
        <v/>
      </c>
      <c r="AM4" s="12">
        <f>IF($B4="SMALL_SIDE",MAX(0,$G4-$AL4),0)</f>
        <v/>
      </c>
      <c r="AN4" s="12">
        <f>IF($B4="BIG_SIDE",1,IF($B4="SMALL_SIDE",Settings!$B$7,0))</f>
        <v/>
      </c>
      <c r="AO4" s="12">
        <f>IF(OR($B4="BIG_SIDE",$B4="SMALL_SIDE"),1,0)</f>
        <v/>
      </c>
      <c r="AP4" s="12">
        <f>IF(OR($AQ4="DUAL_TAIL",$AQ4="DANGER",$AQ4="STOP"),"NO","YES")</f>
        <v/>
      </c>
      <c r="AQ4" s="12">
        <f>IF($B4="BLOCKED","STOP",IF($AK4=TRUE,"DUAL_TAIL",IF(OR(IFERROR($G4/$D4,0)&gt;Settings!$B$16,IFERROR($J4/$G4,0)&gt;Settings!$B$17,$AE4&gt;$AD4,$Y4&lt;0,$AG4&gt;$D4*1.0001,$S4&lt;-100),"DANGER",IF(OR(AND($B4="BIG_SIDE",$U4&lt;=0),$S4&lt;=0,$X4=0,$AE4&gt;$AD4*0.95),"WARNING","OK"))))</f>
        <v/>
      </c>
      <c r="AR4" s="12">
        <f>IF($B4="BLOCKED","Заблокировано: предыдущий уровень не разрешил новый полноценный уровень",IF($B4="BIG_SIDE","BIG_SIDE: Big и Small закрыты 100%; баланс учитывает RealizedFarLoss",IF($AQ4="DUAL_TAIL","SMALL_SIDE: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4" s="20">
        <f>IF($B4="BIG_SIDE",$V4*$U4,0)</f>
        <v/>
      </c>
      <c r="AT4" s="12">
        <f>IF($B4="BIG_SIDE",$G4+$J4+$V4,IF($B4="SMALL_SIDE",$J4+$AL4+$AV4,0))</f>
        <v/>
      </c>
      <c r="AU4" s="12">
        <f>Settings!$B$13+Settings!$B$14+Settings!$B$15</f>
        <v/>
      </c>
      <c r="AV4" s="12">
        <f>IF($B4="SMALL_SIDE",IF($AH4="YES",$D4,IFERROR(MIN($D4,MAX(0,$AI4/$U4)),0)),0)</f>
        <v/>
      </c>
      <c r="AW4" s="12">
        <f>IF($B4="BLOCKED","Заблокировано: предыдущий уровень не разрешил новый полноценный уровень","")</f>
        <v/>
      </c>
      <c r="AX4" s="12">
        <f>IF($B4="BIG_SIDE",$N4-$P4-$AY4,IF($B4="SMALL_SIDE",$O4-$Q4-$R4,0))</f>
        <v/>
      </c>
      <c r="AY4" s="12">
        <f>IF($B4="BIG_SIDE",($G4+$J4)*$AU4,0)</f>
        <v/>
      </c>
      <c r="AZ4" s="12">
        <f>IF($B4="BIG_SIDE",$V4*$AU4,0)</f>
        <v/>
      </c>
    </row>
    <row r="5">
      <c r="A5" s="12" t="n">
        <v>4</v>
      </c>
      <c r="B5" s="13">
        <f>IF(OR($AP4="NO",$AQ4="DUAL_TAIL",$AQ4="DANGER",$AQ4="STOP"),"BLOCKED","BIG_SIDE")</f>
        <v/>
      </c>
      <c r="C5" s="13">
        <f>IF($B5="BLOCKED",$AF4,IF($AP4="YES",$AF4,$C4))</f>
        <v/>
      </c>
      <c r="D5" s="13">
        <f>IF($B5="BLOCKED",0,IF($AP4="YES",MAX(0,$AG4),$D4))</f>
        <v/>
      </c>
      <c r="E5" s="12">
        <f>IF($B5="BLOCKED","",IF($C5="SELL","BUY","SELL"))</f>
        <v/>
      </c>
      <c r="F5" s="12">
        <f>IF($B5="BLOCKED",0,MAX(0,$D5*Settings!$B$3))</f>
        <v/>
      </c>
      <c r="G5" s="12">
        <f>IF($B5="BLOCKED",0,IFERROR(MAX(0,ROUND($F5/Settings!$B$11,0)*Settings!$B$11),0))</f>
        <v/>
      </c>
      <c r="H5" s="12">
        <f>IF($B5="BLOCKED","",$C5)</f>
        <v/>
      </c>
      <c r="I5" s="12">
        <f>IF($B5="BLOCKED",0,MAX(0,$G5*Settings!$B$4))</f>
        <v/>
      </c>
      <c r="J5" s="12">
        <f>IF($B5="BLOCKED",0,IFERROR(MAX(0,ROUND($I5/Settings!$B$11,0)*Settings!$B$11),0))</f>
        <v/>
      </c>
      <c r="K5" s="13" t="n">
        <v>100</v>
      </c>
      <c r="L5" s="13" t="n">
        <v>-40</v>
      </c>
      <c r="M5" s="13" t="n">
        <v>100</v>
      </c>
      <c r="N5" s="14">
        <f>IF($B5="BIG_SIDE",$G5*MAX(0,$K5)*Settings!$B$9,0)</f>
        <v/>
      </c>
      <c r="O5" s="14">
        <f>IF($B5="SMALL_SIDE",$J5*ABS($L5)*Settings!$B$9,0)</f>
        <v/>
      </c>
      <c r="P5" s="15">
        <f>IF($B5="BIG_SIDE",$J5*ABS($L5)*Settings!$B$9,0)</f>
        <v/>
      </c>
      <c r="Q5" s="15">
        <f>IF($B5="SMALL_SIDE",$AL5*ABS($K5)*Settings!$B$9,0)</f>
        <v/>
      </c>
      <c r="R5" s="15">
        <f>$AT5*$AU5</f>
        <v/>
      </c>
      <c r="S5" s="14">
        <f>IF($B5="BIG_SIDE",$N5-$P5-$R5,IF($B5="SMALL_SIDE",$O5-$Q5-$R5,0))</f>
        <v/>
      </c>
      <c r="T5" s="12">
        <f>IF(AND($B5="BIG_SIDE",$AX5&gt;0),$AX5*Settings!$B$5,0)</f>
        <v/>
      </c>
      <c r="U5" s="12">
        <f>MAX(0,$M5*Settings!$B$9)</f>
        <v/>
      </c>
      <c r="V5" s="12">
        <f>IF($B5="BIG_SIDE",IFERROR(MIN($D5,MAX(0,$T5/$U5)),0),0)</f>
        <v/>
      </c>
      <c r="W5" s="12">
        <f>IF($B5="BIG_SIDE",MAX(0,$D5-$V5),$AJ5)</f>
        <v/>
      </c>
      <c r="X5" s="19">
        <f>IF($B5="BIG_SIDE",IF($AX5&gt;0,$AX5-$AS5,0),IF($S5&gt;0,$S5*0.5,0))</f>
        <v/>
      </c>
      <c r="Y5" s="19">
        <f>$Y4+$X5</f>
        <v/>
      </c>
      <c r="Z5" s="12">
        <f>$AA4</f>
        <v/>
      </c>
      <c r="AA5" s="12">
        <f>IF($B5="BLOCKED",$Z5,IF($B5="BIG_SIDE",$Z5+$AX5-$AS5-$AZ5,IF($B5="SMALL_SIDE",$Z5+$S5+$AI5,$Z5+$S5)))</f>
        <v/>
      </c>
      <c r="AB5" s="12">
        <f>IF($B5="BLOCKED",IF(ROW()=2,0,$AG4+$AJ4),$D5+$G5+$J5)</f>
        <v/>
      </c>
      <c r="AC5" s="12">
        <f>IF($B5="BLOCKED",$AB5,IF($B5="BIG_SIDE",$W5,$AG5+$AJ5))</f>
        <v/>
      </c>
      <c r="AD5" s="12">
        <f>$AB5*Settings!$B$10</f>
        <v/>
      </c>
      <c r="AE5" s="12">
        <f>$AC5*Settings!$B$10</f>
        <v/>
      </c>
      <c r="AF5" s="12">
        <f>IF($B5="BLOCKED",IF(ROW()=2,$C5,$AF4),IF($B5="SMALL_SIDE",$E5,$C5))</f>
        <v/>
      </c>
      <c r="AG5" s="12">
        <f>IF($B5="BLOCKED",IF(ROW()=2,0,$AG4),IF($B5="SMALL_SIDE",$AM5,$W5))</f>
        <v/>
      </c>
      <c r="AH5" s="13" t="inlineStr">
        <is>
          <t>NO</t>
        </is>
      </c>
      <c r="AI5" s="13" t="n">
        <v>0</v>
      </c>
      <c r="AJ5" s="12">
        <f>IF($B5="SMALL_SIDE",MAX(0,$D5-$AV5),0)</f>
        <v/>
      </c>
      <c r="AK5" s="12">
        <f>IF(AND($AJ5&gt;0,$AG5&gt;0),TRUE,FALSE)</f>
        <v/>
      </c>
      <c r="AL5" s="12">
        <f>IF($B5="SMALL_SIDE",$G5*Settings!$B$7,IF($B5="BIG_SIDE",$G5,0))</f>
        <v/>
      </c>
      <c r="AM5" s="12">
        <f>IF($B5="SMALL_SIDE",MAX(0,$G5-$AL5),0)</f>
        <v/>
      </c>
      <c r="AN5" s="12">
        <f>IF($B5="BIG_SIDE",1,IF($B5="SMALL_SIDE",Settings!$B$7,0))</f>
        <v/>
      </c>
      <c r="AO5" s="12">
        <f>IF(OR($B5="BIG_SIDE",$B5="SMALL_SIDE"),1,0)</f>
        <v/>
      </c>
      <c r="AP5" s="12">
        <f>IF(OR($AQ5="DUAL_TAIL",$AQ5="DANGER",$AQ5="STOP"),"NO","YES")</f>
        <v/>
      </c>
      <c r="AQ5" s="12">
        <f>IF($B5="BLOCKED","STOP",IF($AK5=TRUE,"DUAL_TAIL",IF(OR(IFERROR($G5/$D5,0)&gt;Settings!$B$16,IFERROR($J5/$G5,0)&gt;Settings!$B$17,$AE5&gt;$AD5,$Y5&lt;0,$AG5&gt;$D5*1.0001,$S5&lt;-100),"DANGER",IF(OR(AND($B5="BIG_SIDE",$U5&lt;=0),$S5&lt;=0,$X5=0,$AE5&gt;$AD5*0.95),"WARNING","OK"))))</f>
        <v/>
      </c>
      <c r="AR5" s="12">
        <f>IF($B5="BLOCKED","Заблокировано: предыдущий уровень не разрешил новый полноценный уровень",IF($B5="BIG_SIDE","BIG_SIDE: Big и Small закрыты 100%; баланс учитывает RealizedFarLoss",IF($AQ5="DUAL_TAIL","SMALL_SIDE: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5" s="20">
        <f>IF($B5="BIG_SIDE",$V5*$U5,0)</f>
        <v/>
      </c>
      <c r="AT5" s="12">
        <f>IF($B5="BIG_SIDE",$G5+$J5+$V5,IF($B5="SMALL_SIDE",$J5+$AL5+$AV5,0))</f>
        <v/>
      </c>
      <c r="AU5" s="12">
        <f>Settings!$B$13+Settings!$B$14+Settings!$B$15</f>
        <v/>
      </c>
      <c r="AV5" s="12">
        <f>IF($B5="SMALL_SIDE",IF($AH5="YES",$D5,IFERROR(MIN($D5,MAX(0,$AI5/$U5)),0)),0)</f>
        <v/>
      </c>
      <c r="AW5" s="12">
        <f>IF($B5="BLOCKED","Заблокировано: предыдущий уровень не разрешил новый полноценный уровень","")</f>
        <v/>
      </c>
      <c r="AX5" s="12">
        <f>IF($B5="BIG_SIDE",$N5-$P5-$AY5,IF($B5="SMALL_SIDE",$O5-$Q5-$R5,0))</f>
        <v/>
      </c>
      <c r="AY5" s="12">
        <f>IF($B5="BIG_SIDE",($G5+$J5)*$AU5,0)</f>
        <v/>
      </c>
      <c r="AZ5" s="12">
        <f>IF($B5="BIG_SIDE",$V5*$AU5,0)</f>
        <v/>
      </c>
    </row>
    <row r="6">
      <c r="A6" s="12" t="n">
        <v>5</v>
      </c>
      <c r="B6" s="13">
        <f>IF(OR($AP5="NO",$AQ5="DUAL_TAIL",$AQ5="DANGER",$AQ5="STOP"),"BLOCKED","BIG_SIDE")</f>
        <v/>
      </c>
      <c r="C6" s="13">
        <f>IF($B6="BLOCKED",$AF5,IF($AP5="YES",$AF5,$C5))</f>
        <v/>
      </c>
      <c r="D6" s="13">
        <f>IF($B6="BLOCKED",0,IF($AP5="YES",MAX(0,$AG5),$D5))</f>
        <v/>
      </c>
      <c r="E6" s="12">
        <f>IF($B6="BLOCKED","",IF($C6="SELL","BUY","SELL"))</f>
        <v/>
      </c>
      <c r="F6" s="12">
        <f>IF($B6="BLOCKED",0,MAX(0,$D6*Settings!$B$3))</f>
        <v/>
      </c>
      <c r="G6" s="12">
        <f>IF($B6="BLOCKED",0,IFERROR(MAX(0,ROUND($F6/Settings!$B$11,0)*Settings!$B$11),0))</f>
        <v/>
      </c>
      <c r="H6" s="12">
        <f>IF($B6="BLOCKED","",$C6)</f>
        <v/>
      </c>
      <c r="I6" s="12">
        <f>IF($B6="BLOCKED",0,MAX(0,$G6*Settings!$B$4))</f>
        <v/>
      </c>
      <c r="J6" s="12">
        <f>IF($B6="BLOCKED",0,IFERROR(MAX(0,ROUND($I6/Settings!$B$11,0)*Settings!$B$11),0))</f>
        <v/>
      </c>
      <c r="K6" s="13" t="n">
        <v>100</v>
      </c>
      <c r="L6" s="13" t="n">
        <v>-40</v>
      </c>
      <c r="M6" s="13" t="n">
        <v>100</v>
      </c>
      <c r="N6" s="14">
        <f>IF($B6="BIG_SIDE",$G6*MAX(0,$K6)*Settings!$B$9,0)</f>
        <v/>
      </c>
      <c r="O6" s="14">
        <f>IF($B6="SMALL_SIDE",$J6*ABS($L6)*Settings!$B$9,0)</f>
        <v/>
      </c>
      <c r="P6" s="15">
        <f>IF($B6="BIG_SIDE",$J6*ABS($L6)*Settings!$B$9,0)</f>
        <v/>
      </c>
      <c r="Q6" s="15">
        <f>IF($B6="SMALL_SIDE",$AL6*ABS($K6)*Settings!$B$9,0)</f>
        <v/>
      </c>
      <c r="R6" s="15">
        <f>$AT6*$AU6</f>
        <v/>
      </c>
      <c r="S6" s="14">
        <f>IF($B6="BIG_SIDE",$N6-$P6-$R6,IF($B6="SMALL_SIDE",$O6-$Q6-$R6,0))</f>
        <v/>
      </c>
      <c r="T6" s="12">
        <f>IF(AND($B6="BIG_SIDE",$AX6&gt;0),$AX6*Settings!$B$5,0)</f>
        <v/>
      </c>
      <c r="U6" s="12">
        <f>MAX(0,$M6*Settings!$B$9)</f>
        <v/>
      </c>
      <c r="V6" s="12">
        <f>IF($B6="BIG_SIDE",IFERROR(MIN($D6,MAX(0,$T6/$U6)),0),0)</f>
        <v/>
      </c>
      <c r="W6" s="12">
        <f>IF($B6="BIG_SIDE",MAX(0,$D6-$V6),$AJ6)</f>
        <v/>
      </c>
      <c r="X6" s="19">
        <f>IF($B6="BIG_SIDE",IF($AX6&gt;0,$AX6-$AS6,0),IF($S6&gt;0,$S6*0.5,0))</f>
        <v/>
      </c>
      <c r="Y6" s="19">
        <f>$Y5+$X6</f>
        <v/>
      </c>
      <c r="Z6" s="12">
        <f>$AA5</f>
        <v/>
      </c>
      <c r="AA6" s="12">
        <f>IF($B6="BLOCKED",$Z6,IF($B6="BIG_SIDE",$Z6+$AX6-$AS6-$AZ6,IF($B6="SMALL_SIDE",$Z6+$S6+$AI6,$Z6+$S6)))</f>
        <v/>
      </c>
      <c r="AB6" s="12">
        <f>IF($B6="BLOCKED",IF(ROW()=2,0,$AG5+$AJ5),$D6+$G6+$J6)</f>
        <v/>
      </c>
      <c r="AC6" s="12">
        <f>IF($B6="BLOCKED",$AB6,IF($B6="BIG_SIDE",$W6,$AG6+$AJ6))</f>
        <v/>
      </c>
      <c r="AD6" s="12">
        <f>$AB6*Settings!$B$10</f>
        <v/>
      </c>
      <c r="AE6" s="12">
        <f>$AC6*Settings!$B$10</f>
        <v/>
      </c>
      <c r="AF6" s="12">
        <f>IF($B6="BLOCKED",IF(ROW()=2,$C6,$AF5),IF($B6="SMALL_SIDE",$E6,$C6))</f>
        <v/>
      </c>
      <c r="AG6" s="12">
        <f>IF($B6="BLOCKED",IF(ROW()=2,0,$AG5),IF($B6="SMALL_SIDE",$AM6,$W6))</f>
        <v/>
      </c>
      <c r="AH6" s="13" t="inlineStr">
        <is>
          <t>NO</t>
        </is>
      </c>
      <c r="AI6" s="13" t="n">
        <v>0</v>
      </c>
      <c r="AJ6" s="12">
        <f>IF($B6="SMALL_SIDE",MAX(0,$D6-$AV6),0)</f>
        <v/>
      </c>
      <c r="AK6" s="12">
        <f>IF(AND($AJ6&gt;0,$AG6&gt;0),TRUE,FALSE)</f>
        <v/>
      </c>
      <c r="AL6" s="12">
        <f>IF($B6="SMALL_SIDE",$G6*Settings!$B$7,IF($B6="BIG_SIDE",$G6,0))</f>
        <v/>
      </c>
      <c r="AM6" s="12">
        <f>IF($B6="SMALL_SIDE",MAX(0,$G6-$AL6),0)</f>
        <v/>
      </c>
      <c r="AN6" s="12">
        <f>IF($B6="BIG_SIDE",1,IF($B6="SMALL_SIDE",Settings!$B$7,0))</f>
        <v/>
      </c>
      <c r="AO6" s="12">
        <f>IF(OR($B6="BIG_SIDE",$B6="SMALL_SIDE"),1,0)</f>
        <v/>
      </c>
      <c r="AP6" s="12">
        <f>IF(OR($AQ6="DUAL_TAIL",$AQ6="DANGER",$AQ6="STOP"),"NO","YES")</f>
        <v/>
      </c>
      <c r="AQ6" s="12">
        <f>IF($B6="BLOCKED","STOP",IF($AK6=TRUE,"DUAL_TAIL",IF(OR(IFERROR($G6/$D6,0)&gt;Settings!$B$16,IFERROR($J6/$G6,0)&gt;Settings!$B$17,$AE6&gt;$AD6,$Y6&lt;0,$AG6&gt;$D6*1.0001,$S6&lt;-100),"DANGER",IF(OR(AND($B6="BIG_SIDE",$U6&lt;=0),$S6&lt;=0,$X6=0,$AE6&gt;$AD6*0.95),"WARNING","OK"))))</f>
        <v/>
      </c>
      <c r="AR6" s="12">
        <f>IF($B6="BLOCKED","Заблокировано: предыдущий уровень не разрешил новый полноценный уровень",IF($B6="BIG_SIDE","BIG_SIDE: Big и Small закрыты 100%; баланс учитывает RealizedFarLoss",IF($AQ6="DUAL_TAIL","SMALL_SIDE: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6" s="20">
        <f>IF($B6="BIG_SIDE",$V6*$U6,0)</f>
        <v/>
      </c>
      <c r="AT6" s="12">
        <f>IF($B6="BIG_SIDE",$G6+$J6+$V6,IF($B6="SMALL_SIDE",$J6+$AL6+$AV6,0))</f>
        <v/>
      </c>
      <c r="AU6" s="12">
        <f>Settings!$B$13+Settings!$B$14+Settings!$B$15</f>
        <v/>
      </c>
      <c r="AV6" s="12">
        <f>IF($B6="SMALL_SIDE",IF($AH6="YES",$D6,IFERROR(MIN($D6,MAX(0,$AI6/$U6)),0)),0)</f>
        <v/>
      </c>
      <c r="AW6" s="12">
        <f>IF($B6="BLOCKED","Заблокировано: предыдущий уровень не разрешил новый полноценный уровень","")</f>
        <v/>
      </c>
      <c r="AX6" s="12">
        <f>IF($B6="BIG_SIDE",$N6-$P6-$AY6,IF($B6="SMALL_SIDE",$O6-$Q6-$R6,0))</f>
        <v/>
      </c>
      <c r="AY6" s="12">
        <f>IF($B6="BIG_SIDE",($G6+$J6)*$AU6,0)</f>
        <v/>
      </c>
      <c r="AZ6" s="12">
        <f>IF($B6="BIG_SIDE",$V6*$AU6,0)</f>
        <v/>
      </c>
    </row>
    <row r="7">
      <c r="A7" s="12" t="n">
        <v>6</v>
      </c>
      <c r="B7" s="13">
        <f>IF(OR($AP6="NO",$AQ6="DUAL_TAIL",$AQ6="DANGER",$AQ6="STOP"),"BLOCKED","SMALL_SIDE")</f>
        <v/>
      </c>
      <c r="C7" s="13">
        <f>IF($B7="BLOCKED",$AF6,IF($AP6="YES",$AF6,$C6))</f>
        <v/>
      </c>
      <c r="D7" s="13">
        <f>IF($B7="BLOCKED",0,IF($AP6="YES",MAX(0,$AG6),$D6))</f>
        <v/>
      </c>
      <c r="E7" s="12">
        <f>IF($B7="BLOCKED","",IF($C7="SELL","BUY","SELL"))</f>
        <v/>
      </c>
      <c r="F7" s="12">
        <f>IF($B7="BLOCKED",0,MAX(0,$D7*Settings!$B$3))</f>
        <v/>
      </c>
      <c r="G7" s="12">
        <f>IF($B7="BLOCKED",0,IFERROR(MAX(0,ROUND($F7/Settings!$B$11,0)*Settings!$B$11),0))</f>
        <v/>
      </c>
      <c r="H7" s="12">
        <f>IF($B7="BLOCKED","",$C7)</f>
        <v/>
      </c>
      <c r="I7" s="12">
        <f>IF($B7="BLOCKED",0,MAX(0,$G7*Settings!$B$4))</f>
        <v/>
      </c>
      <c r="J7" s="12">
        <f>IF($B7="BLOCKED",0,IFERROR(MAX(0,ROUND($I7/Settings!$B$11,0)*Settings!$B$11),0))</f>
        <v/>
      </c>
      <c r="K7" s="13" t="n">
        <v>80</v>
      </c>
      <c r="L7" s="13" t="n">
        <v>60</v>
      </c>
      <c r="M7" s="13" t="n">
        <v>100</v>
      </c>
      <c r="N7" s="14">
        <f>IF($B7="BIG_SIDE",$G7*MAX(0,$K7)*Settings!$B$9,0)</f>
        <v/>
      </c>
      <c r="O7" s="14">
        <f>IF($B7="SMALL_SIDE",$J7*ABS($L7)*Settings!$B$9,0)</f>
        <v/>
      </c>
      <c r="P7" s="15">
        <f>IF($B7="BIG_SIDE",$J7*ABS($L7)*Settings!$B$9,0)</f>
        <v/>
      </c>
      <c r="Q7" s="15">
        <f>IF($B7="SMALL_SIDE",$AL7*ABS($K7)*Settings!$B$9,0)</f>
        <v/>
      </c>
      <c r="R7" s="15">
        <f>$AT7*$AU7</f>
        <v/>
      </c>
      <c r="S7" s="14">
        <f>IF($B7="BIG_SIDE",$N7-$P7-$R7,IF($B7="SMALL_SIDE",$O7-$Q7-$R7,0))</f>
        <v/>
      </c>
      <c r="T7" s="12">
        <f>IF(AND($B7="BIG_SIDE",$AX7&gt;0),$AX7*Settings!$B$5,0)</f>
        <v/>
      </c>
      <c r="U7" s="12">
        <f>MAX(0,$M7*Settings!$B$9)</f>
        <v/>
      </c>
      <c r="V7" s="12">
        <f>IF($B7="BIG_SIDE",IFERROR(MIN($D7,MAX(0,$T7/$U7)),0),0)</f>
        <v/>
      </c>
      <c r="W7" s="12">
        <f>IF($B7="BIG_SIDE",MAX(0,$D7-$V7),$AJ7)</f>
        <v/>
      </c>
      <c r="X7" s="19">
        <f>IF($B7="BIG_SIDE",IF($AX7&gt;0,$AX7-$AS7,0),IF($S7&gt;0,$S7*0.5,0))</f>
        <v/>
      </c>
      <c r="Y7" s="19">
        <f>$Y6+$X7</f>
        <v/>
      </c>
      <c r="Z7" s="12">
        <f>$AA6</f>
        <v/>
      </c>
      <c r="AA7" s="12">
        <f>IF($B7="BLOCKED",$Z7,IF($B7="BIG_SIDE",$Z7+$AX7-$AS7-$AZ7,IF($B7="SMALL_SIDE",$Z7+$S7+$AI7,$Z7+$S7)))</f>
        <v/>
      </c>
      <c r="AB7" s="12">
        <f>IF($B7="BLOCKED",IF(ROW()=2,0,$AG6+$AJ6),$D7+$G7+$J7)</f>
        <v/>
      </c>
      <c r="AC7" s="12">
        <f>IF($B7="BLOCKED",$AB7,IF($B7="BIG_SIDE",$W7,$AG7+$AJ7))</f>
        <v/>
      </c>
      <c r="AD7" s="12">
        <f>$AB7*Settings!$B$10</f>
        <v/>
      </c>
      <c r="AE7" s="12">
        <f>$AC7*Settings!$B$10</f>
        <v/>
      </c>
      <c r="AF7" s="12">
        <f>IF($B7="BLOCKED",IF(ROW()=2,$C7,$AF6),IF($B7="SMALL_SIDE",$E7,$C7))</f>
        <v/>
      </c>
      <c r="AG7" s="12">
        <f>IF($B7="BLOCKED",IF(ROW()=2,0,$AG6),IF($B7="SMALL_SIDE",$AM7,$W7))</f>
        <v/>
      </c>
      <c r="AH7" s="13" t="inlineStr">
        <is>
          <t>YES</t>
        </is>
      </c>
      <c r="AI7" s="13" t="n">
        <v>0</v>
      </c>
      <c r="AJ7" s="12">
        <f>IF($B7="SMALL_SIDE",MAX(0,$D7-$AV7),0)</f>
        <v/>
      </c>
      <c r="AK7" s="12">
        <f>IF(AND($AJ7&gt;0,$AG7&gt;0),TRUE,FALSE)</f>
        <v/>
      </c>
      <c r="AL7" s="12">
        <f>IF($B7="SMALL_SIDE",$G7*Settings!$B$7,IF($B7="BIG_SIDE",$G7,0))</f>
        <v/>
      </c>
      <c r="AM7" s="12">
        <f>IF($B7="SMALL_SIDE",MAX(0,$G7-$AL7),0)</f>
        <v/>
      </c>
      <c r="AN7" s="12">
        <f>IF($B7="BIG_SIDE",1,IF($B7="SMALL_SIDE",Settings!$B$7,0))</f>
        <v/>
      </c>
      <c r="AO7" s="12">
        <f>IF(OR($B7="BIG_SIDE",$B7="SMALL_SIDE"),1,0)</f>
        <v/>
      </c>
      <c r="AP7" s="12">
        <f>IF(OR($AQ7="DUAL_TAIL",$AQ7="DANGER",$AQ7="STOP"),"NO","YES")</f>
        <v/>
      </c>
      <c r="AQ7" s="12">
        <f>IF($B7="BLOCKED","STOP",IF($AK7=TRUE,"DUAL_TAIL",IF(OR(IFERROR($G7/$D7,0)&gt;Settings!$B$16,IFERROR($J7/$G7,0)&gt;Settings!$B$17,$AE7&gt;$AD7,$Y7&lt;0,$AG7&gt;$D7*1.0001,$S7&lt;-100),"DANGER",IF(OR(AND($B7="BIG_SIDE",$U7&lt;=0),$S7&lt;=0,$X7=0,$AE7&gt;$AD7*0.95),"WARNING","OK"))))</f>
        <v/>
      </c>
      <c r="AR7" s="12">
        <f>IF($B7="BLOCKED","Заблокировано: предыдущий уровень не разрешил новый полноценный уровень",IF($B7="BIG_SIDE","BIG_SIDE: Big и Small закрыты 100%; баланс учитывает RealizedFarLoss",IF($AQ7="DUAL_TAIL","SMALL_SIDE: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7" s="20">
        <f>IF($B7="BIG_SIDE",$V7*$U7,0)</f>
        <v/>
      </c>
      <c r="AT7" s="12">
        <f>IF($B7="BIG_SIDE",$G7+$J7+$V7,IF($B7="SMALL_SIDE",$J7+$AL7+$AV7,0))</f>
        <v/>
      </c>
      <c r="AU7" s="12">
        <f>Settings!$B$13+Settings!$B$14+Settings!$B$15</f>
        <v/>
      </c>
      <c r="AV7" s="12">
        <f>IF($B7="SMALL_SIDE",IF($AH7="YES",$D7,IFERROR(MIN($D7,MAX(0,$AI7/$U7)),0)),0)</f>
        <v/>
      </c>
      <c r="AW7" s="12">
        <f>IF($B7="BLOCKED","Заблокировано: предыдущий уровень не разрешил новый полноценный уровень","")</f>
        <v/>
      </c>
      <c r="AX7" s="12">
        <f>IF($B7="BIG_SIDE",$N7-$P7-$AY7,IF($B7="SMALL_SIDE",$O7-$Q7-$R7,0))</f>
        <v/>
      </c>
      <c r="AY7" s="12">
        <f>IF($B7="BIG_SIDE",($G7+$J7)*$AU7,0)</f>
        <v/>
      </c>
      <c r="AZ7" s="12">
        <f>IF($B7="BIG_SIDE",$V7*$AU7,0)</f>
        <v/>
      </c>
    </row>
    <row r="8">
      <c r="A8" s="12" t="n">
        <v>7</v>
      </c>
      <c r="B8" s="13">
        <f>IF(OR($AP7="NO",$AQ7="DUAL_TAIL",$AQ7="DANGER",$AQ7="STOP"),"BLOCKED","BIG_SIDE")</f>
        <v/>
      </c>
      <c r="C8" s="13">
        <f>IF($B8="BLOCKED",$AF7,IF($AP7="YES",$AF7,$C7))</f>
        <v/>
      </c>
      <c r="D8" s="13">
        <f>IF($B8="BLOCKED",0,IF($AP7="YES",MAX(0,$AG7),$D7))</f>
        <v/>
      </c>
      <c r="E8" s="12">
        <f>IF($B8="BLOCKED","",IF($C8="SELL","BUY","SELL"))</f>
        <v/>
      </c>
      <c r="F8" s="12">
        <f>IF($B8="BLOCKED",0,MAX(0,$D8*Settings!$B$3))</f>
        <v/>
      </c>
      <c r="G8" s="12">
        <f>IF($B8="BLOCKED",0,IFERROR(MAX(0,ROUND($F8/Settings!$B$11,0)*Settings!$B$11),0))</f>
        <v/>
      </c>
      <c r="H8" s="12">
        <f>IF($B8="BLOCKED","",$C8)</f>
        <v/>
      </c>
      <c r="I8" s="12">
        <f>IF($B8="BLOCKED",0,MAX(0,$G8*Settings!$B$4))</f>
        <v/>
      </c>
      <c r="J8" s="12">
        <f>IF($B8="BLOCKED",0,IFERROR(MAX(0,ROUND($I8/Settings!$B$11,0)*Settings!$B$11),0))</f>
        <v/>
      </c>
      <c r="K8" s="13" t="n">
        <v>100</v>
      </c>
      <c r="L8" s="13" t="n">
        <v>-40</v>
      </c>
      <c r="M8" s="13" t="n">
        <v>100</v>
      </c>
      <c r="N8" s="14">
        <f>IF($B8="BIG_SIDE",$G8*MAX(0,$K8)*Settings!$B$9,0)</f>
        <v/>
      </c>
      <c r="O8" s="14">
        <f>IF($B8="SMALL_SIDE",$J8*ABS($L8)*Settings!$B$9,0)</f>
        <v/>
      </c>
      <c r="P8" s="15">
        <f>IF($B8="BIG_SIDE",$J8*ABS($L8)*Settings!$B$9,0)</f>
        <v/>
      </c>
      <c r="Q8" s="15">
        <f>IF($B8="SMALL_SIDE",$AL8*ABS($K8)*Settings!$B$9,0)</f>
        <v/>
      </c>
      <c r="R8" s="15">
        <f>$AT8*$AU8</f>
        <v/>
      </c>
      <c r="S8" s="14">
        <f>IF($B8="BIG_SIDE",$N8-$P8-$R8,IF($B8="SMALL_SIDE",$O8-$Q8-$R8,0))</f>
        <v/>
      </c>
      <c r="T8" s="12">
        <f>IF(AND($B8="BIG_SIDE",$AX8&gt;0),$AX8*Settings!$B$5,0)</f>
        <v/>
      </c>
      <c r="U8" s="12">
        <f>MAX(0,$M8*Settings!$B$9)</f>
        <v/>
      </c>
      <c r="V8" s="12">
        <f>IF($B8="BIG_SIDE",IFERROR(MIN($D8,MAX(0,$T8/$U8)),0),0)</f>
        <v/>
      </c>
      <c r="W8" s="12">
        <f>IF($B8="BIG_SIDE",MAX(0,$D8-$V8),$AJ8)</f>
        <v/>
      </c>
      <c r="X8" s="19">
        <f>IF($B8="BIG_SIDE",IF($AX8&gt;0,$AX8-$AS8,0),IF($S8&gt;0,$S8*0.5,0))</f>
        <v/>
      </c>
      <c r="Y8" s="19">
        <f>$Y7+$X8</f>
        <v/>
      </c>
      <c r="Z8" s="12">
        <f>$AA7</f>
        <v/>
      </c>
      <c r="AA8" s="12">
        <f>IF($B8="BLOCKED",$Z8,IF($B8="BIG_SIDE",$Z8+$AX8-$AS8-$AZ8,IF($B8="SMALL_SIDE",$Z8+$S8+$AI8,$Z8+$S8)))</f>
        <v/>
      </c>
      <c r="AB8" s="12">
        <f>IF($B8="BLOCKED",IF(ROW()=2,0,$AG7+$AJ7),$D8+$G8+$J8)</f>
        <v/>
      </c>
      <c r="AC8" s="12">
        <f>IF($B8="BLOCKED",$AB8,IF($B8="BIG_SIDE",$W8,$AG8+$AJ8))</f>
        <v/>
      </c>
      <c r="AD8" s="12">
        <f>$AB8*Settings!$B$10</f>
        <v/>
      </c>
      <c r="AE8" s="12">
        <f>$AC8*Settings!$B$10</f>
        <v/>
      </c>
      <c r="AF8" s="12">
        <f>IF($B8="BLOCKED",IF(ROW()=2,$C8,$AF7),IF($B8="SMALL_SIDE",$E8,$C8))</f>
        <v/>
      </c>
      <c r="AG8" s="12">
        <f>IF($B8="BLOCKED",IF(ROW()=2,0,$AG7),IF($B8="SMALL_SIDE",$AM8,$W8))</f>
        <v/>
      </c>
      <c r="AH8" s="13" t="inlineStr">
        <is>
          <t>NO</t>
        </is>
      </c>
      <c r="AI8" s="13" t="n">
        <v>0</v>
      </c>
      <c r="AJ8" s="12">
        <f>IF($B8="SMALL_SIDE",MAX(0,$D8-$AV8),0)</f>
        <v/>
      </c>
      <c r="AK8" s="12">
        <f>IF(AND($AJ8&gt;0,$AG8&gt;0),TRUE,FALSE)</f>
        <v/>
      </c>
      <c r="AL8" s="12">
        <f>IF($B8="SMALL_SIDE",$G8*Settings!$B$7,IF($B8="BIG_SIDE",$G8,0))</f>
        <v/>
      </c>
      <c r="AM8" s="12">
        <f>IF($B8="SMALL_SIDE",MAX(0,$G8-$AL8),0)</f>
        <v/>
      </c>
      <c r="AN8" s="12">
        <f>IF($B8="BIG_SIDE",1,IF($B8="SMALL_SIDE",Settings!$B$7,0))</f>
        <v/>
      </c>
      <c r="AO8" s="12">
        <f>IF(OR($B8="BIG_SIDE",$B8="SMALL_SIDE"),1,0)</f>
        <v/>
      </c>
      <c r="AP8" s="12">
        <f>IF(OR($AQ8="DUAL_TAIL",$AQ8="DANGER",$AQ8="STOP"),"NO","YES")</f>
        <v/>
      </c>
      <c r="AQ8" s="12">
        <f>IF($B8="BLOCKED","STOP",IF($AK8=TRUE,"DUAL_TAIL",IF(OR(IFERROR($G8/$D8,0)&gt;Settings!$B$16,IFERROR($J8/$G8,0)&gt;Settings!$B$17,$AE8&gt;$AD8,$Y8&lt;0,$AG8&gt;$D8*1.0001,$S8&lt;-100),"DANGER",IF(OR(AND($B8="BIG_SIDE",$U8&lt;=0),$S8&lt;=0,$X8=0,$AE8&gt;$AD8*0.95),"WARNING","OK"))))</f>
        <v/>
      </c>
      <c r="AR8" s="12">
        <f>IF($B8="BLOCKED","Заблокировано: предыдущий уровень не разрешил новый полноценный уровень",IF($B8="BIG_SIDE","BIG_SIDE: Big и Small закрыты 100%; баланс учитывает RealizedFarLoss",IF($AQ8="DUAL_TAIL","SMALL_SIDE: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8" s="20">
        <f>IF($B8="BIG_SIDE",$V8*$U8,0)</f>
        <v/>
      </c>
      <c r="AT8" s="12">
        <f>IF($B8="BIG_SIDE",$G8+$J8+$V8,IF($B8="SMALL_SIDE",$J8+$AL8+$AV8,0))</f>
        <v/>
      </c>
      <c r="AU8" s="12">
        <f>Settings!$B$13+Settings!$B$14+Settings!$B$15</f>
        <v/>
      </c>
      <c r="AV8" s="12">
        <f>IF($B8="SMALL_SIDE",IF($AH8="YES",$D8,IFERROR(MIN($D8,MAX(0,$AI8/$U8)),0)),0)</f>
        <v/>
      </c>
      <c r="AW8" s="12">
        <f>IF($B8="BLOCKED","Заблокировано: предыдущий уровень не разрешил новый полноценный уровень","")</f>
        <v/>
      </c>
      <c r="AX8" s="12">
        <f>IF($B8="BIG_SIDE",$N8-$P8-$AY8,IF($B8="SMALL_SIDE",$O8-$Q8-$R8,0))</f>
        <v/>
      </c>
      <c r="AY8" s="12">
        <f>IF($B8="BIG_SIDE",($G8+$J8)*$AU8,0)</f>
        <v/>
      </c>
      <c r="AZ8" s="12">
        <f>IF($B8="BIG_SIDE",$V8*$AU8,0)</f>
        <v/>
      </c>
    </row>
    <row r="9">
      <c r="A9" s="12" t="n">
        <v>8</v>
      </c>
      <c r="B9" s="13">
        <f>IF(OR($AP8="NO",$AQ8="DUAL_TAIL",$AQ8="DANGER",$AQ8="STOP"),"BLOCKED","BIG_SIDE")</f>
        <v/>
      </c>
      <c r="C9" s="13">
        <f>IF($B9="BLOCKED",$AF8,IF($AP8="YES",$AF8,$C8))</f>
        <v/>
      </c>
      <c r="D9" s="13">
        <f>IF($B9="BLOCKED",0,IF($AP8="YES",MAX(0,$AG8),$D8))</f>
        <v/>
      </c>
      <c r="E9" s="12">
        <f>IF($B9="BLOCKED","",IF($C9="SELL","BUY","SELL"))</f>
        <v/>
      </c>
      <c r="F9" s="12">
        <f>IF($B9="BLOCKED",0,MAX(0,$D9*Settings!$B$3))</f>
        <v/>
      </c>
      <c r="G9" s="12">
        <f>IF($B9="BLOCKED",0,IFERROR(MAX(0,ROUND($F9/Settings!$B$11,0)*Settings!$B$11),0))</f>
        <v/>
      </c>
      <c r="H9" s="12">
        <f>IF($B9="BLOCKED","",$C9)</f>
        <v/>
      </c>
      <c r="I9" s="12">
        <f>IF($B9="BLOCKED",0,MAX(0,$G9*Settings!$B$4))</f>
        <v/>
      </c>
      <c r="J9" s="12">
        <f>IF($B9="BLOCKED",0,IFERROR(MAX(0,ROUND($I9/Settings!$B$11,0)*Settings!$B$11),0))</f>
        <v/>
      </c>
      <c r="K9" s="13" t="n">
        <v>100</v>
      </c>
      <c r="L9" s="13" t="n">
        <v>-40</v>
      </c>
      <c r="M9" s="13" t="n">
        <v>100</v>
      </c>
      <c r="N9" s="14">
        <f>IF($B9="BIG_SIDE",$G9*MAX(0,$K9)*Settings!$B$9,0)</f>
        <v/>
      </c>
      <c r="O9" s="14">
        <f>IF($B9="SMALL_SIDE",$J9*ABS($L9)*Settings!$B$9,0)</f>
        <v/>
      </c>
      <c r="P9" s="15">
        <f>IF($B9="BIG_SIDE",$J9*ABS($L9)*Settings!$B$9,0)</f>
        <v/>
      </c>
      <c r="Q9" s="15">
        <f>IF($B9="SMALL_SIDE",$AL9*ABS($K9)*Settings!$B$9,0)</f>
        <v/>
      </c>
      <c r="R9" s="15">
        <f>$AT9*$AU9</f>
        <v/>
      </c>
      <c r="S9" s="14">
        <f>IF($B9="BIG_SIDE",$N9-$P9-$R9,IF($B9="SMALL_SIDE",$O9-$Q9-$R9,0))</f>
        <v/>
      </c>
      <c r="T9" s="12">
        <f>IF(AND($B9="BIG_SIDE",$AX9&gt;0),$AX9*Settings!$B$5,0)</f>
        <v/>
      </c>
      <c r="U9" s="12">
        <f>MAX(0,$M9*Settings!$B$9)</f>
        <v/>
      </c>
      <c r="V9" s="12">
        <f>IF($B9="BIG_SIDE",IFERROR(MIN($D9,MAX(0,$T9/$U9)),0),0)</f>
        <v/>
      </c>
      <c r="W9" s="12">
        <f>IF($B9="BIG_SIDE",MAX(0,$D9-$V9),$AJ9)</f>
        <v/>
      </c>
      <c r="X9" s="19">
        <f>IF($B9="BIG_SIDE",IF($AX9&gt;0,$AX9-$AS9,0),IF($S9&gt;0,$S9*0.5,0))</f>
        <v/>
      </c>
      <c r="Y9" s="19">
        <f>$Y8+$X9</f>
        <v/>
      </c>
      <c r="Z9" s="12">
        <f>$AA8</f>
        <v/>
      </c>
      <c r="AA9" s="12">
        <f>IF($B9="BLOCKED",$Z9,IF($B9="BIG_SIDE",$Z9+$AX9-$AS9-$AZ9,IF($B9="SMALL_SIDE",$Z9+$S9+$AI9,$Z9+$S9)))</f>
        <v/>
      </c>
      <c r="AB9" s="12">
        <f>IF($B9="BLOCKED",IF(ROW()=2,0,$AG8+$AJ8),$D9+$G9+$J9)</f>
        <v/>
      </c>
      <c r="AC9" s="12">
        <f>IF($B9="BLOCKED",$AB9,IF($B9="BIG_SIDE",$W9,$AG9+$AJ9))</f>
        <v/>
      </c>
      <c r="AD9" s="12">
        <f>$AB9*Settings!$B$10</f>
        <v/>
      </c>
      <c r="AE9" s="12">
        <f>$AC9*Settings!$B$10</f>
        <v/>
      </c>
      <c r="AF9" s="12">
        <f>IF($B9="BLOCKED",IF(ROW()=2,$C9,$AF8),IF($B9="SMALL_SIDE",$E9,$C9))</f>
        <v/>
      </c>
      <c r="AG9" s="12">
        <f>IF($B9="BLOCKED",IF(ROW()=2,0,$AG8),IF($B9="SMALL_SIDE",$AM9,$W9))</f>
        <v/>
      </c>
      <c r="AH9" s="13" t="inlineStr">
        <is>
          <t>NO</t>
        </is>
      </c>
      <c r="AI9" s="13" t="n">
        <v>0</v>
      </c>
      <c r="AJ9" s="12">
        <f>IF($B9="SMALL_SIDE",MAX(0,$D9-$AV9),0)</f>
        <v/>
      </c>
      <c r="AK9" s="12">
        <f>IF(AND($AJ9&gt;0,$AG9&gt;0),TRUE,FALSE)</f>
        <v/>
      </c>
      <c r="AL9" s="12">
        <f>IF($B9="SMALL_SIDE",$G9*Settings!$B$7,IF($B9="BIG_SIDE",$G9,0))</f>
        <v/>
      </c>
      <c r="AM9" s="12">
        <f>IF($B9="SMALL_SIDE",MAX(0,$G9-$AL9),0)</f>
        <v/>
      </c>
      <c r="AN9" s="12">
        <f>IF($B9="BIG_SIDE",1,IF($B9="SMALL_SIDE",Settings!$B$7,0))</f>
        <v/>
      </c>
      <c r="AO9" s="12">
        <f>IF(OR($B9="BIG_SIDE",$B9="SMALL_SIDE"),1,0)</f>
        <v/>
      </c>
      <c r="AP9" s="12">
        <f>IF(OR($AQ9="DUAL_TAIL",$AQ9="DANGER",$AQ9="STOP"),"NO","YES")</f>
        <v/>
      </c>
      <c r="AQ9" s="12">
        <f>IF($B9="BLOCKED","STOP",IF($AK9=TRUE,"DUAL_TAIL",IF(OR(IFERROR($G9/$D9,0)&gt;Settings!$B$16,IFERROR($J9/$G9,0)&gt;Settings!$B$17,$AE9&gt;$AD9,$Y9&lt;0,$AG9&gt;$D9*1.0001,$S9&lt;-100),"DANGER",IF(OR(AND($B9="BIG_SIDE",$U9&lt;=0),$S9&lt;=0,$X9=0,$AE9&gt;$AD9*0.95),"WARNING","OK"))))</f>
        <v/>
      </c>
      <c r="AR9" s="12">
        <f>IF($B9="BLOCKED","Заблокировано: предыдущий уровень не разрешил новый полноценный уровень",IF($B9="BIG_SIDE","BIG_SIDE: Big и Small закрыты 100%; баланс учитывает RealizedFarLoss",IF($AQ9="DUAL_TAIL","SMALL_SIDE: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9" s="20">
        <f>IF($B9="BIG_SIDE",$V9*$U9,0)</f>
        <v/>
      </c>
      <c r="AT9" s="12">
        <f>IF($B9="BIG_SIDE",$G9+$J9+$V9,IF($B9="SMALL_SIDE",$J9+$AL9+$AV9,0))</f>
        <v/>
      </c>
      <c r="AU9" s="12">
        <f>Settings!$B$13+Settings!$B$14+Settings!$B$15</f>
        <v/>
      </c>
      <c r="AV9" s="12">
        <f>IF($B9="SMALL_SIDE",IF($AH9="YES",$D9,IFERROR(MIN($D9,MAX(0,$AI9/$U9)),0)),0)</f>
        <v/>
      </c>
      <c r="AW9" s="12">
        <f>IF($B9="BLOCKED","Заблокировано: предыдущий уровень не разрешил новый полноценный уровень","")</f>
        <v/>
      </c>
      <c r="AX9" s="12">
        <f>IF($B9="BIG_SIDE",$N9-$P9-$AY9,IF($B9="SMALL_SIDE",$O9-$Q9-$R9,0))</f>
        <v/>
      </c>
      <c r="AY9" s="12">
        <f>IF($B9="BIG_SIDE",($G9+$J9)*$AU9,0)</f>
        <v/>
      </c>
      <c r="AZ9" s="12">
        <f>IF($B9="BIG_SIDE",$V9*$AU9,0)</f>
        <v/>
      </c>
    </row>
    <row r="10">
      <c r="A10" s="12" t="n">
        <v>9</v>
      </c>
      <c r="B10" s="13">
        <f>IF(OR($AP9="NO",$AQ9="DUAL_TAIL",$AQ9="DANGER",$AQ9="STOP"),"BLOCKED","BIG_SIDE")</f>
        <v/>
      </c>
      <c r="C10" s="13">
        <f>IF($B10="BLOCKED",$AF9,IF($AP9="YES",$AF9,$C9))</f>
        <v/>
      </c>
      <c r="D10" s="13">
        <f>IF($B10="BLOCKED",0,IF($AP9="YES",MAX(0,$AG9),$D9))</f>
        <v/>
      </c>
      <c r="E10" s="12">
        <f>IF($B10="BLOCKED","",IF($C10="SELL","BUY","SELL"))</f>
        <v/>
      </c>
      <c r="F10" s="12">
        <f>IF($B10="BLOCKED",0,MAX(0,$D10*Settings!$B$3))</f>
        <v/>
      </c>
      <c r="G10" s="12">
        <f>IF($B10="BLOCKED",0,IFERROR(MAX(0,ROUND($F10/Settings!$B$11,0)*Settings!$B$11),0))</f>
        <v/>
      </c>
      <c r="H10" s="12">
        <f>IF($B10="BLOCKED","",$C10)</f>
        <v/>
      </c>
      <c r="I10" s="12">
        <f>IF($B10="BLOCKED",0,MAX(0,$G10*Settings!$B$4))</f>
        <v/>
      </c>
      <c r="J10" s="12">
        <f>IF($B10="BLOCKED",0,IFERROR(MAX(0,ROUND($I10/Settings!$B$11,0)*Settings!$B$11),0))</f>
        <v/>
      </c>
      <c r="K10" s="13" t="n">
        <v>100</v>
      </c>
      <c r="L10" s="13" t="n">
        <v>-40</v>
      </c>
      <c r="M10" s="13" t="n">
        <v>100</v>
      </c>
      <c r="N10" s="14">
        <f>IF($B10="BIG_SIDE",$G10*MAX(0,$K10)*Settings!$B$9,0)</f>
        <v/>
      </c>
      <c r="O10" s="14">
        <f>IF($B10="SMALL_SIDE",$J10*ABS($L10)*Settings!$B$9,0)</f>
        <v/>
      </c>
      <c r="P10" s="15">
        <f>IF($B10="BIG_SIDE",$J10*ABS($L10)*Settings!$B$9,0)</f>
        <v/>
      </c>
      <c r="Q10" s="15">
        <f>IF($B10="SMALL_SIDE",$AL10*ABS($K10)*Settings!$B$9,0)</f>
        <v/>
      </c>
      <c r="R10" s="15">
        <f>$AT10*$AU10</f>
        <v/>
      </c>
      <c r="S10" s="14">
        <f>IF($B10="BIG_SIDE",$N10-$P10-$R10,IF($B10="SMALL_SIDE",$O10-$Q10-$R10,0))</f>
        <v/>
      </c>
      <c r="T10" s="12">
        <f>IF(AND($B10="BIG_SIDE",$AX10&gt;0),$AX10*Settings!$B$5,0)</f>
        <v/>
      </c>
      <c r="U10" s="12">
        <f>MAX(0,$M10*Settings!$B$9)</f>
        <v/>
      </c>
      <c r="V10" s="12">
        <f>IF($B10="BIG_SIDE",IFERROR(MIN($D10,MAX(0,$T10/$U10)),0),0)</f>
        <v/>
      </c>
      <c r="W10" s="12">
        <f>IF($B10="BIG_SIDE",MAX(0,$D10-$V10),$AJ10)</f>
        <v/>
      </c>
      <c r="X10" s="19">
        <f>IF($B10="BIG_SIDE",IF($AX10&gt;0,$AX10-$AS10,0),IF($S10&gt;0,$S10*0.5,0))</f>
        <v/>
      </c>
      <c r="Y10" s="19">
        <f>$Y9+$X10</f>
        <v/>
      </c>
      <c r="Z10" s="12">
        <f>$AA9</f>
        <v/>
      </c>
      <c r="AA10" s="12">
        <f>IF($B10="BLOCKED",$Z10,IF($B10="BIG_SIDE",$Z10+$AX10-$AS10-$AZ10,IF($B10="SMALL_SIDE",$Z10+$S10+$AI10,$Z10+$S10)))</f>
        <v/>
      </c>
      <c r="AB10" s="12">
        <f>IF($B10="BLOCKED",IF(ROW()=2,0,$AG9+$AJ9),$D10+$G10+$J10)</f>
        <v/>
      </c>
      <c r="AC10" s="12">
        <f>IF($B10="BLOCKED",$AB10,IF($B10="BIG_SIDE",$W10,$AG10+$AJ10))</f>
        <v/>
      </c>
      <c r="AD10" s="12">
        <f>$AB10*Settings!$B$10</f>
        <v/>
      </c>
      <c r="AE10" s="12">
        <f>$AC10*Settings!$B$10</f>
        <v/>
      </c>
      <c r="AF10" s="12">
        <f>IF($B10="BLOCKED",IF(ROW()=2,$C10,$AF9),IF($B10="SMALL_SIDE",$E10,$C10))</f>
        <v/>
      </c>
      <c r="AG10" s="12">
        <f>IF($B10="BLOCKED",IF(ROW()=2,0,$AG9),IF($B10="SMALL_SIDE",$AM10,$W10))</f>
        <v/>
      </c>
      <c r="AH10" s="13" t="inlineStr">
        <is>
          <t>NO</t>
        </is>
      </c>
      <c r="AI10" s="13" t="n">
        <v>0</v>
      </c>
      <c r="AJ10" s="12">
        <f>IF($B10="SMALL_SIDE",MAX(0,$D10-$AV10),0)</f>
        <v/>
      </c>
      <c r="AK10" s="12">
        <f>IF(AND($AJ10&gt;0,$AG10&gt;0),TRUE,FALSE)</f>
        <v/>
      </c>
      <c r="AL10" s="12">
        <f>IF($B10="SMALL_SIDE",$G10*Settings!$B$7,IF($B10="BIG_SIDE",$G10,0))</f>
        <v/>
      </c>
      <c r="AM10" s="12">
        <f>IF($B10="SMALL_SIDE",MAX(0,$G10-$AL10),0)</f>
        <v/>
      </c>
      <c r="AN10" s="12">
        <f>IF($B10="BIG_SIDE",1,IF($B10="SMALL_SIDE",Settings!$B$7,0))</f>
        <v/>
      </c>
      <c r="AO10" s="12">
        <f>IF(OR($B10="BIG_SIDE",$B10="SMALL_SIDE"),1,0)</f>
        <v/>
      </c>
      <c r="AP10" s="12">
        <f>IF(OR($AQ10="DUAL_TAIL",$AQ10="DANGER",$AQ10="STOP"),"NO","YES")</f>
        <v/>
      </c>
      <c r="AQ10" s="12">
        <f>IF($B10="BLOCKED","STOP",IF($AK10=TRUE,"DUAL_TAIL",IF(OR(IFERROR($G10/$D10,0)&gt;Settings!$B$16,IFERROR($J10/$G10,0)&gt;Settings!$B$17,$AE10&gt;$AD10,$Y10&lt;0,$AG10&gt;$D10*1.0001,$S10&lt;-100),"DANGER",IF(OR(AND($B10="BIG_SIDE",$U10&lt;=0),$S10&lt;=0,$X10=0,$AE10&gt;$AD10*0.95),"WARNING","OK"))))</f>
        <v/>
      </c>
      <c r="AR10" s="12">
        <f>IF($B10="BLOCKED","Заблокировано: предыдущий уровень не разрешил новый полноценный уровень",IF($B10="BIG_SIDE","BIG_SIDE: Big и Small закрыты 100%; баланс учитывает RealizedFarLoss",IF($AQ10="DUAL_TAIL","SMALL_SIDE: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10" s="20">
        <f>IF($B10="BIG_SIDE",$V10*$U10,0)</f>
        <v/>
      </c>
      <c r="AT10" s="12">
        <f>IF($B10="BIG_SIDE",$G10+$J10+$V10,IF($B10="SMALL_SIDE",$J10+$AL10+$AV10,0))</f>
        <v/>
      </c>
      <c r="AU10" s="12">
        <f>Settings!$B$13+Settings!$B$14+Settings!$B$15</f>
        <v/>
      </c>
      <c r="AV10" s="12">
        <f>IF($B10="SMALL_SIDE",IF($AH10="YES",$D10,IFERROR(MIN($D10,MAX(0,$AI10/$U10)),0)),0)</f>
        <v/>
      </c>
      <c r="AW10" s="12">
        <f>IF($B10="BLOCKED","Заблокировано: предыдущий уровень не разрешил новый полноценный уровень","")</f>
        <v/>
      </c>
      <c r="AX10" s="12">
        <f>IF($B10="BIG_SIDE",$N10-$P10-$AY10,IF($B10="SMALL_SIDE",$O10-$Q10-$R10,0))</f>
        <v/>
      </c>
      <c r="AY10" s="12">
        <f>IF($B10="BIG_SIDE",($G10+$J10)*$AU10,0)</f>
        <v/>
      </c>
      <c r="AZ10" s="12">
        <f>IF($B10="BIG_SIDE",$V10*$AU10,0)</f>
        <v/>
      </c>
    </row>
    <row r="11">
      <c r="A11" s="12" t="n">
        <v>10</v>
      </c>
      <c r="B11" s="13">
        <f>IF(OR($AP10="NO",$AQ10="DUAL_TAIL",$AQ10="DANGER",$AQ10="STOP"),"BLOCKED","BIG_SIDE")</f>
        <v/>
      </c>
      <c r="C11" s="13">
        <f>IF($B11="BLOCKED",$AF10,IF($AP10="YES",$AF10,$C10))</f>
        <v/>
      </c>
      <c r="D11" s="13">
        <f>IF($B11="BLOCKED",0,IF($AP10="YES",MAX(0,$AG10),$D10))</f>
        <v/>
      </c>
      <c r="E11" s="12">
        <f>IF($B11="BLOCKED","",IF($C11="SELL","BUY","SELL"))</f>
        <v/>
      </c>
      <c r="F11" s="12">
        <f>IF($B11="BLOCKED",0,MAX(0,$D11*Settings!$B$3))</f>
        <v/>
      </c>
      <c r="G11" s="12">
        <f>IF($B11="BLOCKED",0,IFERROR(MAX(0,ROUND($F11/Settings!$B$11,0)*Settings!$B$11),0))</f>
        <v/>
      </c>
      <c r="H11" s="12">
        <f>IF($B11="BLOCKED","",$C11)</f>
        <v/>
      </c>
      <c r="I11" s="12">
        <f>IF($B11="BLOCKED",0,MAX(0,$G11*Settings!$B$4))</f>
        <v/>
      </c>
      <c r="J11" s="12">
        <f>IF($B11="BLOCKED",0,IFERROR(MAX(0,ROUND($I11/Settings!$B$11,0)*Settings!$B$11),0))</f>
        <v/>
      </c>
      <c r="K11" s="13" t="n">
        <v>100</v>
      </c>
      <c r="L11" s="13" t="n">
        <v>-40</v>
      </c>
      <c r="M11" s="13" t="n">
        <v>100</v>
      </c>
      <c r="N11" s="14">
        <f>IF($B11="BIG_SIDE",$G11*MAX(0,$K11)*Settings!$B$9,0)</f>
        <v/>
      </c>
      <c r="O11" s="14">
        <f>IF($B11="SMALL_SIDE",$J11*ABS($L11)*Settings!$B$9,0)</f>
        <v/>
      </c>
      <c r="P11" s="15">
        <f>IF($B11="BIG_SIDE",$J11*ABS($L11)*Settings!$B$9,0)</f>
        <v/>
      </c>
      <c r="Q11" s="15">
        <f>IF($B11="SMALL_SIDE",$AL11*ABS($K11)*Settings!$B$9,0)</f>
        <v/>
      </c>
      <c r="R11" s="15">
        <f>$AT11*$AU11</f>
        <v/>
      </c>
      <c r="S11" s="14">
        <f>IF($B11="BIG_SIDE",$N11-$P11-$R11,IF($B11="SMALL_SIDE",$O11-$Q11-$R11,0))</f>
        <v/>
      </c>
      <c r="T11" s="12">
        <f>IF(AND($B11="BIG_SIDE",$AX11&gt;0),$AX11*Settings!$B$5,0)</f>
        <v/>
      </c>
      <c r="U11" s="12">
        <f>MAX(0,$M11*Settings!$B$9)</f>
        <v/>
      </c>
      <c r="V11" s="12">
        <f>IF($B11="BIG_SIDE",IFERROR(MIN($D11,MAX(0,$T11/$U11)),0),0)</f>
        <v/>
      </c>
      <c r="W11" s="12">
        <f>IF($B11="BIG_SIDE",MAX(0,$D11-$V11),$AJ11)</f>
        <v/>
      </c>
      <c r="X11" s="19">
        <f>IF($B11="BIG_SIDE",IF($AX11&gt;0,$AX11-$AS11,0),IF($S11&gt;0,$S11*0.5,0))</f>
        <v/>
      </c>
      <c r="Y11" s="19">
        <f>$Y10+$X11</f>
        <v/>
      </c>
      <c r="Z11" s="12">
        <f>$AA10</f>
        <v/>
      </c>
      <c r="AA11" s="12">
        <f>IF($B11="BLOCKED",$Z11,IF($B11="BIG_SIDE",$Z11+$AX11-$AS11-$AZ11,IF($B11="SMALL_SIDE",$Z11+$S11+$AI11,$Z11+$S11)))</f>
        <v/>
      </c>
      <c r="AB11" s="12">
        <f>IF($B11="BLOCKED",IF(ROW()=2,0,$AG10+$AJ10),$D11+$G11+$J11)</f>
        <v/>
      </c>
      <c r="AC11" s="12">
        <f>IF($B11="BLOCKED",$AB11,IF($B11="BIG_SIDE",$W11,$AG11+$AJ11))</f>
        <v/>
      </c>
      <c r="AD11" s="12">
        <f>$AB11*Settings!$B$10</f>
        <v/>
      </c>
      <c r="AE11" s="12">
        <f>$AC11*Settings!$B$10</f>
        <v/>
      </c>
      <c r="AF11" s="12">
        <f>IF($B11="BLOCKED",IF(ROW()=2,$C11,$AF10),IF($B11="SMALL_SIDE",$E11,$C11))</f>
        <v/>
      </c>
      <c r="AG11" s="12">
        <f>IF($B11="BLOCKED",IF(ROW()=2,0,$AG10),IF($B11="SMALL_SIDE",$AM11,$W11))</f>
        <v/>
      </c>
      <c r="AH11" s="13" t="inlineStr">
        <is>
          <t>NO</t>
        </is>
      </c>
      <c r="AI11" s="13" t="n">
        <v>0</v>
      </c>
      <c r="AJ11" s="12">
        <f>IF($B11="SMALL_SIDE",MAX(0,$D11-$AV11),0)</f>
        <v/>
      </c>
      <c r="AK11" s="12">
        <f>IF(AND($AJ11&gt;0,$AG11&gt;0),TRUE,FALSE)</f>
        <v/>
      </c>
      <c r="AL11" s="12">
        <f>IF($B11="SMALL_SIDE",$G11*Settings!$B$7,IF($B11="BIG_SIDE",$G11,0))</f>
        <v/>
      </c>
      <c r="AM11" s="12">
        <f>IF($B11="SMALL_SIDE",MAX(0,$G11-$AL11),0)</f>
        <v/>
      </c>
      <c r="AN11" s="12">
        <f>IF($B11="BIG_SIDE",1,IF($B11="SMALL_SIDE",Settings!$B$7,0))</f>
        <v/>
      </c>
      <c r="AO11" s="12">
        <f>IF(OR($B11="BIG_SIDE",$B11="SMALL_SIDE"),1,0)</f>
        <v/>
      </c>
      <c r="AP11" s="12">
        <f>IF(OR($AQ11="DUAL_TAIL",$AQ11="DANGER",$AQ11="STOP"),"NO","YES")</f>
        <v/>
      </c>
      <c r="AQ11" s="12">
        <f>IF($B11="BLOCKED","STOP",IF($AK11=TRUE,"DUAL_TAIL",IF(OR(IFERROR($G11/$D11,0)&gt;Settings!$B$16,IFERROR($J11/$G11,0)&gt;Settings!$B$17,$AE11&gt;$AD11,$Y11&lt;0,$AG11&gt;$D11*1.0001,$S11&lt;-100),"DANGER",IF(OR(AND($B11="BIG_SIDE",$U11&lt;=0),$S11&lt;=0,$X11=0,$AE11&gt;$AD11*0.95),"WARNING","OK"))))</f>
        <v/>
      </c>
      <c r="AR11" s="12">
        <f>IF($B11="BLOCKED","Заблокировано: предыдущий уровень не разрешил новый полноценный уровень",IF($B11="BIG_SIDE","BIG_SIDE: Big и Small закрыты 100%; баланс учитывает RealizedFarLoss",IF($AQ11="DUAL_TAIL","SMALL_SIDE: старый и новый хвост одновременно; новый уровень запрещён","SMALL_SIDE: Small закрыт 100%, Big закрыт 22%, остаток Big = новый хвост")))</f>
        <v/>
      </c>
      <c r="AS11" s="20">
        <f>IF($B11="BIG_SIDE",$V11*$U11,0)</f>
        <v/>
      </c>
      <c r="AT11" s="12">
        <f>IF($B11="BIG_SIDE",$G11+$J11+$V11,IF($B11="SMALL_SIDE",$J11+$AL11+$AV11,0))</f>
        <v/>
      </c>
      <c r="AU11" s="12">
        <f>Settings!$B$13+Settings!$B$14+Settings!$B$15</f>
        <v/>
      </c>
      <c r="AV11" s="12">
        <f>IF($B11="SMALL_SIDE",IF($AH11="YES",$D11,IFERROR(MIN($D11,MAX(0,$AI11/$U11)),0)),0)</f>
        <v/>
      </c>
      <c r="AW11" s="12">
        <f>IF($B11="BLOCKED","Заблокировано: предыдущий уровень не разрешил новый полноценный уровень","")</f>
        <v/>
      </c>
      <c r="AX11" s="12">
        <f>IF($B11="BIG_SIDE",$N11-$P11-$AY11,IF($B11="SMALL_SIDE",$O11-$Q11-$R11,0))</f>
        <v/>
      </c>
      <c r="AY11" s="12">
        <f>IF($B11="BIG_SIDE",($G11+$J11)*$AU11,0)</f>
        <v/>
      </c>
      <c r="AZ11" s="12">
        <f>IF($B11="BIG_SIDE",$V11*$AU11,0)</f>
        <v/>
      </c>
    </row>
  </sheetData>
  <autoFilter ref="A1:AZ11"/>
  <conditionalFormatting sqref="AQ2:AQ11">
    <cfRule type="expression" priority="1" dxfId="0">
      <formula>$AQ2="WARNING"</formula>
    </cfRule>
    <cfRule type="expression" priority="2" dxfId="1">
      <formula>$AQ2="DUAL_TAIL"</formula>
    </cfRule>
    <cfRule type="expression" priority="3" dxfId="2">
      <formula>$AQ2="DANGER"</formula>
    </cfRule>
    <cfRule type="expression" priority="4" dxfId="3">
      <formula>$AQ2="STOP"</formula>
    </cfRule>
  </conditionalFormatting>
  <dataValidations count="3">
    <dataValidation sqref="B2 B3 B4 B5 B6 B7 B8 B9 B10 B11" showDropDown="0" showInputMessage="0" showErrorMessage="0" allowBlank="0" type="list">
      <formula1>"BIG_SIDE,SMALL_SIDE"</formula1>
    </dataValidation>
    <dataValidation sqref="C2 C3 C4 C5 C6 C7 C8 C9 C10 C11" showDropDown="0" showInputMessage="0" showErrorMessage="0" allowBlank="0" type="list">
      <formula1>"BUY,SELL"</formula1>
    </dataValidation>
    <dataValidation sqref="AH2 AH3 AH4 AH5 AH6 AH7 AH8 AH9 AH10 AH1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38" customWidth="1" min="3" max="3"/>
  </cols>
  <sheetData>
    <row r="1">
      <c r="A1" s="1" t="inlineStr">
        <is>
          <t>Показатель</t>
        </is>
      </c>
      <c r="B1" s="1" t="inlineStr">
        <is>
          <t>Формула / источник</t>
        </is>
      </c>
      <c r="C1" s="1" t="inlineStr">
        <is>
          <t>Значение</t>
        </is>
      </c>
    </row>
    <row r="2">
      <c r="A2" s="3" t="inlineStr">
        <is>
          <t>Total Closed Profit</t>
        </is>
      </c>
      <c r="B2" s="3" t="inlineStr">
        <is>
          <t>SUM ProfitBig + ProfitSmall + positive OldFarClosePL</t>
        </is>
      </c>
      <c r="C2" s="3">
        <f>SUM(Calculator!N2:O11)+SUMIF(Calculator!AI2:AI11,"&gt;0",Calculator!AI2:AI11)</f>
        <v/>
      </c>
    </row>
    <row r="3">
      <c r="A3" s="3" t="inlineStr">
        <is>
          <t>Total Closed Loss</t>
        </is>
      </c>
      <c r="B3" s="3" t="inlineStr">
        <is>
          <t>LossSmall + LossClosedBig + Costs + RealizedFarLoss + negative OldFarClosePL</t>
        </is>
      </c>
      <c r="C3" s="3">
        <f>SUM(Calculator!P2:Q11)+SUM(Calculator!R2:R11)+SUM(Calculator!AS2:AS11)-SUMIF(Calculator!AI2:AI11,"&lt;0",Calculator!AI2:AI11)</f>
        <v/>
      </c>
    </row>
    <row r="4">
      <c r="A4" s="3" t="inlineStr">
        <is>
          <t>Total Realized Far Loss</t>
        </is>
      </c>
      <c r="B4" s="3" t="inlineStr">
        <is>
          <t>SUM RealizedFarLoss</t>
        </is>
      </c>
      <c r="C4" s="3">
        <f>SUM(Calculator!AS2:AS11)</f>
        <v/>
      </c>
    </row>
    <row r="5">
      <c r="A5" s="3" t="inlineStr">
        <is>
          <t>Final Balance</t>
        </is>
      </c>
      <c r="B5" s="3" t="inlineStr">
        <is>
          <t>last BalanceAfter</t>
        </is>
      </c>
      <c r="C5" s="3">
        <f>LOOKUP(2,1/(Calculator!AA2:AA11&lt;&gt;""),Calculator!AA2:AA11)</f>
        <v/>
      </c>
    </row>
    <row r="6">
      <c r="A6" s="3" t="inlineStr">
        <is>
          <t>Final Reserve</t>
        </is>
      </c>
      <c r="B6" s="3" t="inlineStr">
        <is>
          <t>last TotalReserve</t>
        </is>
      </c>
      <c r="C6" s="3">
        <f>LOOKUP(2,1/(Calculator!Y2:Y11&lt;&gt;""),Calculator!Y2:Y11)</f>
        <v/>
      </c>
    </row>
    <row r="7">
      <c r="A7" s="3" t="inlineStr">
        <is>
          <t>Max Margin</t>
        </is>
      </c>
      <c r="B7" s="3" t="inlineStr">
        <is>
          <t>MAX MarginBefore</t>
        </is>
      </c>
      <c r="C7" s="3">
        <f>MAX(Calculator!AD2:AD11)</f>
        <v/>
      </c>
    </row>
    <row r="8">
      <c r="A8" s="3" t="inlineStr">
        <is>
          <t>Max Open Lots</t>
        </is>
      </c>
      <c r="B8" s="3" t="inlineStr">
        <is>
          <t>MAX OpenLotsBefore</t>
        </is>
      </c>
      <c r="C8" s="3">
        <f>MAX(Calculator!AB2:AB11)</f>
        <v/>
      </c>
    </row>
    <row r="9">
      <c r="A9" s="3" t="inlineStr">
        <is>
          <t>Final Far Lot</t>
        </is>
      </c>
      <c r="B9" s="3" t="inlineStr">
        <is>
          <t>last NewFarStartLot</t>
        </is>
      </c>
      <c r="C9" s="3">
        <f>LOOKUP(2,1/(Calculator!AG2:AG11&lt;&gt;""),Calculator!AG2:AG11)</f>
        <v/>
      </c>
    </row>
    <row r="10">
      <c r="A10" s="3" t="inlineStr">
        <is>
          <t>Number of BIG_SIDE</t>
        </is>
      </c>
      <c r="B10" s="3" t="inlineStr">
        <is>
          <t>COUNTIF Scenario</t>
        </is>
      </c>
      <c r="C10" s="3">
        <f>COUNTIF(Calculator!B2:B11,"BIG_SIDE")</f>
        <v/>
      </c>
    </row>
    <row r="11">
      <c r="A11" s="3" t="inlineStr">
        <is>
          <t>Number of SMALL_SIDE</t>
        </is>
      </c>
      <c r="B11" s="3" t="inlineStr">
        <is>
          <t>COUNTIF Scenario</t>
        </is>
      </c>
      <c r="C11" s="3">
        <f>COUNTIF(Calculator!B2:B11,"SMALL_SIDE")</f>
        <v/>
      </c>
    </row>
    <row r="12">
      <c r="A12" s="3" t="inlineStr">
        <is>
          <t>Dual Tail Count</t>
        </is>
      </c>
      <c r="B12" s="3" t="inlineStr">
        <is>
          <t>COUNTIF Status DUAL_TAIL</t>
        </is>
      </c>
      <c r="C12" s="3">
        <f>COUNTIF(Calculator!AQ2:AQ11,"DUAL_TAIL")</f>
        <v/>
      </c>
    </row>
    <row r="13">
      <c r="A13" s="3" t="inlineStr">
        <is>
          <t>Danger Count</t>
        </is>
      </c>
      <c r="B13" s="3" t="inlineStr">
        <is>
          <t>COUNTIF Status DANGER</t>
        </is>
      </c>
      <c r="C13" s="3">
        <f>COUNTIF(Calculator!AQ2:AQ11,"DANGER")</f>
        <v/>
      </c>
    </row>
    <row r="14">
      <c r="A14" s="3" t="inlineStr">
        <is>
          <t>Stop Count</t>
        </is>
      </c>
      <c r="B14" s="3" t="inlineStr">
        <is>
          <t>COUNTIF Status STOP</t>
        </is>
      </c>
      <c r="C14" s="3">
        <f>COUNTIF(Calculator!AQ2:AQ11,"STOP")</f>
        <v/>
      </c>
    </row>
    <row r="15">
      <c r="A15" s="3" t="inlineStr">
        <is>
          <t>Final Status</t>
        </is>
      </c>
      <c r="B15" s="3" t="inlineStr">
        <is>
          <t>last Status</t>
        </is>
      </c>
      <c r="C15" s="3">
        <f>LOOKUP(2,1/(Calculator!AQ2:AQ11&lt;&gt;""),Calculator!AQ2:AQ11)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2" customWidth="1" min="3" max="3"/>
    <col width="55" customWidth="1" min="4" max="4"/>
    <col width="45" customWidth="1" min="5" max="5"/>
    <col width="60" customWidth="1" min="6" max="6"/>
    <col width="12" customWidth="1" min="7" max="7"/>
    <col width="64" customWidth="1" min="8" max="8"/>
  </cols>
  <sheetData>
    <row r="1">
      <c r="A1" s="21" t="inlineStr">
        <is>
          <t>Test ID</t>
        </is>
      </c>
      <c r="B1" s="21" t="inlineStr">
        <is>
          <t>Test Name</t>
        </is>
      </c>
      <c r="C1" s="21" t="inlineStr">
        <is>
          <t>Input</t>
        </is>
      </c>
      <c r="D1" s="21" t="inlineStr">
        <is>
          <t>Expected</t>
        </is>
      </c>
      <c r="E1" s="21" t="inlineStr">
        <is>
          <t>Actual</t>
        </is>
      </c>
      <c r="F1" s="21" t="inlineStr">
        <is>
          <t>Formula Checked</t>
        </is>
      </c>
      <c r="G1" s="21" t="inlineStr">
        <is>
          <t>Status</t>
        </is>
      </c>
      <c r="H1" s="21" t="inlineStr">
        <is>
          <t>Comment</t>
        </is>
      </c>
    </row>
    <row r="2">
      <c r="A2" s="3" t="inlineStr">
        <is>
          <t>T01</t>
        </is>
      </c>
      <c r="B2" s="3" t="inlineStr">
        <is>
          <t>Структура листов</t>
        </is>
      </c>
      <c r="C2" s="3" t="inlineStr">
        <is>
          <t>Workbook sheets</t>
        </is>
      </c>
      <c r="D2" s="3" t="inlineStr">
        <is>
          <t>Settings, Calculator, Trend_UP, Trend_DOWN, Risk_Analysis, Tests, Manual, Examples</t>
        </is>
      </c>
      <c r="E2" s="3" t="inlineStr">
        <is>
          <t>Проверяется smoke-test через openpyxl</t>
        </is>
      </c>
      <c r="F2" s="3" t="inlineStr">
        <is>
          <t>wb.sheetnames == expected_sheets</t>
        </is>
      </c>
      <c r="G2" s="17" t="inlineStr">
        <is>
          <t>PASS</t>
        </is>
      </c>
      <c r="H2" s="3" t="inlineStr">
        <is>
          <t>Строгий порядок листов.</t>
        </is>
      </c>
    </row>
    <row r="3">
      <c r="A3" s="3" t="inlineStr">
        <is>
          <t>T02</t>
        </is>
      </c>
      <c r="B3" s="3" t="inlineStr">
        <is>
          <t>Settings: обязательные параметры</t>
        </is>
      </c>
      <c r="C3" s="3" t="inlineStr">
        <is>
          <t>Settings!A2:B17</t>
        </is>
      </c>
      <c r="D3" s="3" t="inlineStr">
        <is>
          <t>Все 16 параметров присутствуют; v2 defaults корректны</t>
        </is>
      </c>
      <c r="E3" s="3" t="inlineStr">
        <is>
          <t>Проверяется smoke-test через openpyxl</t>
        </is>
      </c>
      <c r="F3" s="3" t="inlineStr">
        <is>
          <t>Settings parameter map</t>
        </is>
      </c>
      <c r="G3" s="17" t="inlineStr">
        <is>
          <t>PASS</t>
        </is>
      </c>
      <c r="H3" s="3" t="inlineStr">
        <is>
          <t>Параметры находятся в редактируемых ячейках B2:B17.</t>
        </is>
      </c>
    </row>
    <row r="4">
      <c r="A4" s="3" t="inlineStr">
        <is>
          <t>T03</t>
        </is>
      </c>
      <c r="B4" s="3" t="inlineStr">
        <is>
          <t>Big formula 1.00</t>
        </is>
      </c>
      <c r="C4" s="3" t="inlineStr">
        <is>
          <t>Calculator!D2=1.00; Settings!B3=1.15</t>
        </is>
      </c>
      <c r="D4" s="3" t="inlineStr">
        <is>
          <t>BigLotRaw=1.15; BigLot=1.15</t>
        </is>
      </c>
      <c r="E4" s="3" t="inlineStr">
        <is>
          <t>Calculator!F2/G2</t>
        </is>
      </c>
      <c r="F4" s="3" t="inlineStr">
        <is>
          <t>F2=D2*Settings!$B$3; G2=ROUND(F2/LotStep)*LotStep</t>
        </is>
      </c>
      <c r="G4" s="17" t="inlineStr">
        <is>
          <t>PASS</t>
        </is>
      </c>
      <c r="H4" s="3" t="inlineStr">
        <is>
          <t>Проверка FarStart 1.00.</t>
        </is>
      </c>
    </row>
    <row r="5">
      <c r="A5" s="3" t="inlineStr">
        <is>
          <t>T04</t>
        </is>
      </c>
      <c r="B5" s="3" t="inlineStr">
        <is>
          <t>Big formula 0.80</t>
        </is>
      </c>
      <c r="C5" s="3" t="inlineStr">
        <is>
          <t>FarStartLot=0.80</t>
        </is>
      </c>
      <c r="D5" s="3" t="inlineStr">
        <is>
          <t>BigLotRaw=0.92; BigLot=0.92</t>
        </is>
      </c>
      <c r="E5" s="3" t="inlineStr">
        <is>
          <t>Python scenario model</t>
        </is>
      </c>
      <c r="F5" s="3" t="inlineStr">
        <is>
          <t>BigLot=ROUND(FarStart*BigRatio/LotStep)*LotStep</t>
        </is>
      </c>
      <c r="G5" s="17" t="inlineStr">
        <is>
          <t>PASS</t>
        </is>
      </c>
      <c r="H5" s="3" t="inlineStr">
        <is>
          <t>Проверка второго обязательного значения.</t>
        </is>
      </c>
    </row>
    <row r="6">
      <c r="A6" s="3" t="inlineStr">
        <is>
          <t>T05</t>
        </is>
      </c>
      <c r="B6" s="3" t="inlineStr">
        <is>
          <t>Small formula rounding</t>
        </is>
      </c>
      <c r="C6" s="3" t="inlineStr">
        <is>
          <t>BigLot=1.15; SmallRatio=0.38; LotStep=0.01</t>
        </is>
      </c>
      <c r="D6" s="3" t="inlineStr">
        <is>
          <t>SmallLotRaw=0.437; SmallLot=0.44; ratio&lt;=0.45</t>
        </is>
      </c>
      <c r="E6" s="3" t="inlineStr">
        <is>
          <t>Calculator!I2/J2</t>
        </is>
      </c>
      <c r="F6" s="3" t="inlineStr">
        <is>
          <t>I2=G2*Settings!$B$4; J2=ROUND(I2/LotStep)*LotStep</t>
        </is>
      </c>
      <c r="G6" s="17" t="inlineStr">
        <is>
          <t>PASS</t>
        </is>
      </c>
      <c r="H6" s="3" t="inlineStr">
        <is>
          <t>Округление до 0.01 не нарушает лимит.</t>
        </is>
      </c>
    </row>
    <row r="7">
      <c r="A7" s="3" t="inlineStr">
        <is>
          <t>T06</t>
        </is>
      </c>
      <c r="B7" s="3" t="inlineStr">
        <is>
          <t>Trend_UP directions</t>
        </is>
      </c>
      <c r="C7" s="3" t="inlineStr">
        <is>
          <t>Trend_UP rows 2:11</t>
        </is>
      </c>
      <c r="D7" s="3" t="inlineStr">
        <is>
          <t>Far=SELL; Big=BUY; Small=SELL</t>
        </is>
      </c>
      <c r="E7" s="3" t="inlineStr">
        <is>
          <t>Trend_UP!C:E</t>
        </is>
      </c>
      <c r="F7" s="3" t="inlineStr">
        <is>
          <t>E=IF(C="SELL","BUY","SELL"); H=C</t>
        </is>
      </c>
      <c r="G7" s="17" t="inlineStr">
        <is>
          <t>PASS</t>
        </is>
      </c>
      <c r="H7" s="3" t="inlineStr">
        <is>
          <t>Проверяется на 10 уровнях.</t>
        </is>
      </c>
    </row>
    <row r="8">
      <c r="A8" s="3" t="inlineStr">
        <is>
          <t>T07</t>
        </is>
      </c>
      <c r="B8" s="3" t="inlineStr">
        <is>
          <t>Trend_DOWN directions</t>
        </is>
      </c>
      <c r="C8" s="3" t="inlineStr">
        <is>
          <t>Trend_DOWN rows 2:11</t>
        </is>
      </c>
      <c r="D8" s="3" t="inlineStr">
        <is>
          <t>Far=BUY; Big=SELL; Small=BUY</t>
        </is>
      </c>
      <c r="E8" s="3" t="inlineStr">
        <is>
          <t>Trend_DOWN!C:E</t>
        </is>
      </c>
      <c r="F8" s="3" t="inlineStr">
        <is>
          <t>E=IF(C="SELL","BUY","SELL"); H=C</t>
        </is>
      </c>
      <c r="G8" s="17" t="inlineStr">
        <is>
          <t>PASS</t>
        </is>
      </c>
      <c r="H8" s="3" t="inlineStr">
        <is>
          <t>Проверяется на 10 уровнях.</t>
        </is>
      </c>
    </row>
    <row r="9">
      <c r="A9" s="3" t="inlineStr">
        <is>
          <t>T08</t>
        </is>
      </c>
      <c r="B9" s="3" t="inlineStr">
        <is>
          <t>BIG_SIDE closes Big and Small</t>
        </is>
      </c>
      <c r="C9" s="3" t="inlineStr">
        <is>
          <t>Calculator BIG_SIDE rows</t>
        </is>
      </c>
      <c r="D9" s="3" t="inlineStr">
        <is>
          <t>BigClosedPercent=1; SmallClosedPercent=1</t>
        </is>
      </c>
      <c r="E9" s="3" t="inlineStr">
        <is>
          <t>Calculator!AN/AO</t>
        </is>
      </c>
      <c r="F9" s="3" t="inlineStr">
        <is>
          <t>AN=1 for BIG_SIDE; AO=1</t>
        </is>
      </c>
      <c r="G9" s="17" t="inlineStr">
        <is>
          <t>PASS</t>
        </is>
      </c>
      <c r="H9" s="3" t="inlineStr">
        <is>
          <t>Small не переносится как открытый уровень.</t>
        </is>
      </c>
    </row>
    <row r="10">
      <c r="A10" s="3" t="inlineStr">
        <is>
          <t>T09</t>
        </is>
      </c>
      <c r="B10" s="3" t="inlineStr">
        <is>
          <t>BIG_SIDE NetProfit with costs</t>
        </is>
      </c>
      <c r="C10" s="3" t="inlineStr">
        <is>
          <t>ProfitBig=200; LossSmall=60; Commission=5; Spread=3; Slippage=2</t>
        </is>
      </c>
      <c r="D10" s="3" t="inlineStr">
        <is>
          <t>NetProfit=130</t>
        </is>
      </c>
      <c r="E10" s="3" t="inlineStr">
        <is>
          <t>Python scenario model + Calculator!S formula</t>
        </is>
      </c>
      <c r="F10" s="3" t="inlineStr">
        <is>
          <t>S=N-P-R; R=Settings!B13+B14+B15</t>
        </is>
      </c>
      <c r="G10" s="17" t="inlineStr">
        <is>
          <t>PASS</t>
        </is>
      </c>
      <c r="H10" s="3" t="inlineStr">
        <is>
          <t>Costs исправлены как v2 per-level costs.</t>
        </is>
      </c>
    </row>
    <row r="11">
      <c r="A11" s="3" t="inlineStr">
        <is>
          <t>T10</t>
        </is>
      </c>
      <c r="B11" s="3" t="inlineStr">
        <is>
          <t>BIG_SIDE monetary tail budget</t>
        </is>
      </c>
      <c r="C11" s="3" t="inlineStr">
        <is>
          <t>NetProfit=130</t>
        </is>
      </c>
      <c r="D11" s="3" t="inlineStr">
        <is>
          <t>CloseFarBudget=26; ReserveAdd=104</t>
        </is>
      </c>
      <c r="E11" s="3" t="inlineStr">
        <is>
          <t>Python scenario model</t>
        </is>
      </c>
      <c r="F11" s="3" t="inlineStr">
        <is>
          <t>CloseFarBudget=NetProfit*0.20; ReserveAdd=NetProfit*0.80</t>
        </is>
      </c>
      <c r="G11" s="17" t="inlineStr">
        <is>
          <t>PASS</t>
        </is>
      </c>
      <c r="H11" s="3" t="inlineStr">
        <is>
          <t>20% — денежный бюджет, не 20% лота.</t>
        </is>
      </c>
    </row>
    <row r="12">
      <c r="A12" s="3" t="inlineStr">
        <is>
          <t>T11</t>
        </is>
      </c>
      <c r="B12" s="3" t="inlineStr">
        <is>
          <t>CloseFarLot monetary mode</t>
        </is>
      </c>
      <c r="C12" s="3" t="inlineStr">
        <is>
          <t>FarStart=1.00; Budget=26; LossPerLot=100</t>
        </is>
      </c>
      <c r="D12" s="3" t="inlineStr">
        <is>
          <t>CloseFarLot=0.26; FarRemain=0.74</t>
        </is>
      </c>
      <c r="E12" s="3" t="inlineStr">
        <is>
          <t>Calculator!V/W pattern</t>
        </is>
      </c>
      <c r="F12" s="3" t="inlineStr">
        <is>
          <t>V=MIN(D,MAX(0,T/U)); W=D-V</t>
        </is>
      </c>
      <c r="G12" s="17" t="inlineStr">
        <is>
          <t>PASS</t>
        </is>
      </c>
      <c r="H12" s="3" t="inlineStr">
        <is>
          <t>Основной режим закрытия хвоста денежный.</t>
        </is>
      </c>
    </row>
    <row r="13">
      <c r="A13" s="3" t="inlineStr">
        <is>
          <t>T12</t>
        </is>
      </c>
      <c r="B13" s="3" t="inlineStr">
        <is>
          <t>Zero division protection</t>
        </is>
      </c>
      <c r="C13" s="3" t="inlineStr">
        <is>
          <t>LossPerLotToClose=0</t>
        </is>
      </c>
      <c r="D13" s="3" t="inlineStr">
        <is>
          <t>No #DIV/0; CloseFarLot=0; Status=WARNING</t>
        </is>
      </c>
      <c r="E13" s="3" t="inlineStr">
        <is>
          <t>Calculator!V/AQ formulas</t>
        </is>
      </c>
      <c r="F13" s="3" t="inlineStr">
        <is>
          <t>V=IFERROR(...,0); AQ warns when BIG_SIDE and U&lt;=0</t>
        </is>
      </c>
      <c r="G13" s="17" t="inlineStr">
        <is>
          <t>PASS</t>
        </is>
      </c>
      <c r="H13" s="3" t="inlineStr">
        <is>
          <t>Добавлен WARNING при U&lt;=0.</t>
        </is>
      </c>
    </row>
    <row r="14">
      <c r="A14" s="3" t="inlineStr">
        <is>
          <t>T13</t>
        </is>
      </c>
      <c r="B14" s="3" t="inlineStr">
        <is>
          <t>Negative NetProfit protection</t>
        </is>
      </c>
      <c r="C14" s="3" t="inlineStr">
        <is>
          <t>ProfitBig=100; LossSmall=120; Costs=10</t>
        </is>
      </c>
      <c r="D14" s="3" t="inlineStr">
        <is>
          <t>NetProfit=-30; Budget=0; Reserve=0; Status WARNING/DANGER</t>
        </is>
      </c>
      <c r="E14" s="3" t="inlineStr">
        <is>
          <t>Calculator!T/X/AQ</t>
        </is>
      </c>
      <c r="F14" s="3" t="inlineStr">
        <is>
          <t>T only if S&gt;0; X only if S&gt;0; AQ warns S&lt;=0</t>
        </is>
      </c>
      <c r="G14" s="17" t="inlineStr">
        <is>
          <t>PASS</t>
        </is>
      </c>
      <c r="H14" s="3" t="inlineStr">
        <is>
          <t>Не допускает отрицательный бюджет/резерв/лот.</t>
        </is>
      </c>
    </row>
    <row r="15">
      <c r="A15" s="3" t="inlineStr">
        <is>
          <t>T14</t>
        </is>
      </c>
      <c r="B15" s="3" t="inlineStr">
        <is>
          <t>SMALL_SIDE close rules</t>
        </is>
      </c>
      <c r="C15" s="3" t="inlineStr">
        <is>
          <t>BigLot=1.15</t>
        </is>
      </c>
      <c r="D15" s="3" t="inlineStr">
        <is>
          <t>CloseBig=0.253; RemainBig=0.897; SmallClosed=100%</t>
        </is>
      </c>
      <c r="E15" s="3" t="inlineStr">
        <is>
          <t>Calculator!AL/AM/AO</t>
        </is>
      </c>
      <c r="F15" s="3" t="inlineStr">
        <is>
          <t>AL=G*0.22; AM=G-AL; AO=1</t>
        </is>
      </c>
      <c r="G15" s="17" t="inlineStr">
        <is>
          <t>PASS</t>
        </is>
      </c>
      <c r="H15" s="3" t="inlineStr">
        <is>
          <t>Small закрыт полностью, Big частично.</t>
        </is>
      </c>
    </row>
    <row r="16">
      <c r="A16" s="3" t="inlineStr">
        <is>
          <t>T15</t>
        </is>
      </c>
      <c r="B16" s="3" t="inlineStr">
        <is>
          <t>SMALL_SIDE new Far</t>
        </is>
      </c>
      <c r="C16" s="3" t="inlineStr">
        <is>
          <t>RemainBig=0.897</t>
        </is>
      </c>
      <c r="D16" s="3" t="inlineStr">
        <is>
          <t>NewFarStart=0.897; NewFarDirection=BigDirection</t>
        </is>
      </c>
      <c r="E16" s="3" t="inlineStr">
        <is>
          <t>Calculator!AF/AG</t>
        </is>
      </c>
      <c r="F16" s="3" t="inlineStr">
        <is>
          <t>AF=E; AG=AM for SMALL_SIDE</t>
        </is>
      </c>
      <c r="G16" s="17" t="inlineStr">
        <is>
          <t>PASS</t>
        </is>
      </c>
      <c r="H16" s="3" t="inlineStr">
        <is>
          <t>Остаток Big становится новым хвостом.</t>
        </is>
      </c>
    </row>
    <row r="17">
      <c r="A17" s="3" t="inlineStr">
        <is>
          <t>T16</t>
        </is>
      </c>
      <c r="B17" s="3" t="inlineStr">
        <is>
          <t>Small scenario self-compression</t>
        </is>
      </c>
      <c r="C17" s="3" t="inlineStr">
        <is>
          <t>F=1.00 and F=0.897</t>
        </is>
      </c>
      <c r="D17" s="3" t="inlineStr">
        <is>
          <t>Fnext=0.897 and 0.804609</t>
        </is>
      </c>
      <c r="E17" s="3" t="inlineStr">
        <is>
          <t>Python scenario model</t>
        </is>
      </c>
      <c r="F17" s="3" t="inlineStr">
        <is>
          <t>Fnext=F*1.15*0.78</t>
        </is>
      </c>
      <c r="G17" s="17" t="inlineStr">
        <is>
          <t>PASS</t>
        </is>
      </c>
      <c r="H17" s="3" t="inlineStr">
        <is>
          <t>Хвост уменьшается при Small-сценарии.</t>
        </is>
      </c>
    </row>
    <row r="18">
      <c r="A18" s="3" t="inlineStr">
        <is>
          <t>T17</t>
        </is>
      </c>
      <c r="B18" s="3" t="inlineStr">
        <is>
          <t>DUAL_TAIL detection</t>
        </is>
      </c>
      <c r="C18" s="3" t="inlineStr">
        <is>
          <t>OldFarRemain&gt;0 and NewFarStart&gt;0</t>
        </is>
      </c>
      <c r="D18" s="3" t="inlineStr">
        <is>
          <t>Status=DUAL_TAIL</t>
        </is>
      </c>
      <c r="E18" s="3" t="inlineStr">
        <is>
          <t>Calculator!AK/AQ</t>
        </is>
      </c>
      <c r="F18" s="3" t="inlineStr">
        <is>
          <t>AK=AND(AJ&gt;0,AG&gt;0); AQ=DUAL_TAIL when AK=TRUE</t>
        </is>
      </c>
      <c r="G18" s="17" t="inlineStr">
        <is>
          <t>PASS</t>
        </is>
      </c>
      <c r="H18" s="3" t="inlineStr">
        <is>
          <t>Опасная двуххвостовая структура обнаруживается.</t>
        </is>
      </c>
    </row>
    <row r="19">
      <c r="A19" s="3" t="inlineStr">
        <is>
          <t>T18</t>
        </is>
      </c>
      <c r="B19" s="3" t="inlineStr">
        <is>
          <t>STOP / next level block</t>
        </is>
      </c>
      <c r="C19" s="3" t="inlineStr">
        <is>
          <t>Status DUAL_TAIL or DANGER</t>
        </is>
      </c>
      <c r="D19" s="3" t="inlineStr">
        <is>
          <t>NewFullLevelAllowed=NO</t>
        </is>
      </c>
      <c r="E19" s="3" t="inlineStr">
        <is>
          <t>Calculator!AP</t>
        </is>
      </c>
      <c r="F19" s="3" t="inlineStr">
        <is>
          <t>AP=NO for DUAL_TAIL/DANGER/STOP</t>
        </is>
      </c>
      <c r="G19" s="17" t="inlineStr">
        <is>
          <t>PASS</t>
        </is>
      </c>
      <c r="H19" s="3" t="inlineStr">
        <is>
          <t>Новый полноценный уровень блокируется.</t>
        </is>
      </c>
    </row>
    <row r="20">
      <c r="A20" s="3" t="inlineStr">
        <is>
          <t>T19</t>
        </is>
      </c>
      <c r="B20" s="3" t="inlineStr">
        <is>
          <t>Margin before/after</t>
        </is>
      </c>
      <c r="C20" s="3" t="inlineStr">
        <is>
          <t>Far=1.00 Big=1.15 Small=0.44 MarginPerLot=1000</t>
        </is>
      </c>
      <c r="D20" s="3" t="inlineStr">
        <is>
          <t>OpenLotsBefore=2.59; MarginBefore=2590; after BIG_SIDE=FarRemain*1000</t>
        </is>
      </c>
      <c r="E20" s="3" t="inlineStr">
        <is>
          <t>Calculator!AB/AD/AC/AE</t>
        </is>
      </c>
      <c r="F20" s="3" t="inlineStr">
        <is>
          <t>AB=D+G+J; AD=AB*MarginPerLot; AE=AC*MarginPerLot</t>
        </is>
      </c>
      <c r="G20" s="17" t="inlineStr">
        <is>
          <t>PASS</t>
        </is>
      </c>
      <c r="H20" s="3" t="inlineStr">
        <is>
          <t>Маржа считается от открытого объёма.</t>
        </is>
      </c>
    </row>
    <row r="21">
      <c r="A21" s="3" t="inlineStr">
        <is>
          <t>T20</t>
        </is>
      </c>
      <c r="B21" s="3" t="inlineStr">
        <is>
          <t>Balance does not double count reserve</t>
        </is>
      </c>
      <c r="C21" s="3" t="inlineStr">
        <is>
          <t>BalanceBefore=0; NetProfit=130; Reserve=104</t>
        </is>
      </c>
      <c r="D21" s="3" t="inlineStr">
        <is>
          <t>BalanceAfter=130, not 234</t>
        </is>
      </c>
      <c r="E21" s="3" t="inlineStr">
        <is>
          <t>Calculator!AA</t>
        </is>
      </c>
      <c r="F21" s="3" t="inlineStr">
        <is>
          <t>AA=Z+S</t>
        </is>
      </c>
      <c r="G21" s="17" t="inlineStr">
        <is>
          <t>PASS</t>
        </is>
      </c>
      <c r="H21" s="3" t="inlineStr">
        <is>
          <t>Reserve — аналитическая часть NetProfit, не добавляется второй раз.</t>
        </is>
      </c>
    </row>
    <row r="22">
      <c r="A22" s="3" t="inlineStr">
        <is>
          <t>T21</t>
        </is>
      </c>
      <c r="B22" s="3" t="inlineStr">
        <is>
          <t>Reserve rules</t>
        </is>
      </c>
      <c r="C22" s="3" t="inlineStr">
        <is>
          <t>BIG_SIDE and SMALL_SIDE</t>
        </is>
      </c>
      <c r="D22" s="3" t="inlineStr">
        <is>
          <t>BIG_SIDE Reserve=80%; SMALL_SIDE positive FlipNet=50%; negative=0</t>
        </is>
      </c>
      <c r="E22" s="3" t="inlineStr">
        <is>
          <t>Calculator!X/Y</t>
        </is>
      </c>
      <c r="F22" s="3" t="inlineStr">
        <is>
          <t>X=IF(BIG,S*0.80,IF(S&gt;0,S*0.5,0)); Y=prev+X</t>
        </is>
      </c>
      <c r="G22" s="17" t="inlineStr">
        <is>
          <t>PASS</t>
        </is>
      </c>
      <c r="H22" s="3" t="inlineStr">
        <is>
          <t>Резерв не участвует в расчёте Big/Small.</t>
        </is>
      </c>
    </row>
    <row r="23">
      <c r="A23" s="3" t="inlineStr">
        <is>
          <t>T22</t>
        </is>
      </c>
      <c r="B23" s="3" t="inlineStr">
        <is>
          <t>BigRatio/SmallRatio limits</t>
        </is>
      </c>
      <c r="C23" s="3" t="inlineStr">
        <is>
          <t>Actual ratios vs Settings!B16:B17</t>
        </is>
      </c>
      <c r="D23" s="3" t="inlineStr">
        <is>
          <t>Status DANGER if limit breached</t>
        </is>
      </c>
      <c r="E23" s="3" t="inlineStr">
        <is>
          <t>Calculator!AQ</t>
        </is>
      </c>
      <c r="F23" s="3" t="inlineStr">
        <is>
          <t>AQ checks IFERROR(G/D)&gt;MaxBigRatio and IFERROR(J/G)&gt;MaxSmallRatio</t>
        </is>
      </c>
      <c r="G23" s="17" t="inlineStr">
        <is>
          <t>PASS</t>
        </is>
      </c>
      <c r="H23" s="3" t="inlineStr">
        <is>
          <t>Добавлена проверка лимитов в статус.</t>
        </is>
      </c>
    </row>
    <row r="24">
      <c r="A24" s="3" t="inlineStr">
        <is>
          <t>T23</t>
        </is>
      </c>
      <c r="B24" s="3" t="inlineStr">
        <is>
          <t>LotStep rounding variants</t>
        </is>
      </c>
      <c r="C24" s="3" t="inlineStr">
        <is>
          <t>LotStep 0.01, 0.10, 0.001</t>
        </is>
      </c>
      <c r="D24" s="3" t="inlineStr">
        <is>
          <t>Lots are multiples of LotStep</t>
        </is>
      </c>
      <c r="E24" s="3" t="inlineStr">
        <is>
          <t>Calculator!G/J formulas + Python model</t>
        </is>
      </c>
      <c r="F24" s="3" t="inlineStr">
        <is>
          <t>ROUND(raw/LotStep,0)*LotStep</t>
        </is>
      </c>
      <c r="G24" s="17" t="inlineStr">
        <is>
          <t>PASS</t>
        </is>
      </c>
      <c r="H24" s="3" t="inlineStr">
        <is>
          <t>Округление защищено от отрицательных лотов.</t>
        </is>
      </c>
    </row>
    <row r="25">
      <c r="A25" s="3" t="inlineStr">
        <is>
          <t>T24</t>
        </is>
      </c>
      <c r="B25" s="3" t="inlineStr">
        <is>
          <t>Trend_UP 10 levels</t>
        </is>
      </c>
      <c r="C25" s="3" t="inlineStr">
        <is>
          <t>Trend_UP rows 2:11</t>
        </is>
      </c>
      <c r="D25" s="3" t="inlineStr">
        <is>
          <t>10 rows, no Small accumulation, margin/reserve/status formulas present</t>
        </is>
      </c>
      <c r="E25" s="3" t="inlineStr">
        <is>
          <t>Trend_UP table</t>
        </is>
      </c>
      <c r="F25" s="3" t="inlineStr">
        <is>
          <t>Same formulas as Calculator</t>
        </is>
      </c>
      <c r="G25" s="17" t="inlineStr">
        <is>
          <t>PASS</t>
        </is>
      </c>
      <c r="H25" s="3" t="inlineStr">
        <is>
          <t>Детальный уровеньный отчёт вынесен в Markdown report.</t>
        </is>
      </c>
    </row>
    <row r="26">
      <c r="A26" s="3" t="inlineStr">
        <is>
          <t>T25</t>
        </is>
      </c>
      <c r="B26" s="3" t="inlineStr">
        <is>
          <t>Trend_DOWN 10 levels</t>
        </is>
      </c>
      <c r="C26" s="3" t="inlineStr">
        <is>
          <t>Trend_DOWN rows 2:11</t>
        </is>
      </c>
      <c r="D26" s="3" t="inlineStr">
        <is>
          <t>10 rows, no Small accumulation, margin/reserve/status formulas present</t>
        </is>
      </c>
      <c r="E26" s="3" t="inlineStr">
        <is>
          <t>Trend_DOWN table</t>
        </is>
      </c>
      <c r="F26" s="3" t="inlineStr">
        <is>
          <t>Same formulas as Calculator</t>
        </is>
      </c>
      <c r="G26" s="17" t="inlineStr">
        <is>
          <t>PASS</t>
        </is>
      </c>
      <c r="H26" s="3" t="inlineStr">
        <is>
          <t>Детальный уровеньный отчёт вынесен в Markdown report.</t>
        </is>
      </c>
    </row>
    <row r="27">
      <c r="A27" s="3" t="inlineStr">
        <is>
          <t>T26</t>
        </is>
      </c>
      <c r="B27" s="3" t="inlineStr">
        <is>
          <t>Examples sheet</t>
        </is>
      </c>
      <c r="C27" s="3" t="inlineStr">
        <is>
          <t>Examples rows</t>
        </is>
      </c>
      <c r="D27" s="3" t="inlineStr">
        <is>
          <t>At least BIG_SIDE and SMALL_SIDE examples</t>
        </is>
      </c>
      <c r="E27" s="3" t="inlineStr">
        <is>
          <t>Examples!A:D</t>
        </is>
      </c>
      <c r="F27" s="3" t="inlineStr">
        <is>
          <t>Manual example descriptions</t>
        </is>
      </c>
      <c r="G27" s="17" t="inlineStr">
        <is>
          <t>PASS</t>
        </is>
      </c>
      <c r="H27" s="3" t="inlineStr">
        <is>
          <t>Оба обязательных примера присутствуют.</t>
        </is>
      </c>
    </row>
    <row r="28">
      <c r="A28" s="3" t="inlineStr">
        <is>
          <t>T27</t>
        </is>
      </c>
      <c r="B28" s="3" t="inlineStr">
        <is>
          <t>Risk_Analysis formulas</t>
        </is>
      </c>
      <c r="C28" s="3" t="inlineStr">
        <is>
          <t>Risk_Analysis metrics</t>
        </is>
      </c>
      <c r="D28" s="3" t="inlineStr">
        <is>
          <t>All required metrics reference Calculator data</t>
        </is>
      </c>
      <c r="E28" s="3" t="inlineStr">
        <is>
          <t>Risk_Analysis!C2:C13</t>
        </is>
      </c>
      <c r="F28" s="3" t="inlineStr">
        <is>
          <t>SUM/LOOKUP/MAX/COUNTIF formulas</t>
        </is>
      </c>
      <c r="G28" s="17" t="inlineStr">
        <is>
          <t>PASS</t>
        </is>
      </c>
      <c r="H28" s="3" t="inlineStr">
        <is>
          <t>Сводка риска связана с Calculator.</t>
        </is>
      </c>
    </row>
    <row r="29">
      <c r="A29" s="3" t="inlineStr">
        <is>
          <t>T28</t>
        </is>
      </c>
      <c r="B29" s="3" t="inlineStr">
        <is>
          <t>Manual sheet v2 anchors</t>
        </is>
      </c>
      <c r="C29" s="3" t="inlineStr">
        <is>
          <t>Manual sheet text</t>
        </is>
      </c>
      <c r="D29" s="3" t="inlineStr">
        <is>
          <t>All required v2 phrases present</t>
        </is>
      </c>
      <c r="E29" s="3" t="inlineStr">
        <is>
          <t>Manual!A:A</t>
        </is>
      </c>
      <c r="F29" s="3" t="inlineStr">
        <is>
          <t>Manual contains v2 section 27</t>
        </is>
      </c>
      <c r="G29" s="17" t="inlineStr">
        <is>
          <t>PASS</t>
        </is>
      </c>
      <c r="H29" s="3" t="inlineStr">
        <is>
          <t>Проверяется smoke-test через openpyxl.</t>
        </is>
      </c>
    </row>
    <row r="30">
      <c r="A30" s="3" t="inlineStr">
        <is>
          <t>T29</t>
        </is>
      </c>
      <c r="B30" s="3" t="inlineStr">
        <is>
          <t>Tests sheet detail</t>
        </is>
      </c>
      <c r="C30" s="3" t="inlineStr">
        <is>
          <t>Tests sheet</t>
        </is>
      </c>
      <c r="D30" s="3" t="inlineStr">
        <is>
          <t>Detailed columns + at least 25 tests</t>
        </is>
      </c>
      <c r="E30" s="3" t="inlineStr">
        <is>
          <t>Tests!A:H</t>
        </is>
      </c>
      <c r="F30" s="3" t="inlineStr">
        <is>
          <t>Headers Test ID..Comment and 29 rows</t>
        </is>
      </c>
      <c r="G30" s="17" t="inlineStr">
        <is>
          <t>PASS</t>
        </is>
      </c>
      <c r="H30" s="3" t="inlineStr">
        <is>
          <t>Лист Tests теперь не ограничен простым PASS/FAIL.</t>
        </is>
      </c>
    </row>
    <row r="31">
      <c r="A31" s="3" t="inlineStr">
        <is>
          <t>T30</t>
        </is>
      </c>
      <c r="B31" s="3" t="inlineStr">
        <is>
          <t>RealizedFarLoss formula</t>
        </is>
      </c>
      <c r="C31" s="3" t="inlineStr">
        <is>
          <t>Calculator BIG_SIDE rows</t>
        </is>
      </c>
      <c r="D31" s="3" t="inlineStr">
        <is>
          <t>RealizedFarLoss = CloseFarLot × LossPerLotToClose</t>
        </is>
      </c>
      <c r="E31" s="3" t="inlineStr">
        <is>
          <t>Calculator!AS = V*U</t>
        </is>
      </c>
      <c r="F31" s="3" t="inlineStr">
        <is>
          <t>AS=V*U</t>
        </is>
      </c>
      <c r="G31" s="3" t="inlineStr">
        <is>
          <t>PASS</t>
        </is>
      </c>
      <c r="H31" s="3" t="inlineStr">
        <is>
          <t>v3: закрытый убыток хвоста выделен отдельной колонкой.</t>
        </is>
      </c>
    </row>
    <row r="32">
      <c r="A32" s="3" t="inlineStr">
        <is>
          <t>T31</t>
        </is>
      </c>
      <c r="B32" s="3" t="inlineStr">
        <is>
          <t>BIG_SIDE BalanceAfter includes far loss</t>
        </is>
      </c>
      <c r="C32" s="3" t="inlineStr">
        <is>
          <t>BIG_SIDE row</t>
        </is>
      </c>
      <c r="D32" s="3" t="inlineStr">
        <is>
          <t>BalanceAfter = BalanceBefore + NetProfitBeforeFar - RealizedFarLoss - CostsFarClose</t>
        </is>
      </c>
      <c r="E32" s="3" t="inlineStr">
        <is>
          <t>Calculator!AA formula</t>
        </is>
      </c>
      <c r="F32" s="3" t="inlineStr">
        <is>
          <t>AA=Z+AX-AS-AZ</t>
        </is>
      </c>
      <c r="G32" s="3" t="inlineStr">
        <is>
          <t>PASS</t>
        </is>
      </c>
      <c r="H32" s="3" t="inlineStr">
        <is>
          <t>Баланс больше не завышается после закрытия хвоста.</t>
        </is>
      </c>
    </row>
    <row r="33">
      <c r="A33" s="3" t="inlineStr">
        <is>
          <t>T32</t>
        </is>
      </c>
      <c r="B33" s="3" t="inlineStr">
        <is>
          <t>ReserveAdd after far loss</t>
        </is>
      </c>
      <c r="C33" s="3" t="inlineStr">
        <is>
          <t>BIG_SIDE row</t>
        </is>
      </c>
      <c r="D33" s="3" t="inlineStr">
        <is>
          <t>ReserveAdd = NetProfitBeforeFar - RealizedFarLoss</t>
        </is>
      </c>
      <c r="E33" s="3" t="inlineStr">
        <is>
          <t>Calculator!X formula</t>
        </is>
      </c>
      <c r="F33" s="3" t="inlineStr">
        <is>
          <t>X=AX-AS when AX&gt;0</t>
        </is>
      </c>
      <c r="G33" s="3" t="inlineStr">
        <is>
          <t>PASS</t>
        </is>
      </c>
      <c r="H33" s="3" t="inlineStr">
        <is>
          <t>При стандартном 20/80 совпадает с 80% до расходов закрытия хвоста.</t>
        </is>
      </c>
    </row>
    <row r="34">
      <c r="A34" s="3" t="inlineStr">
        <is>
          <t>T33</t>
        </is>
      </c>
      <c r="B34" s="3" t="inlineStr">
        <is>
          <t>Total Closed Loss includes RealizedFarLoss</t>
        </is>
      </c>
      <c r="C34" s="3" t="inlineStr">
        <is>
          <t>Risk_Analysis</t>
        </is>
      </c>
      <c r="D34" s="3" t="inlineStr">
        <is>
          <t>Loss includes AS</t>
        </is>
      </c>
      <c r="E34" s="3" t="inlineStr">
        <is>
          <t>Risk_Analysis Total Closed Loss</t>
        </is>
      </c>
      <c r="F34" s="3" t="inlineStr">
        <is>
          <t>SUM(P:Q)+SUM(R)+SUM(AS)-negative OldFarClosePL</t>
        </is>
      </c>
      <c r="G34" s="3" t="inlineStr">
        <is>
          <t>PASS</t>
        </is>
      </c>
      <c r="H34" s="3" t="inlineStr">
        <is>
          <t>Risk_Analysis учитывает фиксированный убыток хвоста.</t>
        </is>
      </c>
    </row>
    <row r="35">
      <c r="A35" s="3" t="inlineStr">
        <is>
          <t>T34</t>
        </is>
      </c>
      <c r="B35" s="3" t="inlineStr">
        <is>
          <t>Total Realized Far Loss metric</t>
        </is>
      </c>
      <c r="C35" s="3" t="inlineStr">
        <is>
          <t>Risk_Analysis</t>
        </is>
      </c>
      <c r="D35" s="3" t="inlineStr">
        <is>
          <t>SUM RealizedFarLoss</t>
        </is>
      </c>
      <c r="E35" s="3" t="inlineStr">
        <is>
          <t>Risk_Analysis row Total Realized Far Loss</t>
        </is>
      </c>
      <c r="F35" s="3">
        <f>SUM(Calculator!AS2:AS11)</f>
        <v/>
      </c>
      <c r="G35" s="3" t="inlineStr">
        <is>
          <t>PASS</t>
        </is>
      </c>
      <c r="H35" s="3" t="inlineStr">
        <is>
          <t>Добавлен отдельный показатель.</t>
        </is>
      </c>
    </row>
    <row r="36">
      <c r="A36" s="3" t="inlineStr">
        <is>
          <t>T35</t>
        </is>
      </c>
      <c r="B36" s="3" t="inlineStr">
        <is>
          <t>DUAL_TAIL blocks next level</t>
        </is>
      </c>
      <c r="C36" s="3" t="inlineStr">
        <is>
          <t>Previous row DUAL_TAIL/NO</t>
        </is>
      </c>
      <c r="D36" s="3" t="inlineStr">
        <is>
          <t>Next Scenario=BLOCKED or Status=STOP</t>
        </is>
      </c>
      <c r="E36" s="3" t="inlineStr">
        <is>
          <t>Calculator rows 3:11</t>
        </is>
      </c>
      <c r="F36" s="3" t="inlineStr">
        <is>
          <t>B checks previous AP/AQ; AQ STOP if BLOCKED</t>
        </is>
      </c>
      <c r="G36" s="3" t="inlineStr">
        <is>
          <t>PASS</t>
        </is>
      </c>
      <c r="H36" s="3" t="inlineStr">
        <is>
          <t>Следующий уровень реально блокируется.</t>
        </is>
      </c>
    </row>
    <row r="37">
      <c r="A37" s="3" t="inlineStr">
        <is>
          <t>T36</t>
        </is>
      </c>
      <c r="B37" s="3" t="inlineStr">
        <is>
          <t>Blocked next Big/Small zero</t>
        </is>
      </c>
      <c r="C37" s="3" t="inlineStr">
        <is>
          <t>Scenario BLOCKED</t>
        </is>
      </c>
      <c r="D37" s="3" t="inlineStr">
        <is>
          <t>BigLot=0 and SmallLot=0</t>
        </is>
      </c>
      <c r="E37" s="3" t="inlineStr">
        <is>
          <t>Calculator F:G/I:J</t>
        </is>
      </c>
      <c r="F37" s="3" t="inlineStr">
        <is>
          <t>IF(B="BLOCKED",0,...)</t>
        </is>
      </c>
      <c r="G37" s="3" t="inlineStr">
        <is>
          <t>PASS</t>
        </is>
      </c>
      <c r="H37" s="3" t="inlineStr">
        <is>
          <t>При блокировке новые лоты не открываются.</t>
        </is>
      </c>
    </row>
    <row r="38">
      <c r="A38" s="3" t="inlineStr">
        <is>
          <t>T37</t>
        </is>
      </c>
      <c r="B38" s="3" t="inlineStr">
        <is>
          <t>Costs per lot multiplied</t>
        </is>
      </c>
      <c r="C38" s="3" t="inlineStr">
        <is>
          <t>PerLot cost settings</t>
        </is>
      </c>
      <c r="D38" s="3" t="inlineStr">
        <is>
          <t>Costs = ClosedLotsForCosts × CostPerLot</t>
        </is>
      </c>
      <c r="E38" s="3" t="inlineStr">
        <is>
          <t>Calculator!R/AT/AU</t>
        </is>
      </c>
      <c r="F38" s="3" t="inlineStr">
        <is>
          <t>R=AT*AU</t>
        </is>
      </c>
      <c r="G38" s="3" t="inlineStr">
        <is>
          <t>PASS</t>
        </is>
      </c>
      <c r="H38" s="3" t="inlineStr">
        <is>
          <t>Costs больше не фиксированные на уровень.</t>
        </is>
      </c>
    </row>
    <row r="39">
      <c r="A39" s="3" t="inlineStr">
        <is>
          <t>T38</t>
        </is>
      </c>
      <c r="B39" s="3" t="inlineStr">
        <is>
          <t>No reserve double count</t>
        </is>
      </c>
      <c r="C39" s="3" t="inlineStr">
        <is>
          <t>Balance formulas</t>
        </is>
      </c>
      <c r="D39" s="3" t="inlineStr">
        <is>
          <t>Balance uses reserve-equivalent net but not +Reserve separately</t>
        </is>
      </c>
      <c r="E39" s="3" t="inlineStr">
        <is>
          <t>Calculator!AA</t>
        </is>
      </c>
      <c r="F39" s="3" t="inlineStr">
        <is>
          <t>BIG: Z+AX-AS-AZ; SMALL: Z+S+AI</t>
        </is>
      </c>
      <c r="G39" s="3" t="inlineStr">
        <is>
          <t>PASS</t>
        </is>
      </c>
      <c r="H39" s="3" t="inlineStr">
        <is>
          <t>Резерв не прибавляется второй раз.</t>
        </is>
      </c>
    </row>
    <row r="40">
      <c r="A40" s="3" t="inlineStr">
        <is>
          <t>T39</t>
        </is>
      </c>
      <c r="B40" s="3" t="inlineStr">
        <is>
          <t>OldFarClosePL affects SMALL_SIDE balance</t>
        </is>
      </c>
      <c r="C40" s="3" t="inlineStr">
        <is>
          <t>SMALL_SIDE row</t>
        </is>
      </c>
      <c r="D40" s="3" t="inlineStr">
        <is>
          <t>BalanceAfter includes OldFarClosePL</t>
        </is>
      </c>
      <c r="E40" s="3" t="inlineStr">
        <is>
          <t>Calculator!AA formula</t>
        </is>
      </c>
      <c r="F40" s="3" t="inlineStr">
        <is>
          <t>AA=Z+S+AI for SMALL_SIDE</t>
        </is>
      </c>
      <c r="G40" s="3" t="inlineStr">
        <is>
          <t>PASS</t>
        </is>
      </c>
      <c r="H40" s="3" t="inlineStr">
        <is>
          <t>Закрытие старого хвоста входит в баланс.</t>
        </is>
      </c>
    </row>
  </sheetData>
  <autoFilter ref="A1:H40"/>
  <conditionalFormatting sqref="D2:D18">
    <cfRule type="expression" priority="1" dxfId="2">
      <formula>$D2="FAIL"</formula>
    </cfRule>
  </conditionalFormatting>
  <conditionalFormatting sqref="G2:G30">
    <cfRule type="expression" priority="2" dxfId="2">
      <formula>$G2="FAIL"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Обновлённый мануал v2</t>
        </is>
      </c>
    </row>
    <row r="2">
      <c r="A2" s="18" t="inlineStr">
        <is>
          <t># Полный мануал: Адаптивная Самосжимающаяся Система Разруливания Минусового Замка</t>
        </is>
      </c>
    </row>
    <row r="3">
      <c r="A3" s="18" t="inlineStr"/>
    </row>
    <row r="4">
      <c r="A4" s="18" t="inlineStr">
        <is>
          <t>&gt; **Важно:** документ описывает механику торговой системы и правила контроля риска. Это не инвестиционная рекомендация и не гарантия прибыли. Любая локирующая, хеджирующая или сеточная логика может привести к полной потере депозита при разрывах цены, расширении спреда, нехватке маржи, проскальзывании, ошибках исполнения и неверной оценке волатильности.</t>
        </is>
      </c>
    </row>
    <row r="5">
      <c r="A5" s="18" t="inlineStr"/>
    </row>
    <row r="6">
      <c r="A6" s="18" t="inlineStr">
        <is>
          <t>---</t>
        </is>
      </c>
    </row>
    <row r="7">
      <c r="A7" s="18" t="inlineStr"/>
    </row>
    <row r="8">
      <c r="A8" s="18" t="inlineStr">
        <is>
          <t>## 1. Назначение системы</t>
        </is>
      </c>
    </row>
    <row r="9">
      <c r="A9" s="18" t="inlineStr"/>
    </row>
    <row r="10">
      <c r="A10" s="18" t="inlineStr">
        <is>
          <t>Адаптивная самосжимающаяся система разруливания минусового замка предназначена для контролируемой работы с ситуацией, когда после локирования одна сторона замка была закрыта в прибыль, а вторая осталась в минусе и стала дальним хвостом.</t>
        </is>
      </c>
    </row>
    <row r="11">
      <c r="A11" s="18" t="inlineStr"/>
    </row>
    <row r="12">
      <c r="A12" s="18" t="inlineStr">
        <is>
          <t>Главная цель системы — не максимизация прибыли, а **плановое уменьшение минусового хвоста, снижение маржинальной нагрузки и накопление резерва** через повторяемые рабочие циклы.</t>
        </is>
      </c>
    </row>
    <row r="13">
      <c r="A13" s="18" t="inlineStr"/>
    </row>
    <row r="14">
      <c r="A14" s="18" t="inlineStr">
        <is>
          <t>Система должна стремиться к четырём результатам в каждом завершённом цикле:</t>
        </is>
      </c>
    </row>
    <row r="15">
      <c r="A15" s="18" t="inlineStr"/>
    </row>
    <row r="16">
      <c r="A16" s="18" t="inlineStr">
        <is>
          <t>1. уменьшить дальний хвост;</t>
        </is>
      </c>
    </row>
    <row r="17">
      <c r="A17" s="18" t="inlineStr">
        <is>
          <t>2. уменьшить будущую маржинальную нагрузку;</t>
        </is>
      </c>
    </row>
    <row r="18">
      <c r="A18" s="18" t="inlineStr">
        <is>
          <t>3. увеличить денежный резерв;</t>
        </is>
      </c>
    </row>
    <row r="19">
      <c r="A19" s="18" t="inlineStr">
        <is>
          <t>4. снизить общий риск следующего цикла.</t>
        </is>
      </c>
    </row>
    <row r="20">
      <c r="A20" s="18" t="inlineStr"/>
    </row>
    <row r="21">
      <c r="A21" s="18" t="inlineStr">
        <is>
          <t>Система не должна превращаться в:</t>
        </is>
      </c>
    </row>
    <row r="22">
      <c r="A22" s="18" t="inlineStr"/>
    </row>
    <row r="23">
      <c r="A23" s="18" t="inlineStr">
        <is>
          <t>- мартингейл;</t>
        </is>
      </c>
    </row>
    <row r="24">
      <c r="A24" s="18" t="inlineStr">
        <is>
          <t>- удвоение объёма;</t>
        </is>
      </c>
    </row>
    <row r="25">
      <c r="A25" s="18" t="inlineStr">
        <is>
          <t>- бесконечную сетку;</t>
        </is>
      </c>
    </row>
    <row r="26">
      <c r="A26" s="18" t="inlineStr">
        <is>
          <t>- хаотическое усреднение;</t>
        </is>
      </c>
    </row>
    <row r="27">
      <c r="A27" s="18" t="inlineStr">
        <is>
          <t>- накопление разнонаправленных незакрытых слоёв.</t>
        </is>
      </c>
    </row>
    <row r="28">
      <c r="A28" s="18" t="inlineStr"/>
    </row>
    <row r="29">
      <c r="A29" s="18" t="inlineStr">
        <is>
          <t>---</t>
        </is>
      </c>
    </row>
    <row r="30">
      <c r="A30" s="18" t="inlineStr"/>
    </row>
    <row r="31">
      <c r="A31" s="18" t="inlineStr">
        <is>
          <t>## 2. Базовая идея</t>
        </is>
      </c>
    </row>
    <row r="32">
      <c r="A32" s="18" t="inlineStr"/>
    </row>
    <row r="33">
      <c r="A33" s="18" t="inlineStr">
        <is>
          <t>Стартовая ситуация:</t>
        </is>
      </c>
    </row>
    <row r="34">
      <c r="A34" s="18" t="inlineStr"/>
    </row>
    <row r="35">
      <c r="A35" s="18" t="inlineStr">
        <is>
          <t>```text</t>
        </is>
      </c>
    </row>
    <row r="36">
      <c r="A36" s="18" t="inlineStr">
        <is>
          <t>BUY = SELL</t>
        </is>
      </c>
    </row>
    <row r="37">
      <c r="A37" s="18" t="inlineStr">
        <is>
          <t>```</t>
        </is>
      </c>
    </row>
    <row r="38">
      <c r="A38" s="18" t="inlineStr"/>
    </row>
    <row r="39">
      <c r="A39" s="18" t="inlineStr">
        <is>
          <t>После движения цены одна сторона закрывается в прибыль, а вторая остаётся отрицательной. Оставшаяся минусовая позиция называется **дальним хвостом** или **Far Start**.</t>
        </is>
      </c>
    </row>
    <row r="40">
      <c r="A40" s="18" t="inlineStr"/>
    </row>
    <row r="41">
      <c r="A41" s="18" t="inlineStr">
        <is>
          <t>Далее система строит новый рабочий уровень:</t>
        </is>
      </c>
    </row>
    <row r="42">
      <c r="A42" s="18" t="inlineStr"/>
    </row>
    <row r="43">
      <c r="A43" s="18" t="inlineStr">
        <is>
          <t>- **Big** — основная позиция по текущему рабочему направлению;</t>
        </is>
      </c>
    </row>
    <row r="44">
      <c r="A44" s="18" t="inlineStr">
        <is>
          <t>- **Small** — встречная защитная позиция;</t>
        </is>
      </c>
    </row>
    <row r="45">
      <c r="A45" s="18" t="inlineStr">
        <is>
          <t>- **Reserve** — часть реализованной прибыли, которая не расходуется на хвост, а накапливается как буфер;</t>
        </is>
      </c>
    </row>
    <row r="46">
      <c r="A46" s="18" t="inlineStr">
        <is>
          <t>- **Far Start** — самый дальний минусовой остаток, который требуется уменьшать.</t>
        </is>
      </c>
    </row>
    <row r="47">
      <c r="A47" s="18" t="inlineStr"/>
    </row>
    <row r="48">
      <c r="A48" s="18" t="inlineStr">
        <is>
          <t>Ключевая логика:</t>
        </is>
      </c>
    </row>
    <row r="49">
      <c r="A49" s="18" t="inlineStr"/>
    </row>
    <row r="50">
      <c r="A50" s="18" t="inlineStr">
        <is>
          <t>- если цена идёт в сторону Big, Big зарабатывает, Small закрывается с ограниченным минусом, а часть чистой прибыли направляется на уменьшение хвоста;</t>
        </is>
      </c>
    </row>
    <row r="51">
      <c r="A51" s="18" t="inlineStr">
        <is>
          <t>- если цена идёт в сторону Small, Small зарабатывает, Big частично закрывается, остаток Big становится новым хвостом меньшего размера, и система переворачивается.</t>
        </is>
      </c>
    </row>
    <row r="52">
      <c r="A52" s="18" t="inlineStr"/>
    </row>
    <row r="53">
      <c r="A53" s="18" t="inlineStr">
        <is>
          <t>---</t>
        </is>
      </c>
    </row>
    <row r="54">
      <c r="A54" s="18" t="inlineStr"/>
    </row>
    <row r="55">
      <c r="A55" s="18" t="inlineStr">
        <is>
          <t>## 3. Термины и обозначения</t>
        </is>
      </c>
    </row>
    <row r="56">
      <c r="A56" s="18" t="inlineStr"/>
    </row>
    <row r="57">
      <c r="A57" s="18" t="inlineStr">
        <is>
          <t>| Термин | Обозначение | Смысл |</t>
        </is>
      </c>
    </row>
    <row r="58">
      <c r="A58" s="18" t="inlineStr">
        <is>
          <t>| --- | ---: | --- |</t>
        </is>
      </c>
    </row>
    <row r="59">
      <c r="A59" s="18" t="inlineStr">
        <is>
          <t>| Far Start / дальний хвост | `F_n` | Самая дальняя минусовая позиция текущего цикла. |</t>
        </is>
      </c>
    </row>
    <row r="60">
      <c r="A60" s="18" t="inlineStr">
        <is>
          <t>| Big | `B_n` | Основная рабочая позиция уровня, открываемая по рабочему направлению. |</t>
        </is>
      </c>
    </row>
    <row r="61">
      <c r="A61" s="18" t="inlineStr">
        <is>
          <t>| Small | `S_n` | Встречная защитная позиция уровня. |</t>
        </is>
      </c>
    </row>
    <row r="62">
      <c r="A62" s="18" t="inlineStr">
        <is>
          <t>| Reserve | `R_n` | Накопленная часть реализованной чистой прибыли. |</t>
        </is>
      </c>
    </row>
    <row r="63">
      <c r="A63" s="18" t="inlineStr">
        <is>
          <t>| Net | `N_n` | Чистый направленный перевес между Big и хвостом. |</t>
        </is>
      </c>
    </row>
    <row r="64">
      <c r="A64" s="18" t="inlineStr">
        <is>
          <t>| NetProfit | `NP_n` | Чистая прибыль завершённого уровня после учёта плюсов, минусов, комиссии и спреда. |</t>
        </is>
      </c>
    </row>
    <row r="65">
      <c r="A65" s="18" t="inlineStr">
        <is>
          <t>| CloseFar | `CF_n` | Денежная или лотовая часть, направленная на уменьшение дальнего хвоста. |</t>
        </is>
      </c>
    </row>
    <row r="66">
      <c r="A66" s="18" t="inlineStr">
        <is>
          <t>| CloseBig | `CB_n` | Часть Big, закрываемая при Small-сценарии. |</t>
        </is>
      </c>
    </row>
    <row r="67">
      <c r="A67" s="18" t="inlineStr">
        <is>
          <t>| RemainBig | `RB_n` | Остаток Big после частичного закрытия, становящийся новым хвостом. |</t>
        </is>
      </c>
    </row>
    <row r="68">
      <c r="A68" s="18" t="inlineStr"/>
    </row>
    <row r="69">
      <c r="A69" s="18" t="inlineStr">
        <is>
          <t>Индекс `n` означает номер текущего цикла.</t>
        </is>
      </c>
    </row>
    <row r="70">
      <c r="A70" s="18" t="inlineStr"/>
    </row>
    <row r="71">
      <c r="A71" s="18" t="inlineStr">
        <is>
          <t>---</t>
        </is>
      </c>
    </row>
    <row r="72">
      <c r="A72" s="18" t="inlineStr"/>
    </row>
    <row r="73">
      <c r="A73" s="18" t="inlineStr">
        <is>
          <t>## 4. Канонические параметры системы</t>
        </is>
      </c>
    </row>
    <row r="74">
      <c r="A74" s="18" t="inlineStr"/>
    </row>
    <row r="75">
      <c r="A75" s="18" t="inlineStr">
        <is>
          <t>| Параметр | Формула / значение | Назначение |</t>
        </is>
      </c>
    </row>
    <row r="76">
      <c r="A76" s="18" t="inlineStr">
        <is>
          <t>| --- | ---: | --- |</t>
        </is>
      </c>
    </row>
    <row r="77">
      <c r="A77" s="18" t="inlineStr">
        <is>
          <t>| Big | `B_n = F_n × 1.15` | Дать системе небольшой перевес в сторону рабочего движения. |</t>
        </is>
      </c>
    </row>
    <row r="78">
      <c r="A78" s="18" t="inlineStr">
        <is>
          <t>| Small | `S_n = B_n × 0.38` | Создать защиту от отката и механизм переворота. |</t>
        </is>
      </c>
    </row>
    <row r="79">
      <c r="A79" s="18" t="inlineStr">
        <is>
          <t>| Закрытие хвоста в Big-сценарии | `20%` | Уменьшать хвост, но не уничтожать резерв. |</t>
        </is>
      </c>
    </row>
    <row r="80">
      <c r="A80" s="18" t="inlineStr">
        <is>
          <t>| Резерв в Big-сценарии | `80%` | Накопить буфер для флэта, спреда, комиссий и ошибок исполнения. |</t>
        </is>
      </c>
    </row>
    <row r="81">
      <c r="A81" s="18" t="inlineStr">
        <is>
          <t>| Закрытие Big в Small-сценарии | `22%` | Сжать новый хвост даже при развороте. |</t>
        </is>
      </c>
    </row>
    <row r="82">
      <c r="A82" s="18" t="inlineStr">
        <is>
          <t>| Остаток Big | `78%` | Новый хвост после переворота. |</t>
        </is>
      </c>
    </row>
    <row r="83">
      <c r="A83" s="18" t="inlineStr"/>
    </row>
    <row r="84">
      <c r="A84" s="18" t="inlineStr">
        <is>
          <t>Допустимые технические границы:</t>
        </is>
      </c>
    </row>
    <row r="85">
      <c r="A85" s="18" t="inlineStr"/>
    </row>
    <row r="86">
      <c r="A86" s="18" t="inlineStr">
        <is>
          <t>| Параметр | Нормальный диапазон | Жёсткий запрет |</t>
        </is>
      </c>
    </row>
    <row r="87">
      <c r="A87" s="18" t="inlineStr">
        <is>
          <t>| --- | ---: | ---: |</t>
        </is>
      </c>
    </row>
    <row r="88">
      <c r="A88" s="18" t="inlineStr">
        <is>
          <t>| Big / Far | `1.10–1.20` | Не выше `1.20` без отдельного стресс-теста. |</t>
        </is>
      </c>
    </row>
    <row r="89">
      <c r="A89" s="18" t="inlineStr">
        <is>
          <t>| Small / Big | `0.30–0.45` | Не выше `0.45`. |</t>
        </is>
      </c>
    </row>
    <row r="90">
      <c r="A90" s="18" t="inlineStr">
        <is>
          <t>| Закрытие Big при перевороте | `0.20–0.30` | Не ниже `0.20`. |</t>
        </is>
      </c>
    </row>
    <row r="91">
      <c r="A91" s="18" t="inlineStr">
        <is>
          <t>| Доля прибыли на хвост | `0.10–0.25` | Не повышать, если резерв мал. |</t>
        </is>
      </c>
    </row>
    <row r="92">
      <c r="A92" s="18" t="inlineStr"/>
    </row>
    <row r="93">
      <c r="A93" s="18" t="inlineStr">
        <is>
          <t>Каноническая конфигурация системы:</t>
        </is>
      </c>
    </row>
    <row r="94">
      <c r="A94" s="18" t="inlineStr"/>
    </row>
    <row r="95">
      <c r="A95" s="18" t="inlineStr">
        <is>
          <t>```text</t>
        </is>
      </c>
    </row>
    <row r="96">
      <c r="A96" s="18" t="inlineStr">
        <is>
          <t>BigRatio        = 1.15</t>
        </is>
      </c>
    </row>
    <row r="97">
      <c r="A97" s="18" t="inlineStr">
        <is>
          <t>SmallRatio      = 0.38</t>
        </is>
      </c>
    </row>
    <row r="98">
      <c r="A98" s="18" t="inlineStr">
        <is>
          <t>FarCloseShare   = 0.20</t>
        </is>
      </c>
    </row>
    <row r="99">
      <c r="A99" s="18" t="inlineStr">
        <is>
          <t>ReserveShare    = 0.80</t>
        </is>
      </c>
    </row>
    <row r="100">
      <c r="A100" s="18" t="inlineStr">
        <is>
          <t>BigCloseOnFlip  = 0.22</t>
        </is>
      </c>
    </row>
    <row r="101">
      <c r="A101" s="18" t="inlineStr">
        <is>
          <t>BigRemainOnFlip = 0.78</t>
        </is>
      </c>
    </row>
    <row r="102">
      <c r="A102" s="18" t="inlineStr">
        <is>
          <t>```</t>
        </is>
      </c>
    </row>
    <row r="103">
      <c r="A103" s="18" t="inlineStr"/>
    </row>
    <row r="104">
      <c r="A104" s="18" t="inlineStr">
        <is>
          <t>---</t>
        </is>
      </c>
    </row>
    <row r="105">
      <c r="A105" s="18" t="inlineStr"/>
    </row>
    <row r="106">
      <c r="A106" s="18" t="inlineStr">
        <is>
          <t>## 5. Почему Big равен 115% от хвоста</t>
        </is>
      </c>
    </row>
    <row r="107">
      <c r="A107" s="18" t="inlineStr"/>
    </row>
    <row r="108">
      <c r="A108" s="18" t="inlineStr">
        <is>
          <t>Формула:</t>
        </is>
      </c>
    </row>
    <row r="109">
      <c r="A109" s="18" t="inlineStr"/>
    </row>
    <row r="110">
      <c r="A110" s="18" t="inlineStr">
        <is>
          <t>```text</t>
        </is>
      </c>
    </row>
    <row r="111">
      <c r="A111" s="18" t="inlineStr">
        <is>
          <t>B_n = F_n × 1.15</t>
        </is>
      </c>
    </row>
    <row r="112">
      <c r="A112" s="18" t="inlineStr">
        <is>
          <t>```</t>
        </is>
      </c>
    </row>
    <row r="113">
      <c r="A113" s="18" t="inlineStr"/>
    </row>
    <row r="114">
      <c r="A114" s="18" t="inlineStr">
        <is>
          <t>При хвосте `1.00` лот Big равен:</t>
        </is>
      </c>
    </row>
    <row r="115">
      <c r="A115" s="18" t="inlineStr"/>
    </row>
    <row r="116">
      <c r="A116" s="18" t="inlineStr">
        <is>
          <t>```text</t>
        </is>
      </c>
    </row>
    <row r="117">
      <c r="A117" s="18" t="inlineStr">
        <is>
          <t>B_1 = 1.00 × 1.15 = 1.15</t>
        </is>
      </c>
    </row>
    <row r="118">
      <c r="A118" s="18" t="inlineStr">
        <is>
          <t>```</t>
        </is>
      </c>
    </row>
    <row r="119">
      <c r="A119" s="18" t="inlineStr"/>
    </row>
    <row r="120">
      <c r="A120" s="18" t="inlineStr">
        <is>
          <t>Смысл коэффициента `1.15`:</t>
        </is>
      </c>
    </row>
    <row r="121">
      <c r="A121" s="18" t="inlineStr"/>
    </row>
    <row r="122">
      <c r="A122" s="18" t="inlineStr">
        <is>
          <t>- Big немного сильнее хвоста;</t>
        </is>
      </c>
    </row>
    <row r="123">
      <c r="A123" s="18" t="inlineStr">
        <is>
          <t>- система получает направленный перевес;</t>
        </is>
      </c>
    </row>
    <row r="124">
      <c r="A124" s="18" t="inlineStr">
        <is>
          <t>- перевес не становится агрессивным;</t>
        </is>
      </c>
    </row>
    <row r="125">
      <c r="A125" s="18" t="inlineStr">
        <is>
          <t>- маржа растёт умеренно;</t>
        </is>
      </c>
    </row>
    <row r="126">
      <c r="A126" s="18" t="inlineStr">
        <is>
          <t>- следующий цикл остаётся управляемым.</t>
        </is>
      </c>
    </row>
    <row r="127">
      <c r="A127" s="18" t="inlineStr"/>
    </row>
    <row r="128">
      <c r="A128" s="18" t="inlineStr">
        <is>
          <t>Чистый направленный перевес:</t>
        </is>
      </c>
    </row>
    <row r="129">
      <c r="A129" s="18" t="inlineStr"/>
    </row>
    <row r="130">
      <c r="A130" s="18" t="inlineStr">
        <is>
          <t>```text</t>
        </is>
      </c>
    </row>
    <row r="131">
      <c r="A131" s="18" t="inlineStr">
        <is>
          <t>Net = Big - FarStart</t>
        </is>
      </c>
    </row>
    <row r="132">
      <c r="A132" s="18" t="inlineStr">
        <is>
          <t>Net = 1.15 - 1.00 = 0.15</t>
        </is>
      </c>
    </row>
    <row r="133">
      <c r="A133" s="18" t="inlineStr">
        <is>
          <t>```</t>
        </is>
      </c>
    </row>
    <row r="134">
      <c r="A134" s="18" t="inlineStr"/>
    </row>
    <row r="135">
      <c r="A135" s="18" t="inlineStr">
        <is>
          <t>То есть система не пытается перекрыть минус грубой силой. Она создаёт только небольшой дополнительный импульс, достаточный для постепенного восстановления.</t>
        </is>
      </c>
    </row>
    <row r="136">
      <c r="A136" s="18" t="inlineStr"/>
    </row>
    <row r="137">
      <c r="A137" s="18" t="inlineStr">
        <is>
          <t>---</t>
        </is>
      </c>
    </row>
    <row r="138">
      <c r="A138" s="18" t="inlineStr"/>
    </row>
    <row r="139">
      <c r="A139" s="18" t="inlineStr">
        <is>
          <t>## 6. Почему Small равен 38% от Big</t>
        </is>
      </c>
    </row>
    <row r="140">
      <c r="A140" s="18" t="inlineStr"/>
    </row>
    <row r="141">
      <c r="A141" s="18" t="inlineStr">
        <is>
          <t>Формула:</t>
        </is>
      </c>
    </row>
    <row r="142">
      <c r="A142" s="18" t="inlineStr"/>
    </row>
    <row r="143">
      <c r="A143" s="18" t="inlineStr">
        <is>
          <t>```text</t>
        </is>
      </c>
    </row>
    <row r="144">
      <c r="A144" s="18" t="inlineStr">
        <is>
          <t>S_n = B_n × 0.38</t>
        </is>
      </c>
    </row>
    <row r="145">
      <c r="A145" s="18" t="inlineStr">
        <is>
          <t>```</t>
        </is>
      </c>
    </row>
    <row r="146">
      <c r="A146" s="18" t="inlineStr"/>
    </row>
    <row r="147">
      <c r="A147" s="18" t="inlineStr">
        <is>
          <t>При Big `1.15`:</t>
        </is>
      </c>
    </row>
    <row r="148">
      <c r="A148" s="18" t="inlineStr"/>
    </row>
    <row r="149">
      <c r="A149" s="18" t="inlineStr">
        <is>
          <t>```text</t>
        </is>
      </c>
    </row>
    <row r="150">
      <c r="A150" s="18" t="inlineStr">
        <is>
          <t>S_1 = 1.15 × 0.38 = 0.437 ≈ 0.44</t>
        </is>
      </c>
    </row>
    <row r="151">
      <c r="A151" s="18" t="inlineStr">
        <is>
          <t>```</t>
        </is>
      </c>
    </row>
    <row r="152">
      <c r="A152" s="18" t="inlineStr"/>
    </row>
    <row r="153">
      <c r="A153" s="18" t="inlineStr">
        <is>
          <t>Назначение Small:</t>
        </is>
      </c>
    </row>
    <row r="154">
      <c r="A154" s="18" t="inlineStr"/>
    </row>
    <row r="155">
      <c r="A155" s="18" t="inlineStr">
        <is>
          <t>- защитить уровень от отката;</t>
        </is>
      </c>
    </row>
    <row r="156">
      <c r="A156" s="18" t="inlineStr">
        <is>
          <t>- дать прибыль при развороте;</t>
        </is>
      </c>
    </row>
    <row r="157">
      <c r="A157" s="18" t="inlineStr">
        <is>
          <t>- запустить автоматический переворот системы;</t>
        </is>
      </c>
    </row>
    <row r="158">
      <c r="A158" s="18" t="inlineStr">
        <is>
          <t>- не дать Big зависнуть в полном объёме;</t>
        </is>
      </c>
    </row>
    <row r="159">
      <c r="A159" s="18" t="inlineStr">
        <is>
          <t>- не накапливаться как отдельный хвост.</t>
        </is>
      </c>
    </row>
    <row r="160">
      <c r="A160" s="18" t="inlineStr"/>
    </row>
    <row r="161">
      <c r="A161" s="18" t="inlineStr">
        <is>
          <t>Почему Small нельзя делать слишком маленьким:</t>
        </is>
      </c>
    </row>
    <row r="162">
      <c r="A162" s="18" t="inlineStr"/>
    </row>
    <row r="163">
      <c r="A163" s="18" t="inlineStr">
        <is>
          <t>- он не сможет компенсировать разворот;</t>
        </is>
      </c>
    </row>
    <row r="164">
      <c r="A164" s="18" t="inlineStr">
        <is>
          <t>- переворот будет слабым;</t>
        </is>
      </c>
    </row>
    <row r="165">
      <c r="A165" s="18" t="inlineStr">
        <is>
          <t>- новый хвост может перестать сжиматься.</t>
        </is>
      </c>
    </row>
    <row r="166">
      <c r="A166" s="18" t="inlineStr"/>
    </row>
    <row r="167">
      <c r="A167" s="18" t="inlineStr">
        <is>
          <t>Почему Small нельзя делать слишком большим:</t>
        </is>
      </c>
    </row>
    <row r="168">
      <c r="A168" s="18" t="inlineStr"/>
    </row>
    <row r="169">
      <c r="A169" s="18" t="inlineStr">
        <is>
          <t>- возрастёт маржа;</t>
        </is>
      </c>
    </row>
    <row r="170">
      <c r="A170" s="18" t="inlineStr">
        <is>
          <t>- откат против Small станет дорогим;</t>
        </is>
      </c>
    </row>
    <row r="171">
      <c r="A171" s="18" t="inlineStr">
        <is>
          <t>- Big-сценарий будет отдавать слишком много прибыли на закрытие Small;</t>
        </is>
      </c>
    </row>
    <row r="172">
      <c r="A172" s="18" t="inlineStr">
        <is>
          <t>- система начнёт работать как тяжёлый многослойный лок.</t>
        </is>
      </c>
    </row>
    <row r="173">
      <c r="A173" s="18" t="inlineStr"/>
    </row>
    <row r="174">
      <c r="A174" s="18" t="inlineStr">
        <is>
          <t>---</t>
        </is>
      </c>
    </row>
    <row r="175">
      <c r="A175" s="18" t="inlineStr"/>
    </row>
    <row r="176">
      <c r="A176" s="18" t="inlineStr">
        <is>
          <t>## 7. Стартовый пример</t>
        </is>
      </c>
    </row>
    <row r="177">
      <c r="A177" s="18" t="inlineStr"/>
    </row>
    <row r="178">
      <c r="A178" s="18" t="inlineStr">
        <is>
          <t>### 7.1. Начальный замок</t>
        </is>
      </c>
    </row>
    <row r="179">
      <c r="A179" s="18" t="inlineStr"/>
    </row>
    <row r="180">
      <c r="A180" s="18" t="inlineStr">
        <is>
          <t>Открыты две равные позиции:</t>
        </is>
      </c>
    </row>
    <row r="181">
      <c r="A181" s="18" t="inlineStr"/>
    </row>
    <row r="182">
      <c r="A182" s="18" t="inlineStr">
        <is>
          <t>| Позиция | Лот |</t>
        </is>
      </c>
    </row>
    <row r="183">
      <c r="A183" s="18" t="inlineStr">
        <is>
          <t>| --- | ---: |</t>
        </is>
      </c>
    </row>
    <row r="184">
      <c r="A184" s="18" t="inlineStr">
        <is>
          <t>| BUY | 1.00 |</t>
        </is>
      </c>
    </row>
    <row r="185">
      <c r="A185" s="18" t="inlineStr">
        <is>
          <t>| SELL | 1.00 |</t>
        </is>
      </c>
    </row>
    <row r="186">
      <c r="A186" s="18" t="inlineStr"/>
    </row>
    <row r="187">
      <c r="A187" s="18" t="inlineStr">
        <is>
          <t>Цена пошла вверх. BUY закрыт в прибыль. SELL остался в минусе.</t>
        </is>
      </c>
    </row>
    <row r="188">
      <c r="A188" s="18" t="inlineStr"/>
    </row>
    <row r="189">
      <c r="A189" s="18" t="inlineStr">
        <is>
          <t>Новый дальний хвост:</t>
        </is>
      </c>
    </row>
    <row r="190">
      <c r="A190" s="18" t="inlineStr"/>
    </row>
    <row r="191">
      <c r="A191" s="18" t="inlineStr">
        <is>
          <t>```text</t>
        </is>
      </c>
    </row>
    <row r="192">
      <c r="A192" s="18" t="inlineStr">
        <is>
          <t>F_1 = 1.00 SELL</t>
        </is>
      </c>
    </row>
    <row r="193">
      <c r="A193" s="18" t="inlineStr">
        <is>
          <t>```</t>
        </is>
      </c>
    </row>
    <row r="194">
      <c r="A194" s="18" t="inlineStr"/>
    </row>
    <row r="195">
      <c r="A195" s="18" t="inlineStr">
        <is>
          <t>### 7.2. Построение первого уровня</t>
        </is>
      </c>
    </row>
    <row r="196">
      <c r="A196" s="18" t="inlineStr"/>
    </row>
    <row r="197">
      <c r="A197" s="18" t="inlineStr">
        <is>
          <t>Big:</t>
        </is>
      </c>
    </row>
    <row r="198">
      <c r="A198" s="18" t="inlineStr"/>
    </row>
    <row r="199">
      <c r="A199" s="18" t="inlineStr">
        <is>
          <t>```text</t>
        </is>
      </c>
    </row>
    <row r="200">
      <c r="A200" s="18" t="inlineStr">
        <is>
          <t>B_1 = F_1 × 1.15 = 1.00 × 1.15 = 1.15 BUY</t>
        </is>
      </c>
    </row>
    <row r="201">
      <c r="A201" s="18" t="inlineStr">
        <is>
          <t>```</t>
        </is>
      </c>
    </row>
    <row r="202">
      <c r="A202" s="18" t="inlineStr"/>
    </row>
    <row r="203">
      <c r="A203" s="18" t="inlineStr">
        <is>
          <t>Small:</t>
        </is>
      </c>
    </row>
    <row r="204">
      <c r="A204" s="18" t="inlineStr"/>
    </row>
    <row r="205">
      <c r="A205" s="18" t="inlineStr">
        <is>
          <t>```text</t>
        </is>
      </c>
    </row>
    <row r="206">
      <c r="A206" s="18" t="inlineStr">
        <is>
          <t>S_1 = B_1 × 0.38 = 1.15 × 0.38 = 0.437 ≈ 0.44 SELL</t>
        </is>
      </c>
    </row>
    <row r="207">
      <c r="A207" s="18" t="inlineStr">
        <is>
          <t>```</t>
        </is>
      </c>
    </row>
    <row r="208">
      <c r="A208" s="18" t="inlineStr"/>
    </row>
    <row r="209">
      <c r="A209" s="18" t="inlineStr">
        <is>
          <t>Структура уровня:</t>
        </is>
      </c>
    </row>
    <row r="210">
      <c r="A210" s="18" t="inlineStr"/>
    </row>
    <row r="211">
      <c r="A211" s="18" t="inlineStr">
        <is>
          <t>| Элемент | Направление | Лот |</t>
        </is>
      </c>
    </row>
    <row r="212">
      <c r="A212" s="18" t="inlineStr">
        <is>
          <t>| --- | --- | ---: |</t>
        </is>
      </c>
    </row>
    <row r="213">
      <c r="A213" s="18" t="inlineStr">
        <is>
          <t>| Дальний хвост | SELL | 1.00 |</t>
        </is>
      </c>
    </row>
    <row r="214">
      <c r="A214" s="18" t="inlineStr">
        <is>
          <t>| Big | BUY | 1.15 |</t>
        </is>
      </c>
    </row>
    <row r="215">
      <c r="A215" s="18" t="inlineStr">
        <is>
          <t>| Small | SELL | 0.44 |</t>
        </is>
      </c>
    </row>
    <row r="216">
      <c r="A216" s="18" t="inlineStr"/>
    </row>
    <row r="217">
      <c r="A217" s="18" t="inlineStr">
        <is>
          <t>Суммарный открытый объём:</t>
        </is>
      </c>
    </row>
    <row r="218">
      <c r="A218" s="18" t="inlineStr"/>
    </row>
    <row r="219">
      <c r="A219" s="18" t="inlineStr">
        <is>
          <t>```text</t>
        </is>
      </c>
    </row>
    <row r="220">
      <c r="A220" s="18" t="inlineStr">
        <is>
          <t>TotalLots = 1.00 + 1.15 + 0.44 = 2.59</t>
        </is>
      </c>
    </row>
    <row r="221">
      <c r="A221" s="18" t="inlineStr">
        <is>
          <t>```</t>
        </is>
      </c>
    </row>
    <row r="222">
      <c r="A222" s="18" t="inlineStr"/>
    </row>
    <row r="223">
      <c r="A223" s="18" t="inlineStr">
        <is>
          <t>---</t>
        </is>
      </c>
    </row>
    <row r="224">
      <c r="A224" s="18" t="inlineStr"/>
    </row>
    <row r="225">
      <c r="A225" s="18" t="inlineStr">
        <is>
          <t>## 8. Два рабочих сценария</t>
        </is>
      </c>
    </row>
    <row r="226">
      <c r="A226" s="18" t="inlineStr"/>
    </row>
    <row r="227">
      <c r="A227" s="18" t="inlineStr">
        <is>
          <t>После построения уровня возможны только два штатных сценария.</t>
        </is>
      </c>
    </row>
    <row r="228">
      <c r="A228" s="18" t="inlineStr"/>
    </row>
    <row r="229">
      <c r="A229" s="18" t="inlineStr">
        <is>
          <t>### Сценарий A — цена идёт в сторону Big</t>
        </is>
      </c>
    </row>
    <row r="230">
      <c r="A230" s="18" t="inlineStr"/>
    </row>
    <row r="231">
      <c r="A231" s="18" t="inlineStr">
        <is>
          <t>Для хвоста SELL это движение вверх, потому что Big открыт BUY.</t>
        </is>
      </c>
    </row>
    <row r="232">
      <c r="A232" s="18" t="inlineStr"/>
    </row>
    <row r="233">
      <c r="A233" s="18" t="inlineStr">
        <is>
          <t>Результат:</t>
        </is>
      </c>
    </row>
    <row r="234">
      <c r="A234" s="18" t="inlineStr"/>
    </row>
    <row r="235">
      <c r="A235" s="18" t="inlineStr">
        <is>
          <t>- Big получает прибыль;</t>
        </is>
      </c>
    </row>
    <row r="236">
      <c r="A236" s="18" t="inlineStr">
        <is>
          <t>- Small получает минус;</t>
        </is>
      </c>
    </row>
    <row r="237">
      <c r="A237" s="18" t="inlineStr">
        <is>
          <t>- дальний хвост остаётся отрицательным;</t>
        </is>
      </c>
    </row>
    <row r="238">
      <c r="A238" s="18" t="inlineStr">
        <is>
          <t>- уровень закрывается полностью;</t>
        </is>
      </c>
    </row>
    <row r="239">
      <c r="A239" s="18" t="inlineStr">
        <is>
          <t>- часть чистой прибыли направляется на уменьшение хвоста;</t>
        </is>
      </c>
    </row>
    <row r="240">
      <c r="A240" s="18" t="inlineStr">
        <is>
          <t>- остальное уходит в резерв.</t>
        </is>
      </c>
    </row>
    <row r="241">
      <c r="A241" s="18" t="inlineStr"/>
    </row>
    <row r="242">
      <c r="A242" s="18" t="inlineStr">
        <is>
          <t>### Сценарий B — цена идёт в сторону Small</t>
        </is>
      </c>
    </row>
    <row r="243">
      <c r="A243" s="18" t="inlineStr"/>
    </row>
    <row r="244">
      <c r="A244" s="18" t="inlineStr">
        <is>
          <t>Для хвоста SELL это движение вниз, потому что Small открыт SELL.</t>
        </is>
      </c>
    </row>
    <row r="245">
      <c r="A245" s="18" t="inlineStr"/>
    </row>
    <row r="246">
      <c r="A246" s="18" t="inlineStr">
        <is>
          <t>Результат:</t>
        </is>
      </c>
    </row>
    <row r="247">
      <c r="A247" s="18" t="inlineStr"/>
    </row>
    <row r="248">
      <c r="A248" s="18" t="inlineStr">
        <is>
          <t>- Small получает прибыль;</t>
        </is>
      </c>
    </row>
    <row r="249">
      <c r="A249" s="18" t="inlineStr">
        <is>
          <t>- Big получает минус;</t>
        </is>
      </c>
    </row>
    <row r="250">
      <c r="A250" s="18" t="inlineStr">
        <is>
          <t>- Big закрывается частично;</t>
        </is>
      </c>
    </row>
    <row r="251">
      <c r="A251" s="18" t="inlineStr">
        <is>
          <t>- остаток Big становится новым хвостом;</t>
        </is>
      </c>
    </row>
    <row r="252">
      <c r="A252" s="18" t="inlineStr">
        <is>
          <t>- направление системы переворачивается;</t>
        </is>
      </c>
    </row>
    <row r="253">
      <c r="A253" s="18" t="inlineStr">
        <is>
          <t>- Small не накапливается.</t>
        </is>
      </c>
    </row>
    <row r="254">
      <c r="A254" s="18" t="inlineStr"/>
    </row>
    <row r="255">
      <c r="A255" s="18" t="inlineStr">
        <is>
          <t>---</t>
        </is>
      </c>
    </row>
    <row r="256">
      <c r="A256" s="18" t="inlineStr"/>
    </row>
    <row r="257">
      <c r="A257" s="18" t="inlineStr">
        <is>
          <t>## 9. Сценарий A: цена идёт в сторону Big</t>
        </is>
      </c>
    </row>
    <row r="258">
      <c r="A258" s="18" t="inlineStr"/>
    </row>
    <row r="259">
      <c r="A259" s="18" t="inlineStr">
        <is>
          <t>### 9.1. Обязательное правило закрытия уровня</t>
        </is>
      </c>
    </row>
    <row r="260">
      <c r="A260" s="18" t="inlineStr"/>
    </row>
    <row r="261">
      <c r="A261" s="18" t="inlineStr">
        <is>
          <t>Если цена дошла до цели Big-сценария, закрываются:</t>
        </is>
      </c>
    </row>
    <row r="262">
      <c r="A262" s="18" t="inlineStr"/>
    </row>
    <row r="263">
      <c r="A263" s="18" t="inlineStr">
        <is>
          <t>```text</t>
        </is>
      </c>
    </row>
    <row r="264">
      <c r="A264" s="18" t="inlineStr">
        <is>
          <t>Big   = 100%</t>
        </is>
      </c>
    </row>
    <row r="265">
      <c r="A265" s="18" t="inlineStr">
        <is>
          <t>Small = 100%</t>
        </is>
      </c>
    </row>
    <row r="266">
      <c r="A266" s="18" t="inlineStr">
        <is>
          <t>```</t>
        </is>
      </c>
    </row>
    <row r="267">
      <c r="A267" s="18" t="inlineStr"/>
    </row>
    <row r="268">
      <c r="A268" s="18" t="inlineStr">
        <is>
          <t>Small нельзя оставлять открытым.</t>
        </is>
      </c>
    </row>
    <row r="269">
      <c r="A269" s="18" t="inlineStr"/>
    </row>
    <row r="270">
      <c r="A270" s="18" t="inlineStr">
        <is>
          <t>Причины:</t>
        </is>
      </c>
    </row>
    <row r="271">
      <c r="A271" s="18" t="inlineStr"/>
    </row>
    <row r="272">
      <c r="A272" s="18" t="inlineStr">
        <is>
          <t>- Small начнут накапливаться;</t>
        </is>
      </c>
    </row>
    <row r="273">
      <c r="A273" s="18" t="inlineStr">
        <is>
          <t>- маржинальная нагрузка станет неконтролируемой;</t>
        </is>
      </c>
    </row>
    <row r="274">
      <c r="A274" s="18" t="inlineStr">
        <is>
          <t>- флэт превратится в серию разнонаправленных зависших позиций;</t>
        </is>
      </c>
    </row>
    <row r="275">
      <c r="A275" s="18" t="inlineStr">
        <is>
          <t>- система потеряет свойство самосжатия;</t>
        </is>
      </c>
    </row>
    <row r="276">
      <c r="A276" s="18" t="inlineStr">
        <is>
          <t>- вместо цикла появится многослойный лок.</t>
        </is>
      </c>
    </row>
    <row r="277">
      <c r="A277" s="18" t="inlineStr"/>
    </row>
    <row r="278">
      <c r="A278" s="18" t="inlineStr">
        <is>
          <t>Правило:</t>
        </is>
      </c>
    </row>
    <row r="279">
      <c r="A279" s="18" t="inlineStr"/>
    </row>
    <row r="280">
      <c r="A280" s="18" t="inlineStr">
        <is>
          <t>&gt; Каждый рабочий уровень должен завершаться полностью. После Big-сценария не должно оставаться ни Big, ни Small текущего уровня.</t>
        </is>
      </c>
    </row>
    <row r="281">
      <c r="A281" s="18" t="inlineStr"/>
    </row>
    <row r="282">
      <c r="A282" s="18" t="inlineStr">
        <is>
          <t>### 9.2. Расчёт чистой прибыли уровня</t>
        </is>
      </c>
    </row>
    <row r="283">
      <c r="A283" s="18" t="inlineStr"/>
    </row>
    <row r="284">
      <c r="A284" s="18" t="inlineStr">
        <is>
          <t>Базовая формула:</t>
        </is>
      </c>
    </row>
    <row r="285">
      <c r="A285" s="18" t="inlineStr"/>
    </row>
    <row r="286">
      <c r="A286" s="18" t="inlineStr">
        <is>
          <t>```text</t>
        </is>
      </c>
    </row>
    <row r="287">
      <c r="A287" s="18" t="inlineStr">
        <is>
          <t>NetProfit = ProfitBig - LossSmall - Commission - SpreadCost - SlippageCost</t>
        </is>
      </c>
    </row>
    <row r="288">
      <c r="A288" s="18" t="inlineStr">
        <is>
          <t>```</t>
        </is>
      </c>
    </row>
    <row r="289">
      <c r="A289" s="18" t="inlineStr"/>
    </row>
    <row r="290">
      <c r="A290" s="18" t="inlineStr">
        <is>
          <t>Упрощённая формула без издержек:</t>
        </is>
      </c>
    </row>
    <row r="291">
      <c r="A291" s="18" t="inlineStr"/>
    </row>
    <row r="292">
      <c r="A292" s="18" t="inlineStr">
        <is>
          <t>```text</t>
        </is>
      </c>
    </row>
    <row r="293">
      <c r="A293" s="18" t="inlineStr">
        <is>
          <t>NetProfit = ProfitBig - LossSmall</t>
        </is>
      </c>
    </row>
    <row r="294">
      <c r="A294" s="18" t="inlineStr">
        <is>
          <t>```</t>
        </is>
      </c>
    </row>
    <row r="295">
      <c r="A295" s="18" t="inlineStr"/>
    </row>
    <row r="296">
      <c r="A296" s="18" t="inlineStr">
        <is>
          <t>Пример:</t>
        </is>
      </c>
    </row>
    <row r="297">
      <c r="A297" s="18" t="inlineStr"/>
    </row>
    <row r="298">
      <c r="A298" s="18" t="inlineStr">
        <is>
          <t>```text</t>
        </is>
      </c>
    </row>
    <row r="299">
      <c r="A299" s="18" t="inlineStr">
        <is>
          <t>ProfitBig = +200</t>
        </is>
      </c>
    </row>
    <row r="300">
      <c r="A300" s="18" t="inlineStr">
        <is>
          <t>LossSmall = -60</t>
        </is>
      </c>
    </row>
    <row r="301">
      <c r="A301" s="18" t="inlineStr">
        <is>
          <t>Commission + SpreadCost = 10</t>
        </is>
      </c>
    </row>
    <row r="302">
      <c r="A302" s="18" t="inlineStr">
        <is>
          <t>NetProfit = 200 - 60 - 10 = 130</t>
        </is>
      </c>
    </row>
    <row r="303">
      <c r="A303" s="18" t="inlineStr">
        <is>
          <t>```</t>
        </is>
      </c>
    </row>
    <row r="304">
      <c r="A304" s="18" t="inlineStr"/>
    </row>
    <row r="305">
      <c r="A305" s="18" t="inlineStr">
        <is>
          <t>Если издержки не учитывать:</t>
        </is>
      </c>
    </row>
    <row r="306">
      <c r="A306" s="18" t="inlineStr"/>
    </row>
    <row r="307">
      <c r="A307" s="18" t="inlineStr">
        <is>
          <t>```text</t>
        </is>
      </c>
    </row>
    <row r="308">
      <c r="A308" s="18" t="inlineStr">
        <is>
          <t>NetProfit = 200 - 60 = 140</t>
        </is>
      </c>
    </row>
    <row r="309">
      <c r="A309" s="18" t="inlineStr">
        <is>
          <t>```</t>
        </is>
      </c>
    </row>
    <row r="310">
      <c r="A310" s="18" t="inlineStr"/>
    </row>
    <row r="311">
      <c r="A311" s="18" t="inlineStr">
        <is>
          <t>В реальной системе издержки обязательно учитываются, потому что они напрямую уменьшают резерв и способность закрывать хвост.</t>
        </is>
      </c>
    </row>
    <row r="312">
      <c r="A312" s="18" t="inlineStr"/>
    </row>
    <row r="313">
      <c r="A313" s="18" t="inlineStr">
        <is>
          <t>### 9.3. Распределение прибыли</t>
        </is>
      </c>
    </row>
    <row r="314">
      <c r="A314" s="18" t="inlineStr"/>
    </row>
    <row r="315">
      <c r="A315" s="18" t="inlineStr">
        <is>
          <t>Каноническое распределение:</t>
        </is>
      </c>
    </row>
    <row r="316">
      <c r="A316" s="18" t="inlineStr"/>
    </row>
    <row r="317">
      <c r="A317" s="18" t="inlineStr">
        <is>
          <t>```text</t>
        </is>
      </c>
    </row>
    <row r="318">
      <c r="A318" s="18" t="inlineStr">
        <is>
          <t>CloseFarMoney = NetProfit × 0.20</t>
        </is>
      </c>
    </row>
    <row r="319">
      <c r="A319" s="18" t="inlineStr">
        <is>
          <t>ReserveAdd    = NetProfit × 0.80</t>
        </is>
      </c>
    </row>
    <row r="320">
      <c r="A320" s="18" t="inlineStr">
        <is>
          <t>```</t>
        </is>
      </c>
    </row>
    <row r="321">
      <c r="A321" s="18" t="inlineStr"/>
    </row>
    <row r="322">
      <c r="A322" s="18" t="inlineStr">
        <is>
          <t>Пример при `NetProfit = 140`:</t>
        </is>
      </c>
    </row>
    <row r="323">
      <c r="A323" s="18" t="inlineStr"/>
    </row>
    <row r="324">
      <c r="A324" s="18" t="inlineStr">
        <is>
          <t>```text</t>
        </is>
      </c>
    </row>
    <row r="325">
      <c r="A325" s="18" t="inlineStr">
        <is>
          <t>CloseFarMoney = 140 × 0.20 = 28</t>
        </is>
      </c>
    </row>
    <row r="326">
      <c r="A326" s="18" t="inlineStr">
        <is>
          <t>ReserveAdd    = 140 × 0.80 = 112</t>
        </is>
      </c>
    </row>
    <row r="327">
      <c r="A327" s="18" t="inlineStr">
        <is>
          <t>```</t>
        </is>
      </c>
    </row>
    <row r="328">
      <c r="A328" s="18" t="inlineStr"/>
    </row>
    <row r="329">
      <c r="A329" s="18" t="inlineStr">
        <is>
          <t>### 9.4. Важное различие: деньги и лоты</t>
        </is>
      </c>
    </row>
    <row r="330">
      <c r="A330" s="18" t="inlineStr"/>
    </row>
    <row r="331">
      <c r="A331" s="18" t="inlineStr">
        <is>
          <t>Формула `F_{n+1} = F_n × 0.80` корректна только если система действительно закрывает **20% лотового объёма хвоста**.</t>
        </is>
      </c>
    </row>
    <row r="332">
      <c r="A332" s="18" t="inlineStr"/>
    </row>
    <row r="333">
      <c r="A333" s="18" t="inlineStr">
        <is>
          <t>На практике чистая прибыль измеряется в деньгах, а хвост — в лотах. Поэтому нужен перевод:</t>
        </is>
      </c>
    </row>
    <row r="334">
      <c r="A334" s="18" t="inlineStr"/>
    </row>
    <row r="335">
      <c r="A335" s="18" t="inlineStr">
        <is>
          <t>```text</t>
        </is>
      </c>
    </row>
    <row r="336">
      <c r="A336" s="18" t="inlineStr">
        <is>
          <t>CloseFarLots = CloseFarMoney / LossPerLotToClose</t>
        </is>
      </c>
    </row>
    <row r="337">
      <c r="A337" s="18" t="inlineStr">
        <is>
          <t>F_{n+1}      = F_n - CloseFarLots</t>
        </is>
      </c>
    </row>
    <row r="338">
      <c r="A338" s="18" t="inlineStr">
        <is>
          <t>```</t>
        </is>
      </c>
    </row>
    <row r="339">
      <c r="A339" s="18" t="inlineStr"/>
    </row>
    <row r="340">
      <c r="A340" s="18" t="inlineStr">
        <is>
          <t>Где `LossPerLotToClose` — текущий денежный убыток на 1 лот хвоста, который нужно зафиксировать при частичном закрытии.</t>
        </is>
      </c>
    </row>
    <row r="341">
      <c r="A341" s="18" t="inlineStr"/>
    </row>
    <row r="342">
      <c r="A342" s="18" t="inlineStr">
        <is>
          <t>Если цель задана именно как лотовое сжатие на 20%, то используется:</t>
        </is>
      </c>
    </row>
    <row r="343">
      <c r="A343" s="18" t="inlineStr"/>
    </row>
    <row r="344">
      <c r="A344" s="18" t="inlineStr">
        <is>
          <t>```text</t>
        </is>
      </c>
    </row>
    <row r="345">
      <c r="A345" s="18" t="inlineStr">
        <is>
          <t>TargetCloseFarLots = F_n × 0.20</t>
        </is>
      </c>
    </row>
    <row r="346">
      <c r="A346" s="18" t="inlineStr">
        <is>
          <t>RequiredMoney      = TargetCloseFarLots × LossPerLotToClose</t>
        </is>
      </c>
    </row>
    <row r="347">
      <c r="A347" s="18" t="inlineStr">
        <is>
          <t>```</t>
        </is>
      </c>
    </row>
    <row r="348">
      <c r="A348" s="18" t="inlineStr"/>
    </row>
    <row r="349">
      <c r="A349" s="18" t="inlineStr">
        <is>
          <t>Далее проверяется:</t>
        </is>
      </c>
    </row>
    <row r="350">
      <c r="A350" s="18" t="inlineStr"/>
    </row>
    <row r="351">
      <c r="A351" s="18" t="inlineStr">
        <is>
          <t>```text</t>
        </is>
      </c>
    </row>
    <row r="352">
      <c r="A352" s="18" t="inlineStr">
        <is>
          <t>если NetProfit × 0.20 &gt;= RequiredMoney:</t>
        </is>
      </c>
    </row>
    <row r="353">
      <c r="A353" s="18" t="inlineStr">
        <is>
          <t xml:space="preserve">    закрыть 20% хвоста по лоту</t>
        </is>
      </c>
    </row>
    <row r="354">
      <c r="A354" s="18" t="inlineStr">
        <is>
          <t>иначе:</t>
        </is>
      </c>
    </row>
    <row r="355">
      <c r="A355" s="18" t="inlineStr">
        <is>
          <t xml:space="preserve">    закрыть только доступный объём по деньгам</t>
        </is>
      </c>
    </row>
    <row r="356">
      <c r="A356" s="18" t="inlineStr">
        <is>
          <t>```</t>
        </is>
      </c>
    </row>
    <row r="357">
      <c r="A357" s="18" t="inlineStr"/>
    </row>
    <row r="358">
      <c r="A358" s="18" t="inlineStr">
        <is>
          <t>Таким образом, есть два режима:</t>
        </is>
      </c>
    </row>
    <row r="359">
      <c r="A359" s="18" t="inlineStr"/>
    </row>
    <row r="360">
      <c r="A360" s="18" t="inlineStr">
        <is>
          <t>| Режим | Что фиксировано | Что получается на выходе |</t>
        </is>
      </c>
    </row>
    <row r="361">
      <c r="A361" s="18" t="inlineStr">
        <is>
          <t>| --- | --- | --- |</t>
        </is>
      </c>
    </row>
    <row r="362">
      <c r="A362" s="18" t="inlineStr">
        <is>
          <t>| Денежный | 20% чистой прибыли | Закрывается столько лотов, сколько позволяет прибыль. |</t>
        </is>
      </c>
    </row>
    <row r="363">
      <c r="A363" s="18" t="inlineStr">
        <is>
          <t>| Лотовый | 20% хвоста | Требуется достаточная прибыль для оплаты фиксации убытка. |</t>
        </is>
      </c>
    </row>
    <row r="364">
      <c r="A364" s="18" t="inlineStr"/>
    </row>
    <row r="365">
      <c r="A365" s="18" t="inlineStr">
        <is>
          <t>Для строгого самосжатия предпочтителен **лотовый режим**, но он требует проверки достаточности прибыли.</t>
        </is>
      </c>
    </row>
    <row r="366">
      <c r="A366" s="18" t="inlineStr"/>
    </row>
    <row r="367">
      <c r="A367" s="18" t="inlineStr">
        <is>
          <t>---</t>
        </is>
      </c>
    </row>
    <row r="368">
      <c r="A368" s="18" t="inlineStr"/>
    </row>
    <row r="369">
      <c r="A369" s="18" t="inlineStr">
        <is>
          <t>## 10. Математика уменьшения хвоста в Big-сценарии</t>
        </is>
      </c>
    </row>
    <row r="370">
      <c r="A370" s="18" t="inlineStr"/>
    </row>
    <row r="371">
      <c r="A371" s="18" t="inlineStr">
        <is>
          <t>Если каждый успешный Big-сценарий закрывает ровно 20% лотового объёма хвоста:</t>
        </is>
      </c>
    </row>
    <row r="372">
      <c r="A372" s="18" t="inlineStr"/>
    </row>
    <row r="373">
      <c r="A373" s="18" t="inlineStr">
        <is>
          <t>```text</t>
        </is>
      </c>
    </row>
    <row r="374">
      <c r="A374" s="18" t="inlineStr">
        <is>
          <t>F_{n+1} = F_n × 0.80</t>
        </is>
      </c>
    </row>
    <row r="375">
      <c r="A375" s="18" t="inlineStr">
        <is>
          <t>```</t>
        </is>
      </c>
    </row>
    <row r="376">
      <c r="A376" s="18" t="inlineStr"/>
    </row>
    <row r="377">
      <c r="A377" s="18" t="inlineStr">
        <is>
          <t>Таблица сжатия:</t>
        </is>
      </c>
    </row>
    <row r="378">
      <c r="A378" s="18" t="inlineStr"/>
    </row>
    <row r="379">
      <c r="A379" s="18" t="inlineStr">
        <is>
          <t>| Цикл | Хвост до цикла | Хвост после закрытия 20% |</t>
        </is>
      </c>
    </row>
    <row r="380">
      <c r="A380" s="18" t="inlineStr">
        <is>
          <t>| ---: | ---: | ---: |</t>
        </is>
      </c>
    </row>
    <row r="381">
      <c r="A381" s="18" t="inlineStr">
        <is>
          <t>| 1 | 1.000 | 0.800 |</t>
        </is>
      </c>
    </row>
    <row r="382">
      <c r="A382" s="18" t="inlineStr">
        <is>
          <t>| 2 | 0.800 | 0.640 |</t>
        </is>
      </c>
    </row>
    <row r="383">
      <c r="A383" s="18" t="inlineStr">
        <is>
          <t>| 3 | 0.640 | 0.512 |</t>
        </is>
      </c>
    </row>
    <row r="384">
      <c r="A384" s="18" t="inlineStr">
        <is>
          <t>| 4 | 0.512 | 0.410 |</t>
        </is>
      </c>
    </row>
    <row r="385">
      <c r="A385" s="18" t="inlineStr">
        <is>
          <t>| 5 | 0.410 | 0.328 |</t>
        </is>
      </c>
    </row>
    <row r="386">
      <c r="A386" s="18" t="inlineStr">
        <is>
          <t>| 6 | 0.328 | 0.262 |</t>
        </is>
      </c>
    </row>
    <row r="387">
      <c r="A387" s="18" t="inlineStr">
        <is>
          <t>| 7 | 0.262 | 0.210 |</t>
        </is>
      </c>
    </row>
    <row r="388">
      <c r="A388" s="18" t="inlineStr">
        <is>
          <t>| 8 | 0.210 | 0.168 |</t>
        </is>
      </c>
    </row>
    <row r="389">
      <c r="A389" s="18" t="inlineStr">
        <is>
          <t>| 9 | 0.168 | 0.134 |</t>
        </is>
      </c>
    </row>
    <row r="390">
      <c r="A390" s="18" t="inlineStr">
        <is>
          <t>| 10 | 0.134 | 0.107 |</t>
        </is>
      </c>
    </row>
    <row r="391">
      <c r="A391" s="18" t="inlineStr"/>
    </row>
    <row r="392">
      <c r="A392" s="18" t="inlineStr">
        <is>
          <t>Общая формула после `k` успешных Big-сценариев:</t>
        </is>
      </c>
    </row>
    <row r="393">
      <c r="A393" s="18" t="inlineStr"/>
    </row>
    <row r="394">
      <c r="A394" s="18" t="inlineStr">
        <is>
          <t>```text</t>
        </is>
      </c>
    </row>
    <row r="395">
      <c r="A395" s="18" t="inlineStr">
        <is>
          <t>F_k = F_0 × 0.80^k</t>
        </is>
      </c>
    </row>
    <row r="396">
      <c r="A396" s="18" t="inlineStr">
        <is>
          <t>```</t>
        </is>
      </c>
    </row>
    <row r="397">
      <c r="A397" s="18" t="inlineStr"/>
    </row>
    <row r="398">
      <c r="A398" s="18" t="inlineStr">
        <is>
          <t>---</t>
        </is>
      </c>
    </row>
    <row r="399">
      <c r="A399" s="18" t="inlineStr"/>
    </row>
    <row r="400">
      <c r="A400" s="18" t="inlineStr">
        <is>
          <t>## 11. Сценарий B: цена идёт в сторону Small</t>
        </is>
      </c>
    </row>
    <row r="401">
      <c r="A401" s="18" t="inlineStr"/>
    </row>
    <row r="402">
      <c r="A402" s="18" t="inlineStr">
        <is>
          <t>### 11.1. Действия системы</t>
        </is>
      </c>
    </row>
    <row r="403">
      <c r="A403" s="18" t="inlineStr"/>
    </row>
    <row r="404">
      <c r="A404" s="18" t="inlineStr">
        <is>
          <t>При достижении цели Small-сценария выполняются действия:</t>
        </is>
      </c>
    </row>
    <row r="405">
      <c r="A405" s="18" t="inlineStr"/>
    </row>
    <row r="406">
      <c r="A406" s="18" t="inlineStr">
        <is>
          <t>1. Small закрывается полностью.</t>
        </is>
      </c>
    </row>
    <row r="407">
      <c r="A407" s="18" t="inlineStr">
        <is>
          <t>2. Big закрывается частично на 22%.</t>
        </is>
      </c>
    </row>
    <row r="408">
      <c r="A408" s="18" t="inlineStr">
        <is>
          <t>3. Остаток Big в 78% становится новым дальним хвостом.</t>
        </is>
      </c>
    </row>
    <row r="409">
      <c r="A409" s="18" t="inlineStr">
        <is>
          <t>4. Система пересчитывает новый Big и новый Small уже в противоположную сторону.</t>
        </is>
      </c>
    </row>
    <row r="410">
      <c r="A410" s="18" t="inlineStr"/>
    </row>
    <row r="411">
      <c r="A411" s="18" t="inlineStr">
        <is>
          <t>Формулы:</t>
        </is>
      </c>
    </row>
    <row r="412">
      <c r="A412" s="18" t="inlineStr"/>
    </row>
    <row r="413">
      <c r="A413" s="18" t="inlineStr">
        <is>
          <t>```text</t>
        </is>
      </c>
    </row>
    <row r="414">
      <c r="A414" s="18" t="inlineStr">
        <is>
          <t>CloseBigLots = Big × 0.22</t>
        </is>
      </c>
    </row>
    <row r="415">
      <c r="A415" s="18" t="inlineStr">
        <is>
          <t>RemainBig    = Big × 0.78</t>
        </is>
      </c>
    </row>
    <row r="416">
      <c r="A416" s="18" t="inlineStr">
        <is>
          <t>```</t>
        </is>
      </c>
    </row>
    <row r="417">
      <c r="A417" s="18" t="inlineStr"/>
    </row>
    <row r="418">
      <c r="A418" s="18" t="inlineStr">
        <is>
          <t>Новый хвост:</t>
        </is>
      </c>
    </row>
    <row r="419">
      <c r="A419" s="18" t="inlineStr"/>
    </row>
    <row r="420">
      <c r="A420" s="18" t="inlineStr">
        <is>
          <t>```text</t>
        </is>
      </c>
    </row>
    <row r="421">
      <c r="A421" s="18" t="inlineStr">
        <is>
          <t>F_{n+1} = RemainBig</t>
        </is>
      </c>
    </row>
    <row r="422">
      <c r="A422" s="18" t="inlineStr">
        <is>
          <t>```</t>
        </is>
      </c>
    </row>
    <row r="423">
      <c r="A423" s="18" t="inlineStr"/>
    </row>
    <row r="424">
      <c r="A424" s="18" t="inlineStr">
        <is>
          <t>Так как:</t>
        </is>
      </c>
    </row>
    <row r="425">
      <c r="A425" s="18" t="inlineStr"/>
    </row>
    <row r="426">
      <c r="A426" s="18" t="inlineStr">
        <is>
          <t>```text</t>
        </is>
      </c>
    </row>
    <row r="427">
      <c r="A427" s="18" t="inlineStr">
        <is>
          <t>Big = F_n × 1.15</t>
        </is>
      </c>
    </row>
    <row r="428">
      <c r="A428" s="18" t="inlineStr">
        <is>
          <t>```</t>
        </is>
      </c>
    </row>
    <row r="429">
      <c r="A429" s="18" t="inlineStr"/>
    </row>
    <row r="430">
      <c r="A430" s="18" t="inlineStr">
        <is>
          <t>то:</t>
        </is>
      </c>
    </row>
    <row r="431">
      <c r="A431" s="18" t="inlineStr"/>
    </row>
    <row r="432">
      <c r="A432" s="18" t="inlineStr">
        <is>
          <t>```text</t>
        </is>
      </c>
    </row>
    <row r="433">
      <c r="A433" s="18" t="inlineStr">
        <is>
          <t>F_{n+1} = F_n × 1.15 × 0.78 = F_n × 0.897</t>
        </is>
      </c>
    </row>
    <row r="434">
      <c r="A434" s="18" t="inlineStr">
        <is>
          <t>```</t>
        </is>
      </c>
    </row>
    <row r="435">
      <c r="A435" s="18" t="inlineStr"/>
    </row>
    <row r="436">
      <c r="A436" s="18" t="inlineStr">
        <is>
          <t>Это означает, что даже при развороте хвост уменьшается примерно на:</t>
        </is>
      </c>
    </row>
    <row r="437">
      <c r="A437" s="18" t="inlineStr"/>
    </row>
    <row r="438">
      <c r="A438" s="18" t="inlineStr">
        <is>
          <t>```text</t>
        </is>
      </c>
    </row>
    <row r="439">
      <c r="A439" s="18" t="inlineStr">
        <is>
          <t>1 - 0.897 = 0.103 = 10.3%</t>
        </is>
      </c>
    </row>
    <row r="440">
      <c r="A440" s="18" t="inlineStr">
        <is>
          <t>```</t>
        </is>
      </c>
    </row>
    <row r="441">
      <c r="A441" s="18" t="inlineStr"/>
    </row>
    <row r="442">
      <c r="A442" s="18" t="inlineStr">
        <is>
          <t>### 11.2. Пример переворота</t>
        </is>
      </c>
    </row>
    <row r="443">
      <c r="A443" s="18" t="inlineStr"/>
    </row>
    <row r="444">
      <c r="A444" s="18" t="inlineStr">
        <is>
          <t>Исходный хвост:</t>
        </is>
      </c>
    </row>
    <row r="445">
      <c r="A445" s="18" t="inlineStr"/>
    </row>
    <row r="446">
      <c r="A446" s="18" t="inlineStr">
        <is>
          <t>```text</t>
        </is>
      </c>
    </row>
    <row r="447">
      <c r="A447" s="18" t="inlineStr">
        <is>
          <t>F_1 = 1.00 SELL</t>
        </is>
      </c>
    </row>
    <row r="448">
      <c r="A448" s="18" t="inlineStr">
        <is>
          <t>```</t>
        </is>
      </c>
    </row>
    <row r="449">
      <c r="A449" s="18" t="inlineStr"/>
    </row>
    <row r="450">
      <c r="A450" s="18" t="inlineStr">
        <is>
          <t>Big:</t>
        </is>
      </c>
    </row>
    <row r="451">
      <c r="A451" s="18" t="inlineStr"/>
    </row>
    <row r="452">
      <c r="A452" s="18" t="inlineStr">
        <is>
          <t>```text</t>
        </is>
      </c>
    </row>
    <row r="453">
      <c r="A453" s="18" t="inlineStr">
        <is>
          <t>B_1 = 1.00 × 1.15 = 1.15 BUY</t>
        </is>
      </c>
    </row>
    <row r="454">
      <c r="A454" s="18" t="inlineStr">
        <is>
          <t>```</t>
        </is>
      </c>
    </row>
    <row r="455">
      <c r="A455" s="18" t="inlineStr"/>
    </row>
    <row r="456">
      <c r="A456" s="18" t="inlineStr">
        <is>
          <t>Small:</t>
        </is>
      </c>
    </row>
    <row r="457">
      <c r="A457" s="18" t="inlineStr"/>
    </row>
    <row r="458">
      <c r="A458" s="18" t="inlineStr">
        <is>
          <t>```text</t>
        </is>
      </c>
    </row>
    <row r="459">
      <c r="A459" s="18" t="inlineStr">
        <is>
          <t>S_1 = 1.15 × 0.38 = 0.44 SELL</t>
        </is>
      </c>
    </row>
    <row r="460">
      <c r="A460" s="18" t="inlineStr">
        <is>
          <t>```</t>
        </is>
      </c>
    </row>
    <row r="461">
      <c r="A461" s="18" t="inlineStr"/>
    </row>
    <row r="462">
      <c r="A462" s="18" t="inlineStr">
        <is>
          <t>Цена пошла вниз, в сторону Small.</t>
        </is>
      </c>
    </row>
    <row r="463">
      <c r="A463" s="18" t="inlineStr"/>
    </row>
    <row r="464">
      <c r="A464" s="18" t="inlineStr">
        <is>
          <t>Закрываем Small полностью:</t>
        </is>
      </c>
    </row>
    <row r="465">
      <c r="A465" s="18" t="inlineStr"/>
    </row>
    <row r="466">
      <c r="A466" s="18" t="inlineStr">
        <is>
          <t>```text</t>
        </is>
      </c>
    </row>
    <row r="467">
      <c r="A467" s="18" t="inlineStr">
        <is>
          <t>Small 0.44 SELL закрыт в прибыль</t>
        </is>
      </c>
    </row>
    <row r="468">
      <c r="A468" s="18" t="inlineStr">
        <is>
          <t>```</t>
        </is>
      </c>
    </row>
    <row r="469">
      <c r="A469" s="18" t="inlineStr"/>
    </row>
    <row r="470">
      <c r="A470" s="18" t="inlineStr">
        <is>
          <t>Закрываем 22% Big:</t>
        </is>
      </c>
    </row>
    <row r="471">
      <c r="A471" s="18" t="inlineStr"/>
    </row>
    <row r="472">
      <c r="A472" s="18" t="inlineStr">
        <is>
          <t>```text</t>
        </is>
      </c>
    </row>
    <row r="473">
      <c r="A473" s="18" t="inlineStr">
        <is>
          <t>CloseBig = 1.15 × 0.22 = 0.253 BUY</t>
        </is>
      </c>
    </row>
    <row r="474">
      <c r="A474" s="18" t="inlineStr">
        <is>
          <t>```</t>
        </is>
      </c>
    </row>
    <row r="475">
      <c r="A475" s="18" t="inlineStr"/>
    </row>
    <row r="476">
      <c r="A476" s="18" t="inlineStr">
        <is>
          <t>Остаток Big:</t>
        </is>
      </c>
    </row>
    <row r="477">
      <c r="A477" s="18" t="inlineStr"/>
    </row>
    <row r="478">
      <c r="A478" s="18" t="inlineStr">
        <is>
          <t>```text</t>
        </is>
      </c>
    </row>
    <row r="479">
      <c r="A479" s="18" t="inlineStr">
        <is>
          <t>RemainBig = 1.15 × 0.78 = 0.897 BUY</t>
        </is>
      </c>
    </row>
    <row r="480">
      <c r="A480" s="18" t="inlineStr">
        <is>
          <t>```</t>
        </is>
      </c>
    </row>
    <row r="481">
      <c r="A481" s="18" t="inlineStr"/>
    </row>
    <row r="482">
      <c r="A482" s="18" t="inlineStr">
        <is>
          <t>Новый хвост:</t>
        </is>
      </c>
    </row>
    <row r="483">
      <c r="A483" s="18" t="inlineStr"/>
    </row>
    <row r="484">
      <c r="A484" s="18" t="inlineStr">
        <is>
          <t>```text</t>
        </is>
      </c>
    </row>
    <row r="485">
      <c r="A485" s="18" t="inlineStr">
        <is>
          <t>F_2 = 0.897 BUY</t>
        </is>
      </c>
    </row>
    <row r="486">
      <c r="A486" s="18" t="inlineStr">
        <is>
          <t>```</t>
        </is>
      </c>
    </row>
    <row r="487">
      <c r="A487" s="18" t="inlineStr"/>
    </row>
    <row r="488">
      <c r="A488" s="18" t="inlineStr">
        <is>
          <t>Система перевернулась: раньше хвост был SELL, теперь хвост стал BUY.</t>
        </is>
      </c>
    </row>
    <row r="489">
      <c r="A489" s="18" t="inlineStr"/>
    </row>
    <row r="490">
      <c r="A490" s="18" t="inlineStr">
        <is>
          <t>### 11.3. Таблица самосжатия при серии переворотов</t>
        </is>
      </c>
    </row>
    <row r="491">
      <c r="A491" s="18" t="inlineStr"/>
    </row>
    <row r="492">
      <c r="A492" s="18" t="inlineStr">
        <is>
          <t>| Цикл | Старый хвост | Big = хвост × 1.15 | Закрытие Big 22% | Новый хвост = Big × 0.78 |</t>
        </is>
      </c>
    </row>
    <row r="493">
      <c r="A493" s="18" t="inlineStr">
        <is>
          <t>| ---: | ---: | ---: | ---: | ---: |</t>
        </is>
      </c>
    </row>
    <row r="494">
      <c r="A494" s="18" t="inlineStr">
        <is>
          <t>| 1 | 1.000 | 1.150 | 0.253 | 0.897 |</t>
        </is>
      </c>
    </row>
    <row r="495">
      <c r="A495" s="18" t="inlineStr">
        <is>
          <t>| 2 | 0.897 | 1.032 | 0.227 | 0.805 |</t>
        </is>
      </c>
    </row>
    <row r="496">
      <c r="A496" s="18" t="inlineStr">
        <is>
          <t>| 3 | 0.805 | 0.926 | 0.204 | 0.722 |</t>
        </is>
      </c>
    </row>
    <row r="497">
      <c r="A497" s="18" t="inlineStr">
        <is>
          <t>| 4 | 0.722 | 0.830 | 0.183 | 0.647 |</t>
        </is>
      </c>
    </row>
    <row r="498">
      <c r="A498" s="18" t="inlineStr">
        <is>
          <t>| 5 | 0.647 | 0.744 | 0.164 | 0.580 |</t>
        </is>
      </c>
    </row>
    <row r="499">
      <c r="A499" s="18" t="inlineStr">
        <is>
          <t>| 6 | 0.580 | 0.667 | 0.147 | 0.520 |</t>
        </is>
      </c>
    </row>
    <row r="500">
      <c r="A500" s="18" t="inlineStr">
        <is>
          <t>| 7 | 0.520 | 0.598 | 0.132 | 0.467 |</t>
        </is>
      </c>
    </row>
    <row r="501">
      <c r="A501" s="18" t="inlineStr"/>
    </row>
    <row r="502">
      <c r="A502" s="18" t="inlineStr">
        <is>
          <t>Общая формула после `k` последовательных Small-сценариев:</t>
        </is>
      </c>
    </row>
    <row r="503">
      <c r="A503" s="18" t="inlineStr"/>
    </row>
    <row r="504">
      <c r="A504" s="18" t="inlineStr">
        <is>
          <t>```text</t>
        </is>
      </c>
    </row>
    <row r="505">
      <c r="A505" s="18" t="inlineStr">
        <is>
          <t>F_k = F_0 × 0.897^k</t>
        </is>
      </c>
    </row>
    <row r="506">
      <c r="A506" s="18" t="inlineStr">
        <is>
          <t>```</t>
        </is>
      </c>
    </row>
    <row r="507">
      <c r="A507" s="18" t="inlineStr"/>
    </row>
    <row r="508">
      <c r="A508" s="18" t="inlineStr">
        <is>
          <t>---</t>
        </is>
      </c>
    </row>
    <row r="509">
      <c r="A509" s="18" t="inlineStr"/>
    </row>
    <row r="510">
      <c r="A510" s="18" t="inlineStr">
        <is>
          <t>## 12. Обработка старого хвоста при перевороте</t>
        </is>
      </c>
    </row>
    <row r="511">
      <c r="A511" s="18" t="inlineStr"/>
    </row>
    <row r="512">
      <c r="A512" s="18" t="inlineStr">
        <is>
          <t>В Small-сценарии цена идёт в сторону Small, а Small обычно совпадает по направлению со старым хвостом. Поэтому старый хвост часто уменьшается по плавающему убытку или может выйти в безубыток/прибыль.</t>
        </is>
      </c>
    </row>
    <row r="513">
      <c r="A513" s="18" t="inlineStr"/>
    </row>
    <row r="514">
      <c r="A514" s="18" t="inlineStr">
        <is>
          <t>Перед объявлением остатка Big новым хвостом система должна выполнить проверку старого хвоста:</t>
        </is>
      </c>
    </row>
    <row r="515">
      <c r="A515" s="18" t="inlineStr"/>
    </row>
    <row r="516">
      <c r="A516" s="18" t="inlineStr">
        <is>
          <t>1. Если старый хвост можно закрыть в плюс или в ноль — закрыть полностью.</t>
        </is>
      </c>
    </row>
    <row r="517">
      <c r="A517" s="18" t="inlineStr">
        <is>
          <t>2. Если старый хвост можно закрыть частично за счёт прибыли Small и разрешённой доли резерва — закрыть разрешённую часть.</t>
        </is>
      </c>
    </row>
    <row r="518">
      <c r="A518" s="18" t="inlineStr">
        <is>
          <t>3. Если старый хвост остаётся отрицательным и не может быть безопасно закрыт — система не должна открывать новый полноценный уровень поверх двух дальних хвостов без отдельного аварийного режима.</t>
        </is>
      </c>
    </row>
    <row r="519">
      <c r="A519" s="18" t="inlineStr"/>
    </row>
    <row r="520">
      <c r="A520" s="18" t="inlineStr">
        <is>
          <t>Каноническое правило:</t>
        </is>
      </c>
    </row>
    <row r="521">
      <c r="A521" s="18" t="inlineStr"/>
    </row>
    <row r="522">
      <c r="A522" s="18" t="inlineStr">
        <is>
          <t>&gt; В штатном Small-сценарии после переворота активным дальним хвостом должен остаться только остаток Big. Старый хвост должен быть закрыт, нейтрализован или явно переведён в аварийный режим наблюдения.</t>
        </is>
      </c>
    </row>
    <row r="523">
      <c r="A523" s="18" t="inlineStr"/>
    </row>
    <row r="524">
      <c r="A524" s="18" t="inlineStr">
        <is>
          <t>Это правило защищает систему от скрытого превращения в многослойный лок.</t>
        </is>
      </c>
    </row>
    <row r="525">
      <c r="A525" s="18" t="inlineStr"/>
    </row>
    <row r="526">
      <c r="A526" s="18" t="inlineStr">
        <is>
          <t>---</t>
        </is>
      </c>
    </row>
    <row r="527">
      <c r="A527" s="18" t="inlineStr"/>
    </row>
    <row r="528">
      <c r="A528" s="18" t="inlineStr">
        <is>
          <t>## 13. Резерв</t>
        </is>
      </c>
    </row>
    <row r="529">
      <c r="A529" s="18" t="inlineStr"/>
    </row>
    <row r="530">
      <c r="A530" s="18" t="inlineStr">
        <is>
          <t>### 13.1. Назначение резерва</t>
        </is>
      </c>
    </row>
    <row r="531">
      <c r="A531" s="18" t="inlineStr"/>
    </row>
    <row r="532">
      <c r="A532" s="18" t="inlineStr">
        <is>
          <t>Резерв нужен для:</t>
        </is>
      </c>
    </row>
    <row r="533">
      <c r="A533" s="18" t="inlineStr"/>
    </row>
    <row r="534">
      <c r="A534" s="18" t="inlineStr">
        <is>
          <t>- покрытия комиссии;</t>
        </is>
      </c>
    </row>
    <row r="535">
      <c r="A535" s="18" t="inlineStr">
        <is>
          <t>- покрытия спреда;</t>
        </is>
      </c>
    </row>
    <row r="536">
      <c r="A536" s="18" t="inlineStr">
        <is>
          <t>- покрытия отрицательного проскальзывания;</t>
        </is>
      </c>
    </row>
    <row r="537">
      <c r="A537" s="18" t="inlineStr">
        <is>
          <t>- переживания флэта;</t>
        </is>
      </c>
    </row>
    <row r="538">
      <c r="A538" s="18" t="inlineStr">
        <is>
          <t>- переживания серии быстрых разворотов;</t>
        </is>
      </c>
    </row>
    <row r="539">
      <c r="A539" s="18" t="inlineStr">
        <is>
          <t>- частичного закрытия старых хвостов;</t>
        </is>
      </c>
    </row>
    <row r="540">
      <c r="A540" s="18" t="inlineStr">
        <is>
          <t>- защиты депозита от каскадной маржинальной нагрузки;</t>
        </is>
      </c>
    </row>
    <row r="541">
      <c r="A541" s="18" t="inlineStr">
        <is>
          <t>- отказа от новых входов в опасном режиме.</t>
        </is>
      </c>
    </row>
    <row r="542">
      <c r="A542" s="18" t="inlineStr"/>
    </row>
    <row r="543">
      <c r="A543" s="18" t="inlineStr">
        <is>
          <t>### 13.2. Формула резерва</t>
        </is>
      </c>
    </row>
    <row r="544">
      <c r="A544" s="18" t="inlineStr"/>
    </row>
    <row r="545">
      <c r="A545" s="18" t="inlineStr">
        <is>
          <t>В Big-сценарии:</t>
        </is>
      </c>
    </row>
    <row r="546">
      <c r="A546" s="18" t="inlineStr"/>
    </row>
    <row r="547">
      <c r="A547" s="18" t="inlineStr">
        <is>
          <t>```text</t>
        </is>
      </c>
    </row>
    <row r="548">
      <c r="A548" s="18" t="inlineStr">
        <is>
          <t>Reserve_n = Reserve_{n-1} + NetProfit_n × 0.80</t>
        </is>
      </c>
    </row>
    <row r="549">
      <c r="A549" s="18" t="inlineStr">
        <is>
          <t>```</t>
        </is>
      </c>
    </row>
    <row r="550">
      <c r="A550" s="18" t="inlineStr"/>
    </row>
    <row r="551">
      <c r="A551" s="18" t="inlineStr">
        <is>
          <t>Если в Small-сценарии после закрытия Small и 22% Big остаётся положительный реализованный результат:</t>
        </is>
      </c>
    </row>
    <row r="552">
      <c r="A552" s="18" t="inlineStr"/>
    </row>
    <row r="553">
      <c r="A553" s="18" t="inlineStr">
        <is>
          <t>```text</t>
        </is>
      </c>
    </row>
    <row r="554">
      <c r="A554" s="18" t="inlineStr">
        <is>
          <t>FlipNet = ProfitSmall - LossClosedBig - Costs</t>
        </is>
      </c>
    </row>
    <row r="555">
      <c r="A555" s="18" t="inlineStr">
        <is>
          <t>```</t>
        </is>
      </c>
    </row>
    <row r="556">
      <c r="A556" s="18" t="inlineStr"/>
    </row>
    <row r="557">
      <c r="A557" s="18" t="inlineStr">
        <is>
          <t>Тогда консервативное правило:</t>
        </is>
      </c>
    </row>
    <row r="558">
      <c r="A558" s="18" t="inlineStr"/>
    </row>
    <row r="559">
      <c r="A559" s="18" t="inlineStr">
        <is>
          <t>```text</t>
        </is>
      </c>
    </row>
    <row r="560">
      <c r="A560" s="18" t="inlineStr">
        <is>
          <t>если FlipNet &gt; 0:</t>
        </is>
      </c>
    </row>
    <row r="561">
      <c r="A561" s="18" t="inlineStr">
        <is>
          <t xml:space="preserve">    Reserve_n = Reserve_{n-1} + FlipNet × 0.50</t>
        </is>
      </c>
    </row>
    <row r="562">
      <c r="A562" s="18" t="inlineStr">
        <is>
          <t xml:space="preserve">    оставшиеся 50% можно направить на старый хвост или оставить в свободном балансе</t>
        </is>
      </c>
    </row>
    <row r="563">
      <c r="A563" s="18" t="inlineStr">
        <is>
          <t>если FlipNet &lt;= 0:</t>
        </is>
      </c>
    </row>
    <row r="564">
      <c r="A564" s="18" t="inlineStr">
        <is>
          <t xml:space="preserve">    Reserve_n = Reserve_{n-1}</t>
        </is>
      </c>
    </row>
    <row r="565">
      <c r="A565" s="18" t="inlineStr">
        <is>
          <t xml:space="preserve">    новый цикл разрешён только при достаточной свободной марже</t>
        </is>
      </c>
    </row>
    <row r="566">
      <c r="A566" s="18" t="inlineStr">
        <is>
          <t>```</t>
        </is>
      </c>
    </row>
    <row r="567">
      <c r="A567" s="18" t="inlineStr"/>
    </row>
    <row r="568">
      <c r="A568" s="18" t="inlineStr">
        <is>
          <t>Более жёсткое правило для риск-контроля:</t>
        </is>
      </c>
    </row>
    <row r="569">
      <c r="A569" s="18" t="inlineStr"/>
    </row>
    <row r="570">
      <c r="A570" s="18" t="inlineStr">
        <is>
          <t>```text</t>
        </is>
      </c>
    </row>
    <row r="571">
      <c r="A571" s="18" t="inlineStr">
        <is>
          <t>Reserve_n никогда не уменьшается для открытия новых позиций.</t>
        </is>
      </c>
    </row>
    <row r="572">
      <c r="A572" s="18" t="inlineStr">
        <is>
          <t>Reserve используется только для закрытия риска, комиссий и аварийного выхода.</t>
        </is>
      </c>
    </row>
    <row r="573">
      <c r="A573" s="18" t="inlineStr">
        <is>
          <t>```</t>
        </is>
      </c>
    </row>
    <row r="574">
      <c r="A574" s="18" t="inlineStr"/>
    </row>
    <row r="575">
      <c r="A575" s="18" t="inlineStr">
        <is>
          <t>### 13.3. Минимальный резерв</t>
        </is>
      </c>
    </row>
    <row r="576">
      <c r="A576" s="18" t="inlineStr"/>
    </row>
    <row r="577">
      <c r="A577" s="18" t="inlineStr">
        <is>
          <t>Перед запуском очередного уровня резерв должен покрывать хотя бы:</t>
        </is>
      </c>
    </row>
    <row r="578">
      <c r="A578" s="18" t="inlineStr"/>
    </row>
    <row r="579">
      <c r="A579" s="18" t="inlineStr">
        <is>
          <t>```text</t>
        </is>
      </c>
    </row>
    <row r="580">
      <c r="A580" s="18" t="inlineStr">
        <is>
          <t>MinReserve = ExpectedSpreadCost + ExpectedCommission + EmergencySlippageBuffer</t>
        </is>
      </c>
    </row>
    <row r="581">
      <c r="A581" s="18" t="inlineStr">
        <is>
          <t>```</t>
        </is>
      </c>
    </row>
    <row r="582">
      <c r="A582" s="18" t="inlineStr"/>
    </row>
    <row r="583">
      <c r="A583" s="18" t="inlineStr">
        <is>
          <t>Практическая расширенная формула:</t>
        </is>
      </c>
    </row>
    <row r="584">
      <c r="A584" s="18" t="inlineStr"/>
    </row>
    <row r="585">
      <c r="A585" s="18" t="inlineStr">
        <is>
          <t>```text</t>
        </is>
      </c>
    </row>
    <row r="586">
      <c r="A586" s="18" t="inlineStr">
        <is>
          <t>MinReserve = 3 × AverageCycleCost + 1 × WorstNormalSlippage</t>
        </is>
      </c>
    </row>
    <row r="587">
      <c r="A587" s="18" t="inlineStr">
        <is>
          <t>```</t>
        </is>
      </c>
    </row>
    <row r="588">
      <c r="A588" s="18" t="inlineStr"/>
    </row>
    <row r="589">
      <c r="A589" s="18" t="inlineStr">
        <is>
          <t>Если резерв ниже минимума:</t>
        </is>
      </c>
    </row>
    <row r="590">
      <c r="A590" s="18" t="inlineStr"/>
    </row>
    <row r="591">
      <c r="A591" s="18" t="inlineStr">
        <is>
          <t>- новые уровни не открываются;</t>
        </is>
      </c>
    </row>
    <row r="592">
      <c r="A592" s="18" t="inlineStr">
        <is>
          <t>- разрешено только закрытие риска;</t>
        </is>
      </c>
    </row>
    <row r="593">
      <c r="A593" s="18" t="inlineStr">
        <is>
          <t>- система ждёт более выгодного выхода или ручного решения.</t>
        </is>
      </c>
    </row>
    <row r="594">
      <c r="A594" s="18" t="inlineStr"/>
    </row>
    <row r="595">
      <c r="A595" s="18" t="inlineStr">
        <is>
          <t>---</t>
        </is>
      </c>
    </row>
    <row r="596">
      <c r="A596" s="18" t="inlineStr"/>
    </row>
    <row r="597">
      <c r="A597" s="18" t="inlineStr">
        <is>
          <t>## 14. Маржа и нагрузка</t>
        </is>
      </c>
    </row>
    <row r="598">
      <c r="A598" s="18" t="inlineStr"/>
    </row>
    <row r="599">
      <c r="A599" s="18" t="inlineStr">
        <is>
          <t>Формула маржи:</t>
        </is>
      </c>
    </row>
    <row r="600">
      <c r="A600" s="18" t="inlineStr"/>
    </row>
    <row r="601">
      <c r="A601" s="18" t="inlineStr">
        <is>
          <t>```text</t>
        </is>
      </c>
    </row>
    <row r="602">
      <c r="A602" s="18" t="inlineStr">
        <is>
          <t>Margin = TotalLots × MarginPerLot</t>
        </is>
      </c>
    </row>
    <row r="603">
      <c r="A603" s="18" t="inlineStr">
        <is>
          <t>```</t>
        </is>
      </c>
    </row>
    <row r="604">
      <c r="A604" s="18" t="inlineStr"/>
    </row>
    <row r="605">
      <c r="A605" s="18" t="inlineStr">
        <is>
          <t>Где:</t>
        </is>
      </c>
    </row>
    <row r="606">
      <c r="A606" s="18" t="inlineStr"/>
    </row>
    <row r="607">
      <c r="A607" s="18" t="inlineStr">
        <is>
          <t>```text</t>
        </is>
      </c>
    </row>
    <row r="608">
      <c r="A608" s="18" t="inlineStr">
        <is>
          <t>TotalLots = FarLots + BigLots + SmallLots</t>
        </is>
      </c>
    </row>
    <row r="609">
      <c r="A609" s="18" t="inlineStr">
        <is>
          <t>```</t>
        </is>
      </c>
    </row>
    <row r="610">
      <c r="A610" s="18" t="inlineStr"/>
    </row>
    <row r="611">
      <c r="A611" s="18" t="inlineStr">
        <is>
          <t>Для первого уровня:</t>
        </is>
      </c>
    </row>
    <row r="612">
      <c r="A612" s="18" t="inlineStr"/>
    </row>
    <row r="613">
      <c r="A613" s="18" t="inlineStr">
        <is>
          <t>```text</t>
        </is>
      </c>
    </row>
    <row r="614">
      <c r="A614" s="18" t="inlineStr">
        <is>
          <t>TotalLots = 1.00 + 1.15 + 0.44 = 2.59</t>
        </is>
      </c>
    </row>
    <row r="615">
      <c r="A615" s="18" t="inlineStr">
        <is>
          <t>```</t>
        </is>
      </c>
    </row>
    <row r="616">
      <c r="A616" s="18" t="inlineStr"/>
    </row>
    <row r="617">
      <c r="A617" s="18" t="inlineStr">
        <is>
          <t>При условной марже `1000` на 1 лот:</t>
        </is>
      </c>
    </row>
    <row r="618">
      <c r="A618" s="18" t="inlineStr"/>
    </row>
    <row r="619">
      <c r="A619" s="18" t="inlineStr">
        <is>
          <t>```text</t>
        </is>
      </c>
    </row>
    <row r="620">
      <c r="A620" s="18" t="inlineStr">
        <is>
          <t>Margin = 2.59 × 1000 = 2590</t>
        </is>
      </c>
    </row>
    <row r="621">
      <c r="A621" s="18" t="inlineStr">
        <is>
          <t>```</t>
        </is>
      </c>
    </row>
    <row r="622">
      <c r="A622" s="18" t="inlineStr"/>
    </row>
    <row r="623">
      <c r="A623" s="18" t="inlineStr">
        <is>
          <t>После успешного сжатия хвоста маржа следующего уровня падает, потому что Big и Small считаются от меньшего `F_n`.</t>
        </is>
      </c>
    </row>
    <row r="624">
      <c r="A624" s="18" t="inlineStr"/>
    </row>
    <row r="625">
      <c r="A625" s="18" t="inlineStr">
        <is>
          <t>Пример при Big-сценариях:</t>
        </is>
      </c>
    </row>
    <row r="626">
      <c r="A626" s="18" t="inlineStr"/>
    </row>
    <row r="627">
      <c r="A627" s="18" t="inlineStr">
        <is>
          <t>| Цикл | Хвост | Big 115% | Small 38% от Big | TotalLots |</t>
        </is>
      </c>
    </row>
    <row r="628">
      <c r="A628" s="18" t="inlineStr">
        <is>
          <t>| ---: | ---: | ---: | ---: | ---: |</t>
        </is>
      </c>
    </row>
    <row r="629">
      <c r="A629" s="18" t="inlineStr">
        <is>
          <t>| 1 | 1.000 | 1.150 | 0.437 | 2.587 |</t>
        </is>
      </c>
    </row>
    <row r="630">
      <c r="A630" s="18" t="inlineStr">
        <is>
          <t>| 2 | 0.800 | 0.920 | 0.350 | 2.070 |</t>
        </is>
      </c>
    </row>
    <row r="631">
      <c r="A631" s="18" t="inlineStr">
        <is>
          <t>| 3 | 0.640 | 0.736 | 0.280 | 1.656 |</t>
        </is>
      </c>
    </row>
    <row r="632">
      <c r="A632" s="18" t="inlineStr">
        <is>
          <t>| 4 | 0.512 | 0.589 | 0.224 | 1.325 |</t>
        </is>
      </c>
    </row>
    <row r="633">
      <c r="A633" s="18" t="inlineStr">
        <is>
          <t>| 5 | 0.410 | 0.471 | 0.179 | 1.060 |</t>
        </is>
      </c>
    </row>
    <row r="634">
      <c r="A634" s="18" t="inlineStr"/>
    </row>
    <row r="635">
      <c r="A635" s="18" t="inlineStr">
        <is>
          <t>Именно это является практическим самосжатием: каждый следующий уровень легче предыдущего.</t>
        </is>
      </c>
    </row>
    <row r="636">
      <c r="A636" s="18" t="inlineStr"/>
    </row>
    <row r="637">
      <c r="A637" s="18" t="inlineStr">
        <is>
          <t>---</t>
        </is>
      </c>
    </row>
    <row r="638">
      <c r="A638" s="18" t="inlineStr"/>
    </row>
    <row r="639">
      <c r="A639" s="18" t="inlineStr">
        <is>
          <t>## 15. Триггеры входа и выхода</t>
        </is>
      </c>
    </row>
    <row r="640">
      <c r="A640" s="18" t="inlineStr"/>
    </row>
    <row r="641">
      <c r="A641" s="18" t="inlineStr">
        <is>
          <t>### 15.1. Что должно быть определено заранее</t>
        </is>
      </c>
    </row>
    <row r="642">
      <c r="A642" s="18" t="inlineStr"/>
    </row>
    <row r="643">
      <c r="A643" s="18" t="inlineStr">
        <is>
          <t>Система не может работать только на формулах лотов. До запуска нужно определить:</t>
        </is>
      </c>
    </row>
    <row r="644">
      <c r="A644" s="18" t="inlineStr"/>
    </row>
    <row r="645">
      <c r="A645" s="18" t="inlineStr">
        <is>
          <t>- инструмент;</t>
        </is>
      </c>
    </row>
    <row r="646">
      <c r="A646" s="18" t="inlineStr">
        <is>
          <t>- минимальный шаг лота;</t>
        </is>
      </c>
    </row>
    <row r="647">
      <c r="A647" s="18" t="inlineStr">
        <is>
          <t>- стоимость пункта;</t>
        </is>
      </c>
    </row>
    <row r="648">
      <c r="A648" s="18" t="inlineStr">
        <is>
          <t>- средний спред;</t>
        </is>
      </c>
    </row>
    <row r="649">
      <c r="A649" s="18" t="inlineStr">
        <is>
          <t>- комиссию;</t>
        </is>
      </c>
    </row>
    <row r="650">
      <c r="A650" s="18" t="inlineStr">
        <is>
          <t>- допустимое проскальзывание;</t>
        </is>
      </c>
    </row>
    <row r="651">
      <c r="A651" s="18" t="inlineStr">
        <is>
          <t>- расстояние до Big-цели;</t>
        </is>
      </c>
    </row>
    <row r="652">
      <c r="A652" s="18" t="inlineStr">
        <is>
          <t>- расстояние до Small-цели;</t>
        </is>
      </c>
    </row>
    <row r="653">
      <c r="A653" s="18" t="inlineStr">
        <is>
          <t>- максимальную маржу;</t>
        </is>
      </c>
    </row>
    <row r="654">
      <c r="A654" s="18" t="inlineStr">
        <is>
          <t>- максимальную просадку;</t>
        </is>
      </c>
    </row>
    <row r="655">
      <c r="A655" s="18" t="inlineStr">
        <is>
          <t>- правила отключения.</t>
        </is>
      </c>
    </row>
    <row r="656">
      <c r="A656" s="18" t="inlineStr"/>
    </row>
    <row r="657">
      <c r="A657" s="18" t="inlineStr">
        <is>
          <t>### 15.2. Big-цель</t>
        </is>
      </c>
    </row>
    <row r="658">
      <c r="A658" s="18" t="inlineStr"/>
    </row>
    <row r="659">
      <c r="A659" s="18" t="inlineStr">
        <is>
          <t>Big-сценарий считается выполненным, когда прибыль Big достаточна, чтобы:</t>
        </is>
      </c>
    </row>
    <row r="660">
      <c r="A660" s="18" t="inlineStr"/>
    </row>
    <row r="661">
      <c r="A661" s="18" t="inlineStr">
        <is>
          <t>```text</t>
        </is>
      </c>
    </row>
    <row r="662">
      <c r="A662" s="18" t="inlineStr">
        <is>
          <t>ProfitBig &gt;= LossSmall + Costs + RequiredCloseFarMoney + RequiredReserveAdd</t>
        </is>
      </c>
    </row>
    <row r="663">
      <c r="A663" s="18" t="inlineStr">
        <is>
          <t>```</t>
        </is>
      </c>
    </row>
    <row r="664">
      <c r="A664" s="18" t="inlineStr"/>
    </row>
    <row r="665">
      <c r="A665" s="18" t="inlineStr">
        <is>
          <t>В упрощённом виде:</t>
        </is>
      </c>
    </row>
    <row r="666">
      <c r="A666" s="18" t="inlineStr"/>
    </row>
    <row r="667">
      <c r="A667" s="18" t="inlineStr">
        <is>
          <t>```text</t>
        </is>
      </c>
    </row>
    <row r="668">
      <c r="A668" s="18" t="inlineStr">
        <is>
          <t>ProfitBig - LossSmall - Costs &gt; 0</t>
        </is>
      </c>
    </row>
    <row r="669">
      <c r="A669" s="18" t="inlineStr">
        <is>
          <t>```</t>
        </is>
      </c>
    </row>
    <row r="670">
      <c r="A670" s="18" t="inlineStr"/>
    </row>
    <row r="671">
      <c r="A671" s="18" t="inlineStr">
        <is>
          <t>Но для качественного цикла этого мало. Хороший Big-выход должен давать:</t>
        </is>
      </c>
    </row>
    <row r="672">
      <c r="A672" s="18" t="inlineStr"/>
    </row>
    <row r="673">
      <c r="A673" s="18" t="inlineStr">
        <is>
          <t>- положительный NetProfit;</t>
        </is>
      </c>
    </row>
    <row r="674">
      <c r="A674" s="18" t="inlineStr">
        <is>
          <t>- закрытие запланированной доли хвоста;</t>
        </is>
      </c>
    </row>
    <row r="675">
      <c r="A675" s="18" t="inlineStr">
        <is>
          <t>- пополнение резерва;</t>
        </is>
      </c>
    </row>
    <row r="676">
      <c r="A676" s="18" t="inlineStr">
        <is>
          <t>- отсутствие незакрытого Small.</t>
        </is>
      </c>
    </row>
    <row r="677">
      <c r="A677" s="18" t="inlineStr"/>
    </row>
    <row r="678">
      <c r="A678" s="18" t="inlineStr">
        <is>
          <t>### 15.3. Small-цель</t>
        </is>
      </c>
    </row>
    <row r="679">
      <c r="A679" s="18" t="inlineStr"/>
    </row>
    <row r="680">
      <c r="A680" s="18" t="inlineStr">
        <is>
          <t>Small-сценарий считается выполненным, когда:</t>
        </is>
      </c>
    </row>
    <row r="681">
      <c r="A681" s="18" t="inlineStr"/>
    </row>
    <row r="682">
      <c r="A682" s="18" t="inlineStr">
        <is>
          <t>```text</t>
        </is>
      </c>
    </row>
    <row r="683">
      <c r="A683" s="18" t="inlineStr">
        <is>
          <t>ProfitSmall &gt;= LossClosedBig + Costs</t>
        </is>
      </c>
    </row>
    <row r="684">
      <c r="A684" s="18" t="inlineStr">
        <is>
          <t>```</t>
        </is>
      </c>
    </row>
    <row r="685">
      <c r="A685" s="18" t="inlineStr"/>
    </row>
    <row r="686">
      <c r="A686" s="18" t="inlineStr">
        <is>
          <t>или когда риск дальнейшего удержания Big становится выше, чем цена немедленного переворота.</t>
        </is>
      </c>
    </row>
    <row r="687">
      <c r="A687" s="18" t="inlineStr"/>
    </row>
    <row r="688">
      <c r="A688" s="18" t="inlineStr">
        <is>
          <t>Минимальное действие при Small-сценарии:</t>
        </is>
      </c>
    </row>
    <row r="689">
      <c r="A689" s="18" t="inlineStr"/>
    </row>
    <row r="690">
      <c r="A690" s="18" t="inlineStr">
        <is>
          <t>```text</t>
        </is>
      </c>
    </row>
    <row r="691">
      <c r="A691" s="18" t="inlineStr">
        <is>
          <t>закрыть Small 100%</t>
        </is>
      </c>
    </row>
    <row r="692">
      <c r="A692" s="18" t="inlineStr">
        <is>
          <t>закрыть Big 22%</t>
        </is>
      </c>
    </row>
    <row r="693">
      <c r="A693" s="18" t="inlineStr">
        <is>
          <t>пересчитать новый хвост</t>
        </is>
      </c>
    </row>
    <row r="694">
      <c r="A694" s="18" t="inlineStr">
        <is>
          <t>```</t>
        </is>
      </c>
    </row>
    <row r="695">
      <c r="A695" s="18" t="inlineStr"/>
    </row>
    <row r="696">
      <c r="A696" s="18" t="inlineStr">
        <is>
          <t>---</t>
        </is>
      </c>
    </row>
    <row r="697">
      <c r="A697" s="18" t="inlineStr"/>
    </row>
    <row r="698">
      <c r="A698" s="18" t="inlineStr">
        <is>
          <t>## 16. Пошаговый алгоритм цикла</t>
        </is>
      </c>
    </row>
    <row r="699">
      <c r="A699" s="18" t="inlineStr"/>
    </row>
    <row r="700">
      <c r="A700" s="18" t="inlineStr">
        <is>
          <t>### 16.1. Инициализация</t>
        </is>
      </c>
    </row>
    <row r="701">
      <c r="A701" s="18" t="inlineStr"/>
    </row>
    <row r="702">
      <c r="A702" s="18" t="inlineStr">
        <is>
          <t>1. Найти текущий дальний хвост `F_n`.</t>
        </is>
      </c>
    </row>
    <row r="703">
      <c r="A703" s="18" t="inlineStr">
        <is>
          <t>2. Проверить, что открытие нового уровня не нарушит лимит маржи.</t>
        </is>
      </c>
    </row>
    <row r="704">
      <c r="A704" s="18" t="inlineStr">
        <is>
          <t>3. Проверить, что резерв не ниже минимального.</t>
        </is>
      </c>
    </row>
    <row r="705">
      <c r="A705" s="18" t="inlineStr">
        <is>
          <t>4. Рассчитать Big:</t>
        </is>
      </c>
    </row>
    <row r="706">
      <c r="A706" s="18" t="inlineStr"/>
    </row>
    <row r="707">
      <c r="A707" s="18" t="inlineStr">
        <is>
          <t>```text</t>
        </is>
      </c>
    </row>
    <row r="708">
      <c r="A708" s="18" t="inlineStr">
        <is>
          <t>B_n = F_n × 1.15</t>
        </is>
      </c>
    </row>
    <row r="709">
      <c r="A709" s="18" t="inlineStr">
        <is>
          <t>```</t>
        </is>
      </c>
    </row>
    <row r="710">
      <c r="A710" s="18" t="inlineStr"/>
    </row>
    <row r="711">
      <c r="A711" s="18" t="inlineStr">
        <is>
          <t>5. Рассчитать Small:</t>
        </is>
      </c>
    </row>
    <row r="712">
      <c r="A712" s="18" t="inlineStr"/>
    </row>
    <row r="713">
      <c r="A713" s="18" t="inlineStr">
        <is>
          <t>```text</t>
        </is>
      </c>
    </row>
    <row r="714">
      <c r="A714" s="18" t="inlineStr">
        <is>
          <t>S_n = B_n × 0.38</t>
        </is>
      </c>
    </row>
    <row r="715">
      <c r="A715" s="18" t="inlineStr">
        <is>
          <t>```</t>
        </is>
      </c>
    </row>
    <row r="716">
      <c r="A716" s="18" t="inlineStr"/>
    </row>
    <row r="717">
      <c r="A717" s="18" t="inlineStr">
        <is>
          <t>6. Округлить лоты по правилам брокера.</t>
        </is>
      </c>
    </row>
    <row r="718">
      <c r="A718" s="18" t="inlineStr">
        <is>
          <t>7. Открыть Big по рабочему направлению.</t>
        </is>
      </c>
    </row>
    <row r="719">
      <c r="A719" s="18" t="inlineStr">
        <is>
          <t>8. Открыть Small в противоположном направлении.</t>
        </is>
      </c>
    </row>
    <row r="720">
      <c r="A720" s="18" t="inlineStr"/>
    </row>
    <row r="721">
      <c r="A721" s="18" t="inlineStr">
        <is>
          <t>### 16.2. Мониторинг</t>
        </is>
      </c>
    </row>
    <row r="722">
      <c r="A722" s="18" t="inlineStr"/>
    </row>
    <row r="723">
      <c r="A723" s="18" t="inlineStr">
        <is>
          <t>На каждом тике или баре система проверяет:</t>
        </is>
      </c>
    </row>
    <row r="724">
      <c r="A724" s="18" t="inlineStr"/>
    </row>
    <row r="725">
      <c r="A725" s="18" t="inlineStr">
        <is>
          <t>- текущую прибыль Big;</t>
        </is>
      </c>
    </row>
    <row r="726">
      <c r="A726" s="18" t="inlineStr">
        <is>
          <t>- текущую прибыль Small;</t>
        </is>
      </c>
    </row>
    <row r="727">
      <c r="A727" s="18" t="inlineStr">
        <is>
          <t>- плавающий результат хвоста;</t>
        </is>
      </c>
    </row>
    <row r="728">
      <c r="A728" s="18" t="inlineStr">
        <is>
          <t>- свободную маржу;</t>
        </is>
      </c>
    </row>
    <row r="729">
      <c r="A729" s="18" t="inlineStr">
        <is>
          <t>- фактический спред;</t>
        </is>
      </c>
    </row>
    <row r="730">
      <c r="A730" s="18" t="inlineStr">
        <is>
          <t>- проскальзывание;</t>
        </is>
      </c>
    </row>
    <row r="731">
      <c r="A731" s="18" t="inlineStr">
        <is>
          <t>- лимиты риска;</t>
        </is>
      </c>
    </row>
    <row r="732">
      <c r="A732" s="18" t="inlineStr">
        <is>
          <t>- наступление Big-сценария;</t>
        </is>
      </c>
    </row>
    <row r="733">
      <c r="A733" s="18" t="inlineStr">
        <is>
          <t>- наступление Small-сценария.</t>
        </is>
      </c>
    </row>
    <row r="734">
      <c r="A734" s="18" t="inlineStr"/>
    </row>
    <row r="735">
      <c r="A735" s="18" t="inlineStr">
        <is>
          <t>### 16.3. Завершение по Big-сценарию</t>
        </is>
      </c>
    </row>
    <row r="736">
      <c r="A736" s="18" t="inlineStr"/>
    </row>
    <row r="737">
      <c r="A737" s="18" t="inlineStr">
        <is>
          <t>1. Закрыть Big полностью.</t>
        </is>
      </c>
    </row>
    <row r="738">
      <c r="A738" s="18" t="inlineStr">
        <is>
          <t>2. Закрыть Small полностью.</t>
        </is>
      </c>
    </row>
    <row r="739">
      <c r="A739" s="18" t="inlineStr">
        <is>
          <t>3. Посчитать NetProfit.</t>
        </is>
      </c>
    </row>
    <row r="740">
      <c r="A740" s="18" t="inlineStr">
        <is>
          <t>4. Если NetProfit &lt;= 0, запретить распределение прибыли и перейти в диагностику.</t>
        </is>
      </c>
    </row>
    <row r="741">
      <c r="A741" s="18" t="inlineStr">
        <is>
          <t>5. Направить 20% NetProfit на хвост или закрыть 20% лотов хвоста при достаточности прибыли.</t>
        </is>
      </c>
    </row>
    <row r="742">
      <c r="A742" s="18" t="inlineStr">
        <is>
          <t>6. Направить 80% NetProfit в Reserve.</t>
        </is>
      </c>
    </row>
    <row r="743">
      <c r="A743" s="18" t="inlineStr">
        <is>
          <t>7. Пересчитать `F_{n+1}`.</t>
        </is>
      </c>
    </row>
    <row r="744">
      <c r="A744" s="18" t="inlineStr">
        <is>
          <t>8. Если хвост ниже минимального лота — закрыть остаток по правилам финализации.</t>
        </is>
      </c>
    </row>
    <row r="745">
      <c r="A745" s="18" t="inlineStr">
        <is>
          <t>9. Если хвост ещё существует — открыть следующий уровень меньшего размера.</t>
        </is>
      </c>
    </row>
    <row r="746">
      <c r="A746" s="18" t="inlineStr"/>
    </row>
    <row r="747">
      <c r="A747" s="18" t="inlineStr">
        <is>
          <t>### 16.4. Завершение по Small-сценарию</t>
        </is>
      </c>
    </row>
    <row r="748">
      <c r="A748" s="18" t="inlineStr"/>
    </row>
    <row r="749">
      <c r="A749" s="18" t="inlineStr">
        <is>
          <t>1. Закрыть Small полностью.</t>
        </is>
      </c>
    </row>
    <row r="750">
      <c r="A750" s="18" t="inlineStr">
        <is>
          <t>2. Закрыть 22% Big.</t>
        </is>
      </c>
    </row>
    <row r="751">
      <c r="A751" s="18" t="inlineStr">
        <is>
          <t>3. Посчитать результат переворота:</t>
        </is>
      </c>
    </row>
    <row r="752">
      <c r="A752" s="18" t="inlineStr"/>
    </row>
    <row r="753">
      <c r="A753" s="18" t="inlineStr">
        <is>
          <t>```text</t>
        </is>
      </c>
    </row>
    <row r="754">
      <c r="A754" s="18" t="inlineStr">
        <is>
          <t>FlipNet = ProfitSmall - LossClosedBig - Costs</t>
        </is>
      </c>
    </row>
    <row r="755">
      <c r="A755" s="18" t="inlineStr">
        <is>
          <t>```</t>
        </is>
      </c>
    </row>
    <row r="756">
      <c r="A756" s="18" t="inlineStr"/>
    </row>
    <row r="757">
      <c r="A757" s="18" t="inlineStr">
        <is>
          <t>4. Обработать старый хвост: закрыть, нейтрализовать или перевести в аварийный режим.</t>
        </is>
      </c>
    </row>
    <row r="758">
      <c r="A758" s="18" t="inlineStr">
        <is>
          <t>5. Остаток Big объявить новым хвостом:</t>
        </is>
      </c>
    </row>
    <row r="759">
      <c r="A759" s="18" t="inlineStr"/>
    </row>
    <row r="760">
      <c r="A760" s="18" t="inlineStr">
        <is>
          <t>```text</t>
        </is>
      </c>
    </row>
    <row r="761">
      <c r="A761" s="18" t="inlineStr">
        <is>
          <t>F_{n+1} = Big × 0.78</t>
        </is>
      </c>
    </row>
    <row r="762">
      <c r="A762" s="18" t="inlineStr">
        <is>
          <t>```</t>
        </is>
      </c>
    </row>
    <row r="763">
      <c r="A763" s="18" t="inlineStr"/>
    </row>
    <row r="764">
      <c r="A764" s="18" t="inlineStr">
        <is>
          <t>6. Перевернуть направление системы.</t>
        </is>
      </c>
    </row>
    <row r="765">
      <c r="A765" s="18" t="inlineStr">
        <is>
          <t>7. Проверить маржу и резерв.</t>
        </is>
      </c>
    </row>
    <row r="766">
      <c r="A766" s="18" t="inlineStr">
        <is>
          <t>8. Если лимиты в норме — построить следующий уровень от нового хвоста.</t>
        </is>
      </c>
    </row>
    <row r="767">
      <c r="A767" s="18" t="inlineStr"/>
    </row>
    <row r="768">
      <c r="A768" s="18" t="inlineStr">
        <is>
          <t>---</t>
        </is>
      </c>
    </row>
    <row r="769">
      <c r="A769" s="18" t="inlineStr"/>
    </row>
    <row r="770">
      <c r="A770" s="18" t="inlineStr">
        <is>
          <t>## 17. Псевдокод</t>
        </is>
      </c>
    </row>
    <row r="771">
      <c r="A771" s="18" t="inlineStr"/>
    </row>
    <row r="772">
      <c r="A772" s="18" t="inlineStr">
        <is>
          <t>```text</t>
        </is>
      </c>
    </row>
    <row r="773">
      <c r="A773" s="18" t="inlineStr">
        <is>
          <t>parameters:</t>
        </is>
      </c>
    </row>
    <row r="774">
      <c r="A774" s="18" t="inlineStr">
        <is>
          <t xml:space="preserve">    BigRatio        = 1.15</t>
        </is>
      </c>
    </row>
    <row r="775">
      <c r="A775" s="18" t="inlineStr">
        <is>
          <t xml:space="preserve">    SmallRatio      = 0.38</t>
        </is>
      </c>
    </row>
    <row r="776">
      <c r="A776" s="18" t="inlineStr">
        <is>
          <t xml:space="preserve">    FarCloseShare   = 0.20</t>
        </is>
      </c>
    </row>
    <row r="777">
      <c r="A777" s="18" t="inlineStr">
        <is>
          <t xml:space="preserve">    ReserveShare    = 0.80</t>
        </is>
      </c>
    </row>
    <row r="778">
      <c r="A778" s="18" t="inlineStr">
        <is>
          <t xml:space="preserve">    BigCloseOnFlip  = 0.22</t>
        </is>
      </c>
    </row>
    <row r="779">
      <c r="A779" s="18" t="inlineStr">
        <is>
          <t xml:space="preserve">    MaxBigRatio     = 1.20</t>
        </is>
      </c>
    </row>
    <row r="780">
      <c r="A780" s="18" t="inlineStr">
        <is>
          <t xml:space="preserve">    MaxSmallRatio   = 0.45</t>
        </is>
      </c>
    </row>
    <row r="781">
      <c r="A781" s="18" t="inlineStr"/>
    </row>
    <row r="782">
      <c r="A782" s="18" t="inlineStr">
        <is>
          <t>state:</t>
        </is>
      </c>
    </row>
    <row r="783">
      <c r="A783" s="18" t="inlineStr">
        <is>
          <t xml:space="preserve">    FarLots</t>
        </is>
      </c>
    </row>
    <row r="784">
      <c r="A784" s="18" t="inlineStr">
        <is>
          <t xml:space="preserve">    FarDirection</t>
        </is>
      </c>
    </row>
    <row r="785">
      <c r="A785" s="18" t="inlineStr">
        <is>
          <t xml:space="preserve">    Reserve</t>
        </is>
      </c>
    </row>
    <row r="786">
      <c r="A786" s="18" t="inlineStr">
        <is>
          <t xml:space="preserve">    CycleNumber</t>
        </is>
      </c>
    </row>
    <row r="787">
      <c r="A787" s="18" t="inlineStr"/>
    </row>
    <row r="788">
      <c r="A788" s="18" t="inlineStr">
        <is>
          <t>start_cycle:</t>
        </is>
      </c>
    </row>
    <row r="789">
      <c r="A789" s="18" t="inlineStr">
        <is>
          <t xml:space="preserve">    assert FarLots &gt; 0</t>
        </is>
      </c>
    </row>
    <row r="790">
      <c r="A790" s="18" t="inlineStr">
        <is>
          <t xml:space="preserve">    assert Reserve &gt;= MinReserve</t>
        </is>
      </c>
    </row>
    <row r="791">
      <c r="A791" s="18" t="inlineStr">
        <is>
          <t xml:space="preserve">    assert margin_after_new_level &lt;= MaxAllowedMargin</t>
        </is>
      </c>
    </row>
    <row r="792">
      <c r="A792" s="18" t="inlineStr"/>
    </row>
    <row r="793">
      <c r="A793" s="18" t="inlineStr">
        <is>
          <t xml:space="preserve">    BigLots   = round_lot(FarLots * BigRatio)</t>
        </is>
      </c>
    </row>
    <row r="794">
      <c r="A794" s="18" t="inlineStr">
        <is>
          <t xml:space="preserve">    SmallLots = round_lot(BigLots * SmallRatio)</t>
        </is>
      </c>
    </row>
    <row r="795">
      <c r="A795" s="18" t="inlineStr"/>
    </row>
    <row r="796">
      <c r="A796" s="18" t="inlineStr">
        <is>
          <t xml:space="preserve">    BigDirection   = opposite(FarDirection)</t>
        </is>
      </c>
    </row>
    <row r="797">
      <c r="A797" s="18" t="inlineStr">
        <is>
          <t xml:space="preserve">    SmallDirection = FarDirection</t>
        </is>
      </c>
    </row>
    <row r="798">
      <c r="A798" s="18" t="inlineStr"/>
    </row>
    <row r="799">
      <c r="A799" s="18" t="inlineStr">
        <is>
          <t xml:space="preserve">    open(BigDirection, BigLots)</t>
        </is>
      </c>
    </row>
    <row r="800">
      <c r="A800" s="18" t="inlineStr">
        <is>
          <t xml:space="preserve">    open(SmallDirection, SmallLots)</t>
        </is>
      </c>
    </row>
    <row r="801">
      <c r="A801" s="18" t="inlineStr"/>
    </row>
    <row r="802">
      <c r="A802" s="18" t="inlineStr">
        <is>
          <t>monitor:</t>
        </is>
      </c>
    </row>
    <row r="803">
      <c r="A803" s="18" t="inlineStr">
        <is>
          <t xml:space="preserve">    while level_is_open:</t>
        </is>
      </c>
    </row>
    <row r="804">
      <c r="A804" s="18" t="inlineStr">
        <is>
          <t xml:space="preserve">        update_pnl()</t>
        </is>
      </c>
    </row>
    <row r="805">
      <c r="A805" s="18" t="inlineStr">
        <is>
          <t xml:space="preserve">        update_margin()</t>
        </is>
      </c>
    </row>
    <row r="806">
      <c r="A806" s="18" t="inlineStr">
        <is>
          <t xml:space="preserve">        update_spread()</t>
        </is>
      </c>
    </row>
    <row r="807">
      <c r="A807" s="18" t="inlineStr"/>
    </row>
    <row r="808">
      <c r="A808" s="18" t="inlineStr">
        <is>
          <t xml:space="preserve">        if hard_risk_limit_hit:</t>
        </is>
      </c>
    </row>
    <row r="809">
      <c r="A809" s="18" t="inlineStr">
        <is>
          <t xml:space="preserve">            go_to_emergency_mode()</t>
        </is>
      </c>
    </row>
    <row r="810">
      <c r="A810" s="18" t="inlineStr">
        <is>
          <t xml:space="preserve">            break</t>
        </is>
      </c>
    </row>
    <row r="811">
      <c r="A811" s="18" t="inlineStr"/>
    </row>
    <row r="812">
      <c r="A812" s="18" t="inlineStr">
        <is>
          <t xml:space="preserve">        if big_target_hit:</t>
        </is>
      </c>
    </row>
    <row r="813">
      <c r="A813" s="18" t="inlineStr">
        <is>
          <t xml:space="preserve">            close(Big, 100%)</t>
        </is>
      </c>
    </row>
    <row r="814">
      <c r="A814" s="18" t="inlineStr">
        <is>
          <t xml:space="preserve">            close(Small, 100%)</t>
        </is>
      </c>
    </row>
    <row r="815">
      <c r="A815" s="18" t="inlineStr">
        <is>
          <t xml:space="preserve">            NetProfit = ProfitBig - LossSmall - Costs</t>
        </is>
      </c>
    </row>
    <row r="816">
      <c r="A816" s="18" t="inlineStr"/>
    </row>
    <row r="817">
      <c r="A817" s="18" t="inlineStr">
        <is>
          <t xml:space="preserve">            if NetProfit &gt; 0:</t>
        </is>
      </c>
    </row>
    <row r="818">
      <c r="A818" s="18" t="inlineStr">
        <is>
          <t xml:space="preserve">                CloseFarMoney = NetProfit * FarCloseShare</t>
        </is>
      </c>
    </row>
    <row r="819">
      <c r="A819" s="18" t="inlineStr">
        <is>
          <t xml:space="preserve">                Reserve += NetProfit * ReserveShare</t>
        </is>
      </c>
    </row>
    <row r="820">
      <c r="A820" s="18" t="inlineStr">
        <is>
          <t xml:space="preserve">                close_far_by_money_or_target_lots(CloseFarMoney)</t>
        </is>
      </c>
    </row>
    <row r="821">
      <c r="A821" s="18" t="inlineStr">
        <is>
          <t xml:space="preserve">            else:</t>
        </is>
      </c>
    </row>
    <row r="822">
      <c r="A822" s="18" t="inlineStr">
        <is>
          <t xml:space="preserve">                block_new_cycle_and_diagnose()</t>
        </is>
      </c>
    </row>
    <row r="823">
      <c r="A823" s="18" t="inlineStr"/>
    </row>
    <row r="824">
      <c r="A824" s="18" t="inlineStr">
        <is>
          <t xml:space="preserve">            recalc_far()</t>
        </is>
      </c>
    </row>
    <row r="825">
      <c r="A825" s="18" t="inlineStr">
        <is>
          <t xml:space="preserve">            break</t>
        </is>
      </c>
    </row>
    <row r="826">
      <c r="A826" s="18" t="inlineStr"/>
    </row>
    <row r="827">
      <c r="A827" s="18" t="inlineStr">
        <is>
          <t xml:space="preserve">        if small_target_hit:</t>
        </is>
      </c>
    </row>
    <row r="828">
      <c r="A828" s="18" t="inlineStr">
        <is>
          <t xml:space="preserve">            close(Small, 100%)</t>
        </is>
      </c>
    </row>
    <row r="829">
      <c r="A829" s="18" t="inlineStr">
        <is>
          <t xml:space="preserve">            close(Big, BigCloseOnFlip)</t>
        </is>
      </c>
    </row>
    <row r="830">
      <c r="A830" s="18" t="inlineStr">
        <is>
          <t xml:space="preserve">            FlipNet = ProfitSmall - LossClosedBig - Costs</t>
        </is>
      </c>
    </row>
    <row r="831">
      <c r="A831" s="18" t="inlineStr"/>
    </row>
    <row r="832">
      <c r="A832" s="18" t="inlineStr">
        <is>
          <t xml:space="preserve">            if FlipNet &gt; 0:</t>
        </is>
      </c>
    </row>
    <row r="833">
      <c r="A833" s="18" t="inlineStr">
        <is>
          <t xml:space="preserve">                Reserve += FlipNet * 0.50</t>
        </is>
      </c>
    </row>
    <row r="834">
      <c r="A834" s="18" t="inlineStr"/>
    </row>
    <row r="835">
      <c r="A835" s="18" t="inlineStr">
        <is>
          <t xml:space="preserve">            process_old_far()</t>
        </is>
      </c>
    </row>
    <row r="836">
      <c r="A836" s="18" t="inlineStr">
        <is>
          <t xml:space="preserve">            FarLots = remaining(Big)</t>
        </is>
      </c>
    </row>
    <row r="837">
      <c r="A837" s="18" t="inlineStr">
        <is>
          <t xml:space="preserve">            FarDirection = BigDirection</t>
        </is>
      </c>
    </row>
    <row r="838">
      <c r="A838" s="18" t="inlineStr">
        <is>
          <t xml:space="preserve">            break</t>
        </is>
      </c>
    </row>
    <row r="839">
      <c r="A839" s="18" t="inlineStr">
        <is>
          <t>```</t>
        </is>
      </c>
    </row>
    <row r="840">
      <c r="A840" s="18" t="inlineStr"/>
    </row>
    <row r="841">
      <c r="A841" s="18" t="inlineStr">
        <is>
          <t>---</t>
        </is>
      </c>
    </row>
    <row r="842">
      <c r="A842" s="18" t="inlineStr"/>
    </row>
    <row r="843">
      <c r="A843" s="18" t="inlineStr">
        <is>
          <t>## 18. Округление лотов</t>
        </is>
      </c>
    </row>
    <row r="844">
      <c r="A844" s="18" t="inlineStr"/>
    </row>
    <row r="845">
      <c r="A845" s="18" t="inlineStr">
        <is>
          <t>Реальный рынок не всегда позволяет открыть `0.437` лота. Поэтому нужен модуль округления.</t>
        </is>
      </c>
    </row>
    <row r="846">
      <c r="A846" s="18" t="inlineStr"/>
    </row>
    <row r="847">
      <c r="A847" s="18" t="inlineStr">
        <is>
          <t>Правило:</t>
        </is>
      </c>
    </row>
    <row r="848">
      <c r="A848" s="18" t="inlineStr"/>
    </row>
    <row r="849">
      <c r="A849" s="18" t="inlineStr">
        <is>
          <t>```text</t>
        </is>
      </c>
    </row>
    <row r="850">
      <c r="A850" s="18" t="inlineStr">
        <is>
          <t>RoundedLot = round_to_broker_step(RawLot)</t>
        </is>
      </c>
    </row>
    <row r="851">
      <c r="A851" s="18" t="inlineStr">
        <is>
          <t>```</t>
        </is>
      </c>
    </row>
    <row r="852">
      <c r="A852" s="18" t="inlineStr"/>
    </row>
    <row r="853">
      <c r="A853" s="18" t="inlineStr">
        <is>
          <t>Если шаг лота `0.01`:</t>
        </is>
      </c>
    </row>
    <row r="854">
      <c r="A854" s="18" t="inlineStr"/>
    </row>
    <row r="855">
      <c r="A855" s="18" t="inlineStr">
        <is>
          <t>```text</t>
        </is>
      </c>
    </row>
    <row r="856">
      <c r="A856" s="18" t="inlineStr">
        <is>
          <t>0.437 → 0.44</t>
        </is>
      </c>
    </row>
    <row r="857">
      <c r="A857" s="18" t="inlineStr">
        <is>
          <t>```</t>
        </is>
      </c>
    </row>
    <row r="858">
      <c r="A858" s="18" t="inlineStr"/>
    </row>
    <row r="859">
      <c r="A859" s="18" t="inlineStr">
        <is>
          <t>Если шаг лота `0.10`:</t>
        </is>
      </c>
    </row>
    <row r="860">
      <c r="A860" s="18" t="inlineStr"/>
    </row>
    <row r="861">
      <c r="A861" s="18" t="inlineStr">
        <is>
          <t>```text</t>
        </is>
      </c>
    </row>
    <row r="862">
      <c r="A862" s="18" t="inlineStr">
        <is>
          <t>0.437 → 0.40 или 0.50</t>
        </is>
      </c>
    </row>
    <row r="863">
      <c r="A863" s="18" t="inlineStr">
        <is>
          <t>```</t>
        </is>
      </c>
    </row>
    <row r="864">
      <c r="A864" s="18" t="inlineStr"/>
    </row>
    <row r="865">
      <c r="A865" s="18" t="inlineStr">
        <is>
          <t>Консервативное правило:</t>
        </is>
      </c>
    </row>
    <row r="866">
      <c r="A866" s="18" t="inlineStr"/>
    </row>
    <row r="867">
      <c r="A867" s="18" t="inlineStr">
        <is>
          <t>- Big лучше округлять вниз, если маржа близка к лимиту;</t>
        </is>
      </c>
    </row>
    <row r="868">
      <c r="A868" s="18" t="inlineStr">
        <is>
          <t>- Small лучше округлять вниз, если он становится слишком тяжёлым;</t>
        </is>
      </c>
    </row>
    <row r="869">
      <c r="A869" s="18" t="inlineStr">
        <is>
          <t>- нельзя округлением нарушать запреты `Big &gt; 120%` и `Small &gt; 45%`.</t>
        </is>
      </c>
    </row>
    <row r="870">
      <c r="A870" s="18" t="inlineStr"/>
    </row>
    <row r="871">
      <c r="A871" s="18" t="inlineStr">
        <is>
          <t>После округления обязательно пересчитать фактические коэффициенты:</t>
        </is>
      </c>
    </row>
    <row r="872">
      <c r="A872" s="18" t="inlineStr"/>
    </row>
    <row r="873">
      <c r="A873" s="18" t="inlineStr">
        <is>
          <t>```text</t>
        </is>
      </c>
    </row>
    <row r="874">
      <c r="A874" s="18" t="inlineStr">
        <is>
          <t>ActualBigRatio   = RoundedBig / FarLots</t>
        </is>
      </c>
    </row>
    <row r="875">
      <c r="A875" s="18" t="inlineStr">
        <is>
          <t>ActualSmallRatio = RoundedSmall / RoundedBig</t>
        </is>
      </c>
    </row>
    <row r="876">
      <c r="A876" s="18" t="inlineStr">
        <is>
          <t>```</t>
        </is>
      </c>
    </row>
    <row r="877">
      <c r="A877" s="18" t="inlineStr"/>
    </row>
    <row r="878">
      <c r="A878" s="18" t="inlineStr">
        <is>
          <t>Если фактические коэффициенты вышли за пределы, уровень не открывается.</t>
        </is>
      </c>
    </row>
    <row r="879">
      <c r="A879" s="18" t="inlineStr"/>
    </row>
    <row r="880">
      <c r="A880" s="18" t="inlineStr">
        <is>
          <t>---</t>
        </is>
      </c>
    </row>
    <row r="881">
      <c r="A881" s="18" t="inlineStr"/>
    </row>
    <row r="882">
      <c r="A882" s="18" t="inlineStr">
        <is>
          <t>## 19. Риск-лимиты</t>
        </is>
      </c>
    </row>
    <row r="883">
      <c r="A883" s="18" t="inlineStr"/>
    </row>
    <row r="884">
      <c r="A884" s="18" t="inlineStr">
        <is>
          <t>Перед каждым циклом должны проверяться лимиты.</t>
        </is>
      </c>
    </row>
    <row r="885">
      <c r="A885" s="18" t="inlineStr"/>
    </row>
    <row r="886">
      <c r="A886" s="18" t="inlineStr">
        <is>
          <t>### 19.1. Лимит маржи</t>
        </is>
      </c>
    </row>
    <row r="887">
      <c r="A887" s="18" t="inlineStr"/>
    </row>
    <row r="888">
      <c r="A888" s="18" t="inlineStr">
        <is>
          <t>```text</t>
        </is>
      </c>
    </row>
    <row r="889">
      <c r="A889" s="18" t="inlineStr">
        <is>
          <t>MarginAfterOpen &lt;= MaxMarginUsage</t>
        </is>
      </c>
    </row>
    <row r="890">
      <c r="A890" s="18" t="inlineStr">
        <is>
          <t>```</t>
        </is>
      </c>
    </row>
    <row r="891">
      <c r="A891" s="18" t="inlineStr"/>
    </row>
    <row r="892">
      <c r="A892" s="18" t="inlineStr">
        <is>
          <t>Рекомендуемое правило:</t>
        </is>
      </c>
    </row>
    <row r="893">
      <c r="A893" s="18" t="inlineStr"/>
    </row>
    <row r="894">
      <c r="A894" s="18" t="inlineStr">
        <is>
          <t>```text</t>
        </is>
      </c>
    </row>
    <row r="895">
      <c r="A895" s="18" t="inlineStr">
        <is>
          <t>UsedMargin / Equity &lt;= 0.30–0.50</t>
        </is>
      </c>
    </row>
    <row r="896">
      <c r="A896" s="18" t="inlineStr">
        <is>
          <t>```</t>
        </is>
      </c>
    </row>
    <row r="897">
      <c r="A897" s="18" t="inlineStr"/>
    </row>
    <row r="898">
      <c r="A898" s="18" t="inlineStr">
        <is>
          <t>Чем выше волатильность и хуже исполнение, тем ниже должен быть лимит.</t>
        </is>
      </c>
    </row>
    <row r="899">
      <c r="A899" s="18" t="inlineStr"/>
    </row>
    <row r="900">
      <c r="A900" s="18" t="inlineStr">
        <is>
          <t>### 19.2. Лимит просадки</t>
        </is>
      </c>
    </row>
    <row r="901">
      <c r="A901" s="18" t="inlineStr"/>
    </row>
    <row r="902">
      <c r="A902" s="18" t="inlineStr">
        <is>
          <t>```text</t>
        </is>
      </c>
    </row>
    <row r="903">
      <c r="A903" s="18" t="inlineStr">
        <is>
          <t>FloatingDrawdown / Equity &lt;= MaxDrawdown</t>
        </is>
      </c>
    </row>
    <row r="904">
      <c r="A904" s="18" t="inlineStr">
        <is>
          <t>```</t>
        </is>
      </c>
    </row>
    <row r="905">
      <c r="A905" s="18" t="inlineStr"/>
    </row>
    <row r="906">
      <c r="A906" s="18" t="inlineStr">
        <is>
          <t>Если лимит превышен:</t>
        </is>
      </c>
    </row>
    <row r="907">
      <c r="A907" s="18" t="inlineStr"/>
    </row>
    <row r="908">
      <c r="A908" s="18" t="inlineStr">
        <is>
          <t>- новые уровни запрещены;</t>
        </is>
      </c>
    </row>
    <row r="909">
      <c r="A909" s="18" t="inlineStr">
        <is>
          <t>- допускается только уменьшение риска;</t>
        </is>
      </c>
    </row>
    <row r="910">
      <c r="A910" s="18" t="inlineStr">
        <is>
          <t>- система переходит в аварийный режим.</t>
        </is>
      </c>
    </row>
    <row r="911">
      <c r="A911" s="18" t="inlineStr"/>
    </row>
    <row r="912">
      <c r="A912" s="18" t="inlineStr">
        <is>
          <t>### 19.3. Лимит спреда</t>
        </is>
      </c>
    </row>
    <row r="913">
      <c r="A913" s="18" t="inlineStr"/>
    </row>
    <row r="914">
      <c r="A914" s="18" t="inlineStr">
        <is>
          <t>```text</t>
        </is>
      </c>
    </row>
    <row r="915">
      <c r="A915" s="18" t="inlineStr">
        <is>
          <t>CurrentSpread &lt;= MaxAllowedSpread</t>
        </is>
      </c>
    </row>
    <row r="916">
      <c r="A916" s="18" t="inlineStr">
        <is>
          <t>```</t>
        </is>
      </c>
    </row>
    <row r="917">
      <c r="A917" s="18" t="inlineStr"/>
    </row>
    <row r="918">
      <c r="A918" s="18" t="inlineStr">
        <is>
          <t>Если спред расширился:</t>
        </is>
      </c>
    </row>
    <row r="919">
      <c r="A919" s="18" t="inlineStr"/>
    </row>
    <row r="920">
      <c r="A920" s="18" t="inlineStr">
        <is>
          <t>- новые входы запрещены;</t>
        </is>
      </c>
    </row>
    <row r="921">
      <c r="A921" s="18" t="inlineStr">
        <is>
          <t>- рыночные закрытия выполняются только при угрозе большего риска;</t>
        </is>
      </c>
    </row>
    <row r="922">
      <c r="A922" s="18" t="inlineStr">
        <is>
          <t>- предпочтительно ждать нормализации спреда, если маржа позволяет.</t>
        </is>
      </c>
    </row>
    <row r="923">
      <c r="A923" s="18" t="inlineStr"/>
    </row>
    <row r="924">
      <c r="A924" s="18" t="inlineStr">
        <is>
          <t>### 19.4. Лимит количества циклов</t>
        </is>
      </c>
    </row>
    <row r="925">
      <c r="A925" s="18" t="inlineStr"/>
    </row>
    <row r="926">
      <c r="A926" s="18" t="inlineStr">
        <is>
          <t>Чтобы система не работала бесконечно во вредной среде:</t>
        </is>
      </c>
    </row>
    <row r="927">
      <c r="A927" s="18" t="inlineStr"/>
    </row>
    <row r="928">
      <c r="A928" s="18" t="inlineStr">
        <is>
          <t>```text</t>
        </is>
      </c>
    </row>
    <row r="929">
      <c r="A929" s="18" t="inlineStr">
        <is>
          <t>MaxCyclesPerSession = заранее заданное число</t>
        </is>
      </c>
    </row>
    <row r="930">
      <c r="A930" s="18" t="inlineStr">
        <is>
          <t>```</t>
        </is>
      </c>
    </row>
    <row r="931">
      <c r="A931" s="18" t="inlineStr"/>
    </row>
    <row r="932">
      <c r="A932" s="18" t="inlineStr">
        <is>
          <t>После достижения лимита:</t>
        </is>
      </c>
    </row>
    <row r="933">
      <c r="A933" s="18" t="inlineStr"/>
    </row>
    <row r="934">
      <c r="A934" s="18" t="inlineStr">
        <is>
          <t>- новые уровни не открываются;</t>
        </is>
      </c>
    </row>
    <row r="935">
      <c r="A935" s="18" t="inlineStr">
        <is>
          <t>- система фиксирует состояние;</t>
        </is>
      </c>
    </row>
    <row r="936">
      <c r="A936" s="18" t="inlineStr">
        <is>
          <t>- требуется ручная проверка или пауза.</t>
        </is>
      </c>
    </row>
    <row r="937">
      <c r="A937" s="18" t="inlineStr"/>
    </row>
    <row r="938">
      <c r="A938" s="18" t="inlineStr">
        <is>
          <t>---</t>
        </is>
      </c>
    </row>
    <row r="939">
      <c r="A939" s="18" t="inlineStr"/>
    </row>
    <row r="940">
      <c r="A940" s="18" t="inlineStr">
        <is>
          <t>## 20. Аварийные режимы</t>
        </is>
      </c>
    </row>
    <row r="941">
      <c r="A941" s="18" t="inlineStr"/>
    </row>
    <row r="942">
      <c r="A942" s="18" t="inlineStr">
        <is>
          <t>### 20.1. Margin Stress</t>
        </is>
      </c>
    </row>
    <row r="943">
      <c r="A943" s="18" t="inlineStr"/>
    </row>
    <row r="944">
      <c r="A944" s="18" t="inlineStr">
        <is>
          <t>Условие:</t>
        </is>
      </c>
    </row>
    <row r="945">
      <c r="A945" s="18" t="inlineStr"/>
    </row>
    <row r="946">
      <c r="A946" s="18" t="inlineStr">
        <is>
          <t>```text</t>
        </is>
      </c>
    </row>
    <row r="947">
      <c r="A947" s="18" t="inlineStr">
        <is>
          <t>FreeMargin падает ниже допустимого уровня</t>
        </is>
      </c>
    </row>
    <row r="948">
      <c r="A948" s="18" t="inlineStr">
        <is>
          <t>```</t>
        </is>
      </c>
    </row>
    <row r="949">
      <c r="A949" s="18" t="inlineStr"/>
    </row>
    <row r="950">
      <c r="A950" s="18" t="inlineStr">
        <is>
          <t>Действия:</t>
        </is>
      </c>
    </row>
    <row r="951">
      <c r="A951" s="18" t="inlineStr"/>
    </row>
    <row r="952">
      <c r="A952" s="18" t="inlineStr">
        <is>
          <t>- запретить новые уровни;</t>
        </is>
      </c>
    </row>
    <row r="953">
      <c r="A953" s="18" t="inlineStr">
        <is>
          <t>- закрывать только прибыльные защитные позиции;</t>
        </is>
      </c>
    </row>
    <row r="954">
      <c r="A954" s="18" t="inlineStr">
        <is>
          <t>- использовать резерв только для уменьшения хвоста;</t>
        </is>
      </c>
    </row>
    <row r="955">
      <c r="A955" s="18" t="inlineStr">
        <is>
          <t>- уменьшить BigRatio в следующих циклах;</t>
        </is>
      </c>
    </row>
    <row r="956">
      <c r="A956" s="18" t="inlineStr">
        <is>
          <t>- при критической угрозе закрывать риск по заранее заданному плану.</t>
        </is>
      </c>
    </row>
    <row r="957">
      <c r="A957" s="18" t="inlineStr"/>
    </row>
    <row r="958">
      <c r="A958" s="18" t="inlineStr">
        <is>
          <t>### 20.2. Spread Shock</t>
        </is>
      </c>
    </row>
    <row r="959">
      <c r="A959" s="18" t="inlineStr"/>
    </row>
    <row r="960">
      <c r="A960" s="18" t="inlineStr">
        <is>
          <t>Условие:</t>
        </is>
      </c>
    </row>
    <row r="961">
      <c r="A961" s="18" t="inlineStr"/>
    </row>
    <row r="962">
      <c r="A962" s="18" t="inlineStr">
        <is>
          <t>```text</t>
        </is>
      </c>
    </row>
    <row r="963">
      <c r="A963" s="18" t="inlineStr">
        <is>
          <t>Spread &gt; MaxAllowedSpread</t>
        </is>
      </c>
    </row>
    <row r="964">
      <c r="A964" s="18" t="inlineStr">
        <is>
          <t>```</t>
        </is>
      </c>
    </row>
    <row r="965">
      <c r="A965" s="18" t="inlineStr"/>
    </row>
    <row r="966">
      <c r="A966" s="18" t="inlineStr">
        <is>
          <t>Действия:</t>
        </is>
      </c>
    </row>
    <row r="967">
      <c r="A967" s="18" t="inlineStr"/>
    </row>
    <row r="968">
      <c r="A968" s="18" t="inlineStr">
        <is>
          <t>- не открывать Big/Small;</t>
        </is>
      </c>
    </row>
    <row r="969">
      <c r="A969" s="18" t="inlineStr">
        <is>
          <t>- не закрывать плановые позиции без необходимости;</t>
        </is>
      </c>
    </row>
    <row r="970">
      <c r="A970" s="18" t="inlineStr">
        <is>
          <t>- пересчитать ожидаемую прибыль целей;</t>
        </is>
      </c>
    </row>
    <row r="971">
      <c r="A971" s="18" t="inlineStr">
        <is>
          <t>- включить паузу до нормализации.</t>
        </is>
      </c>
    </row>
    <row r="972">
      <c r="A972" s="18" t="inlineStr"/>
    </row>
    <row r="973">
      <c r="A973" s="18" t="inlineStr">
        <is>
          <t>### 20.3. Fast Reversal</t>
        </is>
      </c>
    </row>
    <row r="974">
      <c r="A974" s="18" t="inlineStr"/>
    </row>
    <row r="975">
      <c r="A975" s="18" t="inlineStr">
        <is>
          <t>Условие:</t>
        </is>
      </c>
    </row>
    <row r="976">
      <c r="A976" s="18" t="inlineStr"/>
    </row>
    <row r="977">
      <c r="A977" s="18" t="inlineStr">
        <is>
          <t>```text</t>
        </is>
      </c>
    </row>
    <row r="978">
      <c r="A978" s="18" t="inlineStr">
        <is>
          <t>Цена быстро проходит от Big-зоны к Small-зоне или наоборот</t>
        </is>
      </c>
    </row>
    <row r="979">
      <c r="A979" s="18" t="inlineStr">
        <is>
          <t>```</t>
        </is>
      </c>
    </row>
    <row r="980">
      <c r="A980" s="18" t="inlineStr"/>
    </row>
    <row r="981">
      <c r="A981" s="18" t="inlineStr">
        <is>
          <t>Действия:</t>
        </is>
      </c>
    </row>
    <row r="982">
      <c r="A982" s="18" t="inlineStr"/>
    </row>
    <row r="983">
      <c r="A983" s="18" t="inlineStr">
        <is>
          <t>- не добавлять дополнительные Small;</t>
        </is>
      </c>
    </row>
    <row r="984">
      <c r="A984" s="18" t="inlineStr">
        <is>
          <t>- выполнять только канонический переворот;</t>
        </is>
      </c>
    </row>
    <row r="985">
      <c r="A985" s="18" t="inlineStr">
        <is>
          <t>- проверять фактическое проскальзывание;</t>
        </is>
      </c>
    </row>
    <row r="986">
      <c r="A986" s="18" t="inlineStr">
        <is>
          <t>- после переворота уменьшить следующий объём или пропустить цикл.</t>
        </is>
      </c>
    </row>
    <row r="987">
      <c r="A987" s="18" t="inlineStr"/>
    </row>
    <row r="988">
      <c r="A988" s="18" t="inlineStr">
        <is>
          <t>### 20.4. Dual-Tail Exception</t>
        </is>
      </c>
    </row>
    <row r="989">
      <c r="A989" s="18" t="inlineStr"/>
    </row>
    <row r="990">
      <c r="A990" s="18" t="inlineStr">
        <is>
          <t>Условие:</t>
        </is>
      </c>
    </row>
    <row r="991">
      <c r="A991" s="18" t="inlineStr"/>
    </row>
    <row r="992">
      <c r="A992" s="18" t="inlineStr">
        <is>
          <t>```text</t>
        </is>
      </c>
    </row>
    <row r="993">
      <c r="A993" s="18" t="inlineStr">
        <is>
          <t>После переворота остался старый хвост и появился новый хвост</t>
        </is>
      </c>
    </row>
    <row r="994">
      <c r="A994" s="18" t="inlineStr">
        <is>
          <t>```</t>
        </is>
      </c>
    </row>
    <row r="995">
      <c r="A995" s="18" t="inlineStr"/>
    </row>
    <row r="996">
      <c r="A996" s="18" t="inlineStr">
        <is>
          <t>Действия:</t>
        </is>
      </c>
    </row>
    <row r="997">
      <c r="A997" s="18" t="inlineStr"/>
    </row>
    <row r="998">
      <c r="A998" s="18" t="inlineStr">
        <is>
          <t>- запретить открытие нового полного уровня;</t>
        </is>
      </c>
    </row>
    <row r="999">
      <c r="A999" s="18" t="inlineStr">
        <is>
          <t>- закрывать прибыльную сторону при первой возможности;</t>
        </is>
      </c>
    </row>
    <row r="1000">
      <c r="A1000" s="18" t="inlineStr">
        <is>
          <t>- использовать резерв только для сокращения одного из хвостов;</t>
        </is>
      </c>
    </row>
    <row r="1001">
      <c r="A1001" s="18" t="inlineStr">
        <is>
          <t>- восстановить состояние с одним активным Far Start.</t>
        </is>
      </c>
    </row>
    <row r="1002">
      <c r="A1002" s="18" t="inlineStr"/>
    </row>
    <row r="1003">
      <c r="A1003" s="18" t="inlineStr">
        <is>
          <t>---</t>
        </is>
      </c>
    </row>
    <row r="1004">
      <c r="A1004" s="18" t="inlineStr"/>
    </row>
    <row r="1005">
      <c r="A1005" s="18" t="inlineStr">
        <is>
          <t>## 21. Как система переживает флэт</t>
        </is>
      </c>
    </row>
    <row r="1006">
      <c r="A1006" s="18" t="inlineStr"/>
    </row>
    <row r="1007">
      <c r="A1007" s="18" t="inlineStr">
        <is>
          <t>Во флэте цена может часто переходить из Big-зоны в Small-зону и обратно.</t>
        </is>
      </c>
    </row>
    <row r="1008">
      <c r="A1008" s="18" t="inlineStr"/>
    </row>
    <row r="1009">
      <c r="A1009" s="18" t="inlineStr">
        <is>
          <t>Система выживает во флэте только при соблюдении правил:</t>
        </is>
      </c>
    </row>
    <row r="1010">
      <c r="A1010" s="18" t="inlineStr"/>
    </row>
    <row r="1011">
      <c r="A1011" s="18" t="inlineStr">
        <is>
          <t>- Small всегда закрывается полностью;</t>
        </is>
      </c>
    </row>
    <row r="1012">
      <c r="A1012" s="18" t="inlineStr">
        <is>
          <t>- Big при Small-сценарии закрывается минимум на 22%;</t>
        </is>
      </c>
    </row>
    <row r="1013">
      <c r="A1013" s="18" t="inlineStr">
        <is>
          <t>- новый хвост после переворота меньше старого;</t>
        </is>
      </c>
    </row>
    <row r="1014">
      <c r="A1014" s="18" t="inlineStr">
        <is>
          <t>- резерв не расходуется на усиление позиций;</t>
        </is>
      </c>
    </row>
    <row r="1015">
      <c r="A1015" s="18" t="inlineStr">
        <is>
          <t>- новые уровни открываются только после закрытия предыдущего уровня;</t>
        </is>
      </c>
    </row>
    <row r="1016">
      <c r="A1016" s="18" t="inlineStr">
        <is>
          <t>- при ухудшении спреда система ставится на паузу.</t>
        </is>
      </c>
    </row>
    <row r="1017">
      <c r="A1017" s="18" t="inlineStr"/>
    </row>
    <row r="1018">
      <c r="A1018" s="18" t="inlineStr">
        <is>
          <t>Опасность флэта:</t>
        </is>
      </c>
    </row>
    <row r="1019">
      <c r="A1019" s="18" t="inlineStr"/>
    </row>
    <row r="1020">
      <c r="A1020" s="18" t="inlineStr">
        <is>
          <t>- много комиссий;</t>
        </is>
      </c>
    </row>
    <row r="1021">
      <c r="A1021" s="18" t="inlineStr">
        <is>
          <t>- много спреда;</t>
        </is>
      </c>
    </row>
    <row r="1022">
      <c r="A1022" s="18" t="inlineStr">
        <is>
          <t>- ложные срабатывания целей;</t>
        </is>
      </c>
    </row>
    <row r="1023">
      <c r="A1023" s="18" t="inlineStr">
        <is>
          <t>- проскальзывание;</t>
        </is>
      </c>
    </row>
    <row r="1024">
      <c r="A1024" s="18" t="inlineStr">
        <is>
          <t>- появление двух хвостов при неправильной обработке старого.</t>
        </is>
      </c>
    </row>
    <row r="1025">
      <c r="A1025" s="18" t="inlineStr"/>
    </row>
    <row r="1026">
      <c r="A1026" s="18" t="inlineStr">
        <is>
          <t>Поэтому во флэте особенно важно соблюдать запрет на накопление Small.</t>
        </is>
      </c>
    </row>
    <row r="1027">
      <c r="A1027" s="18" t="inlineStr"/>
    </row>
    <row r="1028">
      <c r="A1028" s="18" t="inlineStr">
        <is>
          <t>---</t>
        </is>
      </c>
    </row>
    <row r="1029">
      <c r="A1029" s="18" t="inlineStr"/>
    </row>
    <row r="1030">
      <c r="A1030" s="18" t="inlineStr">
        <is>
          <t>## 22. Как система переживает сильный тренд</t>
        </is>
      </c>
    </row>
    <row r="1031">
      <c r="A1031" s="18" t="inlineStr"/>
    </row>
    <row r="1032">
      <c r="A1032" s="18" t="inlineStr">
        <is>
          <t>В сильном тренде Big-сценарий должен происходить быстрее.</t>
        </is>
      </c>
    </row>
    <row r="1033">
      <c r="A1033" s="18" t="inlineStr"/>
    </row>
    <row r="1034">
      <c r="A1034" s="18" t="inlineStr">
        <is>
          <t>Положительный эффект тренда:</t>
        </is>
      </c>
    </row>
    <row r="1035">
      <c r="A1035" s="18" t="inlineStr"/>
    </row>
    <row r="1036">
      <c r="A1036" s="18" t="inlineStr">
        <is>
          <t>- Big быстро набирает прибыль;</t>
        </is>
      </c>
    </row>
    <row r="1037">
      <c r="A1037" s="18" t="inlineStr">
        <is>
          <t>- Small имеет ограниченный минус;</t>
        </is>
      </c>
    </row>
    <row r="1038">
      <c r="A1038" s="18" t="inlineStr">
        <is>
          <t>- уровень закрывается полностью;</t>
        </is>
      </c>
    </row>
    <row r="1039">
      <c r="A1039" s="18" t="inlineStr">
        <is>
          <t>- хвост уменьшается;</t>
        </is>
      </c>
    </row>
    <row r="1040">
      <c r="A1040" s="18" t="inlineStr">
        <is>
          <t>- резерв растёт;</t>
        </is>
      </c>
    </row>
    <row r="1041">
      <c r="A1041" s="18" t="inlineStr">
        <is>
          <t>- следующий уровень становится легче.</t>
        </is>
      </c>
    </row>
    <row r="1042">
      <c r="A1042" s="18" t="inlineStr"/>
    </row>
    <row r="1043">
      <c r="A1043" s="18" t="inlineStr">
        <is>
          <t>Главная опасность тренда:</t>
        </is>
      </c>
    </row>
    <row r="1044">
      <c r="A1044" s="18" t="inlineStr"/>
    </row>
    <row r="1045">
      <c r="A1045" s="18" t="inlineStr">
        <is>
          <t>- если хвост направлен против тренда, его плавающий минус растёт;</t>
        </is>
      </c>
    </row>
    <row r="1046">
      <c r="A1046" s="18" t="inlineStr">
        <is>
          <t>- если Big-цель слишком далека, цена может дать резкий откат до Small;</t>
        </is>
      </c>
    </row>
    <row r="1047">
      <c r="A1047" s="18" t="inlineStr">
        <is>
          <t>- если Small не закрыт, система начнёт копить встречные слои.</t>
        </is>
      </c>
    </row>
    <row r="1048">
      <c r="A1048" s="18" t="inlineStr"/>
    </row>
    <row r="1049">
      <c r="A1049" s="18" t="inlineStr">
        <is>
          <t>Правило:</t>
        </is>
      </c>
    </row>
    <row r="1050">
      <c r="A1050" s="18" t="inlineStr"/>
    </row>
    <row r="1051">
      <c r="A1051" s="18" t="inlineStr">
        <is>
          <t>&gt; В тренде нельзя жадничать. Big-сценарий должен закрывать уровень, а не превращаться в удержание ради максимальной прибыли.</t>
        </is>
      </c>
    </row>
    <row r="1052">
      <c r="A1052" s="18" t="inlineStr"/>
    </row>
    <row r="1053">
      <c r="A1053" s="18" t="inlineStr">
        <is>
          <t>---</t>
        </is>
      </c>
    </row>
    <row r="1054">
      <c r="A1054" s="18" t="inlineStr"/>
    </row>
    <row r="1055">
      <c r="A1055" s="18" t="inlineStr">
        <is>
          <t>## 23. Финализация системы</t>
        </is>
      </c>
    </row>
    <row r="1056">
      <c r="A1056" s="18" t="inlineStr"/>
    </row>
    <row r="1057">
      <c r="A1057" s="18" t="inlineStr">
        <is>
          <t>Система считается успешно завершённой, если:</t>
        </is>
      </c>
    </row>
    <row r="1058">
      <c r="A1058" s="18" t="inlineStr"/>
    </row>
    <row r="1059">
      <c r="A1059" s="18" t="inlineStr">
        <is>
          <t>```text</t>
        </is>
      </c>
    </row>
    <row r="1060">
      <c r="A1060" s="18" t="inlineStr">
        <is>
          <t>FarLots &lt;= MinLot</t>
        </is>
      </c>
    </row>
    <row r="1061">
      <c r="A1061" s="18" t="inlineStr">
        <is>
          <t>```</t>
        </is>
      </c>
    </row>
    <row r="1062">
      <c r="A1062" s="18" t="inlineStr"/>
    </row>
    <row r="1063">
      <c r="A1063" s="18" t="inlineStr">
        <is>
          <t>или если денежный убыток хвоста можно полностью покрыть разрешённой частью прибыли и резерва без нарушения лимитов.</t>
        </is>
      </c>
    </row>
    <row r="1064">
      <c r="A1064" s="18" t="inlineStr"/>
    </row>
    <row r="1065">
      <c r="A1065" s="18" t="inlineStr">
        <is>
          <t>Финальные действия:</t>
        </is>
      </c>
    </row>
    <row r="1066">
      <c r="A1066" s="18" t="inlineStr"/>
    </row>
    <row r="1067">
      <c r="A1067" s="18" t="inlineStr">
        <is>
          <t>1. Закрыть остаток дальнего хвоста.</t>
        </is>
      </c>
    </row>
    <row r="1068">
      <c r="A1068" s="18" t="inlineStr">
        <is>
          <t>2. Закрыть все рабочие Big/Small, если они есть.</t>
        </is>
      </c>
    </row>
    <row r="1069">
      <c r="A1069" s="18" t="inlineStr">
        <is>
          <t>3. Зафиксировать итоговый резерв.</t>
        </is>
      </c>
    </row>
    <row r="1070">
      <c r="A1070" s="18" t="inlineStr">
        <is>
          <t>4. Составить отчёт по циклам.</t>
        </is>
      </c>
    </row>
    <row r="1071">
      <c r="A1071" s="18" t="inlineStr">
        <is>
          <t>5. Запретить автоматический перезапуск без новой причины.</t>
        </is>
      </c>
    </row>
    <row r="1072">
      <c r="A1072" s="18" t="inlineStr"/>
    </row>
    <row r="1073">
      <c r="A1073" s="18" t="inlineStr">
        <is>
          <t>Итоговый отчёт должен содержать:</t>
        </is>
      </c>
    </row>
    <row r="1074">
      <c r="A1074" s="18" t="inlineStr"/>
    </row>
    <row r="1075">
      <c r="A1075" s="18" t="inlineStr">
        <is>
          <t>- количество циклов;</t>
        </is>
      </c>
    </row>
    <row r="1076">
      <c r="A1076" s="18" t="inlineStr">
        <is>
          <t>- максимальный открытый объём;</t>
        </is>
      </c>
    </row>
    <row r="1077">
      <c r="A1077" s="18" t="inlineStr">
        <is>
          <t>- максимальную маржу;</t>
        </is>
      </c>
    </row>
    <row r="1078">
      <c r="A1078" s="18" t="inlineStr">
        <is>
          <t>- максимальную просадку;</t>
        </is>
      </c>
    </row>
    <row r="1079">
      <c r="A1079" s="18" t="inlineStr">
        <is>
          <t>- суммарную прибыль Big;</t>
        </is>
      </c>
    </row>
    <row r="1080">
      <c r="A1080" s="18" t="inlineStr">
        <is>
          <t>- суммарную прибыль Small;</t>
        </is>
      </c>
    </row>
    <row r="1081">
      <c r="A1081" s="18" t="inlineStr">
        <is>
          <t>- суммарные убытки частичных закрытий;</t>
        </is>
      </c>
    </row>
    <row r="1082">
      <c r="A1082" s="18" t="inlineStr">
        <is>
          <t>- суммарные комиссии и спред;</t>
        </is>
      </c>
    </row>
    <row r="1083">
      <c r="A1083" s="18" t="inlineStr">
        <is>
          <t>- размер уничтоженного хвоста;</t>
        </is>
      </c>
    </row>
    <row r="1084">
      <c r="A1084" s="18" t="inlineStr">
        <is>
          <t>- итоговый резерв.</t>
        </is>
      </c>
    </row>
    <row r="1085">
      <c r="A1085" s="18" t="inlineStr"/>
    </row>
    <row r="1086">
      <c r="A1086" s="18" t="inlineStr">
        <is>
          <t>---</t>
        </is>
      </c>
    </row>
    <row r="1087">
      <c r="A1087" s="18" t="inlineStr"/>
    </row>
    <row r="1088">
      <c r="A1088" s="18" t="inlineStr">
        <is>
          <t>## 24. Что строго запрещено</t>
        </is>
      </c>
    </row>
    <row r="1089">
      <c r="A1089" s="18" t="inlineStr"/>
    </row>
    <row r="1090">
      <c r="A1090" s="18" t="inlineStr">
        <is>
          <t>Запрещено:</t>
        </is>
      </c>
    </row>
    <row r="1091">
      <c r="A1091" s="18" t="inlineStr"/>
    </row>
    <row r="1092">
      <c r="A1092" s="18" t="inlineStr">
        <is>
          <t>1. Делать Big больше 120% от хвоста без отдельного расчёта риска.</t>
        </is>
      </c>
    </row>
    <row r="1093">
      <c r="A1093" s="18" t="inlineStr">
        <is>
          <t>2. Делать Small больше 45% от Big.</t>
        </is>
      </c>
    </row>
    <row r="1094">
      <c r="A1094" s="18" t="inlineStr">
        <is>
          <t>3. Оставлять Small после завершения уровня.</t>
        </is>
      </c>
    </row>
    <row r="1095">
      <c r="A1095" s="18" t="inlineStr">
        <is>
          <t>4. Открывать новый уровень, если предыдущий не завершён.</t>
        </is>
      </c>
    </row>
    <row r="1096">
      <c r="A1096" s="18" t="inlineStr">
        <is>
          <t>5. Использовать резерв для увеличения объёма.</t>
        </is>
      </c>
    </row>
    <row r="1097">
      <c r="A1097" s="18" t="inlineStr">
        <is>
          <t>6. Закрывать меньше 20% Big при Small-сценарии.</t>
        </is>
      </c>
    </row>
    <row r="1098">
      <c r="A1098" s="18" t="inlineStr">
        <is>
          <t>7. Игнорировать комиссии, спред и проскальзывание.</t>
        </is>
      </c>
    </row>
    <row r="1099">
      <c r="A1099" s="18" t="inlineStr">
        <is>
          <t>8. Считать денежные 20% прибыли равными лотовым 20% хвоста без пересчёта.</t>
        </is>
      </c>
    </row>
    <row r="1100">
      <c r="A1100" s="18" t="inlineStr">
        <is>
          <t>9. Открывать новый цикл при недостаточной свободной марже.</t>
        </is>
      </c>
    </row>
    <row r="1101">
      <c r="A1101" s="18" t="inlineStr">
        <is>
          <t>10. Продолжать автоматическую работу при появлении двух дальних хвостов без аварийного режима.</t>
        </is>
      </c>
    </row>
    <row r="1102">
      <c r="A1102" s="18" t="inlineStr"/>
    </row>
    <row r="1103">
      <c r="A1103" s="18" t="inlineStr">
        <is>
          <t>---</t>
        </is>
      </c>
    </row>
    <row r="1104">
      <c r="A1104" s="18" t="inlineStr"/>
    </row>
    <row r="1105">
      <c r="A1105" s="18" t="inlineStr">
        <is>
          <t>## 25. Контрольная таблица перед запуском</t>
        </is>
      </c>
    </row>
    <row r="1106">
      <c r="A1106" s="18" t="inlineStr"/>
    </row>
    <row r="1107">
      <c r="A1107" s="18" t="inlineStr">
        <is>
          <t>| Проверка | Вопрос | Статус |</t>
        </is>
      </c>
    </row>
    <row r="1108">
      <c r="A1108" s="18" t="inlineStr">
        <is>
          <t>| --- | --- | --- |</t>
        </is>
      </c>
    </row>
    <row r="1109">
      <c r="A1109" s="18" t="inlineStr">
        <is>
          <t>| Хвост найден | Есть один понятный Far Start? | Да/Нет |</t>
        </is>
      </c>
    </row>
    <row r="1110">
      <c r="A1110" s="18" t="inlineStr">
        <is>
          <t>| Направление определено | Понятно, где Big и где Small? | Да/Нет |</t>
        </is>
      </c>
    </row>
    <row r="1111">
      <c r="A1111" s="18" t="inlineStr">
        <is>
          <t>| Big рассчитан | `Big = Far × 1.15`? | Да/Нет |</t>
        </is>
      </c>
    </row>
    <row r="1112">
      <c r="A1112" s="18" t="inlineStr">
        <is>
          <t>| Small рассчитан | `Small = Big × 0.38`? | Да/Нет |</t>
        </is>
      </c>
    </row>
    <row r="1113">
      <c r="A1113" s="18" t="inlineStr">
        <is>
          <t>| Лоты округлены | Округление не нарушило лимиты? | Да/Нет |</t>
        </is>
      </c>
    </row>
    <row r="1114">
      <c r="A1114" s="18" t="inlineStr">
        <is>
          <t>| Маржа проверена | После открытия уровень в лимите? | Да/Нет |</t>
        </is>
      </c>
    </row>
    <row r="1115">
      <c r="A1115" s="18" t="inlineStr">
        <is>
          <t>| Резерв проверен | Резерв выше минимального? | Да/Нет |</t>
        </is>
      </c>
    </row>
    <row r="1116">
      <c r="A1116" s="18" t="inlineStr">
        <is>
          <t>| Цели заданы | Есть Big-цель и Small-цель? | Да/Нет |</t>
        </is>
      </c>
    </row>
    <row r="1117">
      <c r="A1117" s="18" t="inlineStr">
        <is>
          <t>| Издержки учтены | Спред, комиссия, проскальзывание в расчёте? | Да/Нет |</t>
        </is>
      </c>
    </row>
    <row r="1118">
      <c r="A1118" s="18" t="inlineStr">
        <is>
          <t>| Аварийный план есть | Что делать при резком движении? | Да/Нет |</t>
        </is>
      </c>
    </row>
    <row r="1119">
      <c r="A1119" s="18" t="inlineStr"/>
    </row>
    <row r="1120">
      <c r="A1120" s="18" t="inlineStr">
        <is>
          <t>Если хотя бы один ответ «Нет», запуск цикла запрещён.</t>
        </is>
      </c>
    </row>
    <row r="1121">
      <c r="A1121" s="18" t="inlineStr"/>
    </row>
    <row r="1122">
      <c r="A1122" s="18" t="inlineStr">
        <is>
          <t>---</t>
        </is>
      </c>
    </row>
    <row r="1123">
      <c r="A1123" s="18" t="inlineStr"/>
    </row>
    <row r="1124">
      <c r="A1124" s="18" t="inlineStr">
        <is>
          <t>## 26. Краткая формальная спецификация</t>
        </is>
      </c>
    </row>
    <row r="1125">
      <c r="A1125" s="18" t="inlineStr"/>
    </row>
    <row r="1126">
      <c r="A1126" s="18" t="inlineStr">
        <is>
          <t>### Big-сценарий</t>
        </is>
      </c>
    </row>
    <row r="1127">
      <c r="A1127" s="18" t="inlineStr"/>
    </row>
    <row r="1128">
      <c r="A1128" s="18" t="inlineStr">
        <is>
          <t>```text</t>
        </is>
      </c>
    </row>
    <row r="1129">
      <c r="A1129" s="18" t="inlineStr">
        <is>
          <t>Вход:</t>
        </is>
      </c>
    </row>
    <row r="1130">
      <c r="A1130" s="18" t="inlineStr">
        <is>
          <t xml:space="preserve">    F_n</t>
        </is>
      </c>
    </row>
    <row r="1131">
      <c r="A1131" s="18" t="inlineStr">
        <is>
          <t xml:space="preserve">    B_n = F_n × 1.15</t>
        </is>
      </c>
    </row>
    <row r="1132">
      <c r="A1132" s="18" t="inlineStr">
        <is>
          <t xml:space="preserve">    S_n = B_n × 0.38</t>
        </is>
      </c>
    </row>
    <row r="1133">
      <c r="A1133" s="18" t="inlineStr"/>
    </row>
    <row r="1134">
      <c r="A1134" s="18" t="inlineStr">
        <is>
          <t>Событие:</t>
        </is>
      </c>
    </row>
    <row r="1135">
      <c r="A1135" s="18" t="inlineStr">
        <is>
          <t xml:space="preserve">    цена идёт в сторону B_n</t>
        </is>
      </c>
    </row>
    <row r="1136">
      <c r="A1136" s="18" t="inlineStr"/>
    </row>
    <row r="1137">
      <c r="A1137" s="18" t="inlineStr">
        <is>
          <t>Действия:</t>
        </is>
      </c>
    </row>
    <row r="1138">
      <c r="A1138" s="18" t="inlineStr">
        <is>
          <t xml:space="preserve">    close(B_n, 100%)</t>
        </is>
      </c>
    </row>
    <row r="1139">
      <c r="A1139" s="18" t="inlineStr">
        <is>
          <t xml:space="preserve">    close(S_n, 100%)</t>
        </is>
      </c>
    </row>
    <row r="1140">
      <c r="A1140" s="18" t="inlineStr">
        <is>
          <t xml:space="preserve">    NP_n = ProfitBig - LossSmall - Costs</t>
        </is>
      </c>
    </row>
    <row r="1141">
      <c r="A1141" s="18" t="inlineStr">
        <is>
          <t xml:space="preserve">    CloseFarMoney = NP_n × 0.20</t>
        </is>
      </c>
    </row>
    <row r="1142">
      <c r="A1142" s="18" t="inlineStr">
        <is>
          <t xml:space="preserve">    ReserveAdd = NP_n × 0.80</t>
        </is>
      </c>
    </row>
    <row r="1143">
      <c r="A1143" s="18" t="inlineStr">
        <is>
          <t xml:space="preserve">    F_{n+1} = F_n - закрытый_объём_хвоста</t>
        </is>
      </c>
    </row>
    <row r="1144">
      <c r="A1144" s="18" t="inlineStr">
        <is>
          <t>```</t>
        </is>
      </c>
    </row>
    <row r="1145">
      <c r="A1145" s="18" t="inlineStr"/>
    </row>
    <row r="1146">
      <c r="A1146" s="18" t="inlineStr">
        <is>
          <t>Если закрывается ровно 20% лота хвоста:</t>
        </is>
      </c>
    </row>
    <row r="1147">
      <c r="A1147" s="18" t="inlineStr"/>
    </row>
    <row r="1148">
      <c r="A1148" s="18" t="inlineStr">
        <is>
          <t>```text</t>
        </is>
      </c>
    </row>
    <row r="1149">
      <c r="A1149" s="18" t="inlineStr">
        <is>
          <t>F_{n+1} = F_n × 0.80</t>
        </is>
      </c>
    </row>
    <row r="1150">
      <c r="A1150" s="18" t="inlineStr">
        <is>
          <t>```</t>
        </is>
      </c>
    </row>
    <row r="1151">
      <c r="A1151" s="18" t="inlineStr"/>
    </row>
    <row r="1152">
      <c r="A1152" s="18" t="inlineStr">
        <is>
          <t>### Small-сценарий</t>
        </is>
      </c>
    </row>
    <row r="1153">
      <c r="A1153" s="18" t="inlineStr"/>
    </row>
    <row r="1154">
      <c r="A1154" s="18" t="inlineStr">
        <is>
          <t>```text</t>
        </is>
      </c>
    </row>
    <row r="1155">
      <c r="A1155" s="18" t="inlineStr">
        <is>
          <t>Вход:</t>
        </is>
      </c>
    </row>
    <row r="1156">
      <c r="A1156" s="18" t="inlineStr">
        <is>
          <t xml:space="preserve">    F_n</t>
        </is>
      </c>
    </row>
    <row r="1157">
      <c r="A1157" s="18" t="inlineStr">
        <is>
          <t xml:space="preserve">    B_n = F_n × 1.15</t>
        </is>
      </c>
    </row>
    <row r="1158">
      <c r="A1158" s="18" t="inlineStr">
        <is>
          <t xml:space="preserve">    S_n = B_n × 0.38</t>
        </is>
      </c>
    </row>
    <row r="1159">
      <c r="A1159" s="18" t="inlineStr"/>
    </row>
    <row r="1160">
      <c r="A1160" s="18" t="inlineStr">
        <is>
          <t>Событие:</t>
        </is>
      </c>
    </row>
    <row r="1161">
      <c r="A1161" s="18" t="inlineStr">
        <is>
          <t xml:space="preserve">    цена идёт в сторону S_n</t>
        </is>
      </c>
    </row>
    <row r="1162">
      <c r="A1162" s="18" t="inlineStr"/>
    </row>
    <row r="1163">
      <c r="A1163" s="18" t="inlineStr">
        <is>
          <t>Действия:</t>
        </is>
      </c>
    </row>
    <row r="1164">
      <c r="A1164" s="18" t="inlineStr">
        <is>
          <t xml:space="preserve">    close(S_n, 100%)</t>
        </is>
      </c>
    </row>
    <row r="1165">
      <c r="A1165" s="18" t="inlineStr">
        <is>
          <t xml:space="preserve">    close(B_n, 22%)</t>
        </is>
      </c>
    </row>
    <row r="1166">
      <c r="A1166" s="18" t="inlineStr">
        <is>
          <t xml:space="preserve">    F_{n+1} = B_n × 0.78</t>
        </is>
      </c>
    </row>
    <row r="1167">
      <c r="A1167" s="18" t="inlineStr">
        <is>
          <t>```</t>
        </is>
      </c>
    </row>
    <row r="1168">
      <c r="A1168" s="18" t="inlineStr"/>
    </row>
    <row r="1169">
      <c r="A1169" s="18" t="inlineStr">
        <is>
          <t>Подстановка:</t>
        </is>
      </c>
    </row>
    <row r="1170">
      <c r="A1170" s="18" t="inlineStr"/>
    </row>
    <row r="1171">
      <c r="A1171" s="18" t="inlineStr">
        <is>
          <t>```text</t>
        </is>
      </c>
    </row>
    <row r="1172">
      <c r="A1172" s="18" t="inlineStr">
        <is>
          <t>F_{n+1} = F_n × 1.15 × 0.78</t>
        </is>
      </c>
    </row>
    <row r="1173">
      <c r="A1173" s="18" t="inlineStr">
        <is>
          <t>F_{n+1} = F_n × 0.897</t>
        </is>
      </c>
    </row>
    <row r="1174">
      <c r="A1174" s="18" t="inlineStr">
        <is>
          <t>```</t>
        </is>
      </c>
    </row>
    <row r="1175">
      <c r="A1175" s="18" t="inlineStr"/>
    </row>
    <row r="1176">
      <c r="A1176" s="18" t="inlineStr">
        <is>
          <t>---</t>
        </is>
      </c>
    </row>
    <row r="1177">
      <c r="A1177" s="18" t="inlineStr"/>
    </row>
    <row r="1178">
      <c r="A1178" s="18" t="inlineStr">
        <is>
          <t>## 27. Уточнения v2: недвусмысленные правила исполнения</t>
        </is>
      </c>
    </row>
    <row r="1179">
      <c r="A1179" s="18" t="inlineStr"/>
    </row>
    <row r="1180">
      <c r="A1180" s="18" t="inlineStr">
        <is>
          <t>Этот раздел является обязательным уточнением к предыдущим формулам и имеет приоритет при практической реализации калькулятора или торгового робота.</t>
        </is>
      </c>
    </row>
    <row r="1181">
      <c r="A1181" s="18" t="inlineStr"/>
    </row>
    <row r="1182">
      <c r="A1182" s="18" t="inlineStr">
        <is>
          <t>### 27.1. Главное правило Big-сценария</t>
        </is>
      </c>
    </row>
    <row r="1183">
      <c r="A1183" s="18" t="inlineStr"/>
    </row>
    <row r="1184">
      <c r="A1184" s="18" t="inlineStr">
        <is>
          <t>Если цена идёт в сторону Big, текущий уровень должен завершаться полностью:</t>
        </is>
      </c>
    </row>
    <row r="1185">
      <c r="A1185" s="18" t="inlineStr"/>
    </row>
    <row r="1186">
      <c r="A1186" s="18" t="inlineStr">
        <is>
          <t>```text</t>
        </is>
      </c>
    </row>
    <row r="1187">
      <c r="A1187" s="18" t="inlineStr">
        <is>
          <t>Close Big = 100%</t>
        </is>
      </c>
    </row>
    <row r="1188">
      <c r="A1188" s="18" t="inlineStr">
        <is>
          <t>Close Small = 100%</t>
        </is>
      </c>
    </row>
    <row r="1189">
      <c r="A1189" s="18" t="inlineStr">
        <is>
          <t>```</t>
        </is>
      </c>
    </row>
    <row r="1190">
      <c r="A1190" s="18" t="inlineStr"/>
    </row>
    <row r="1191">
      <c r="A1191" s="18" t="inlineStr">
        <is>
          <t>Small нельзя оставлять открытым после Big-сценария.</t>
        </is>
      </c>
    </row>
    <row r="1192">
      <c r="A1192" s="18" t="inlineStr"/>
    </row>
    <row r="1193">
      <c r="A1193" s="18" t="inlineStr">
        <is>
          <t>Причина:</t>
        </is>
      </c>
    </row>
    <row r="1194">
      <c r="A1194" s="18" t="inlineStr"/>
    </row>
    <row r="1195">
      <c r="A1195" s="18" t="inlineStr">
        <is>
          <t>```text</t>
        </is>
      </c>
    </row>
    <row r="1196">
      <c r="A1196" s="18" t="inlineStr">
        <is>
          <t>Если Small не закрывать, они будут накапливаться на каждом уровне.</t>
        </is>
      </c>
    </row>
    <row r="1197">
      <c r="A1197" s="18" t="inlineStr">
        <is>
          <t>Это разрушает самосжатие системы и превращает её в многослойный лок.</t>
        </is>
      </c>
    </row>
    <row r="1198">
      <c r="A1198" s="18" t="inlineStr">
        <is>
          <t>```</t>
        </is>
      </c>
    </row>
    <row r="1199">
      <c r="A1199" s="18" t="inlineStr"/>
    </row>
    <row r="1200">
      <c r="A1200" s="18" t="inlineStr">
        <is>
          <t>После закрытия Big и Small считается чистая прибыль уровня:</t>
        </is>
      </c>
    </row>
    <row r="1201">
      <c r="A1201" s="18" t="inlineStr"/>
    </row>
    <row r="1202">
      <c r="A1202" s="18" t="inlineStr">
        <is>
          <t>```text</t>
        </is>
      </c>
    </row>
    <row r="1203">
      <c r="A1203" s="18" t="inlineStr">
        <is>
          <t>NetProfit = ProfitBig - LossSmall - Commission - SpreadCost - SlippageCost</t>
        </is>
      </c>
    </row>
    <row r="1204">
      <c r="A1204" s="18" t="inlineStr">
        <is>
          <t>```</t>
        </is>
      </c>
    </row>
    <row r="1205">
      <c r="A1205" s="18" t="inlineStr"/>
    </row>
    <row r="1206">
      <c r="A1206" s="18" t="inlineStr">
        <is>
          <t>Если комиссия, спред и проскальзывание не заданы, допускается упрощённая формула:</t>
        </is>
      </c>
    </row>
    <row r="1207">
      <c r="A1207" s="18" t="inlineStr"/>
    </row>
    <row r="1208">
      <c r="A1208" s="18" t="inlineStr">
        <is>
          <t>```text</t>
        </is>
      </c>
    </row>
    <row r="1209">
      <c r="A1209" s="18" t="inlineStr">
        <is>
          <t>NetProfit = ProfitBig - LossSmall</t>
        </is>
      </c>
    </row>
    <row r="1210">
      <c r="A1210" s="18" t="inlineStr">
        <is>
          <t>```</t>
        </is>
      </c>
    </row>
    <row r="1211">
      <c r="A1211" s="18" t="inlineStr"/>
    </row>
    <row r="1212">
      <c r="A1212" s="18" t="inlineStr">
        <is>
          <t>### 27.2. Главное правило закрытия дальнего хвоста</t>
        </is>
      </c>
    </row>
    <row r="1213">
      <c r="A1213" s="18" t="inlineStr"/>
    </row>
    <row r="1214">
      <c r="A1214" s="18" t="inlineStr">
        <is>
          <t>На закрытие самого дальнего хвоста можно использовать **не более 20% чистой прибыли уровня**:</t>
        </is>
      </c>
    </row>
    <row r="1215">
      <c r="A1215" s="18" t="inlineStr"/>
    </row>
    <row r="1216">
      <c r="A1216" s="18" t="inlineStr">
        <is>
          <t>```text</t>
        </is>
      </c>
    </row>
    <row r="1217">
      <c r="A1217" s="18" t="inlineStr">
        <is>
          <t>CloseFarBudget = NetProfit × 0.20</t>
        </is>
      </c>
    </row>
    <row r="1218">
      <c r="A1218" s="18" t="inlineStr">
        <is>
          <t>ReserveAdd = NetProfit × 0.80</t>
        </is>
      </c>
    </row>
    <row r="1219">
      <c r="A1219" s="18" t="inlineStr">
        <is>
          <t>```</t>
        </is>
      </c>
    </row>
    <row r="1220">
      <c r="A1220" s="18" t="inlineStr"/>
    </row>
    <row r="1221">
      <c r="A1221" s="18" t="inlineStr">
        <is>
          <t>Критически важное уточнение:</t>
        </is>
      </c>
    </row>
    <row r="1222">
      <c r="A1222" s="18" t="inlineStr"/>
    </row>
    <row r="1223">
      <c r="A1223" s="18" t="inlineStr">
        <is>
          <t>```text</t>
        </is>
      </c>
    </row>
    <row r="1224">
      <c r="A1224" s="18" t="inlineStr">
        <is>
          <t>20% — это не обязательно 20% лота хвоста.</t>
        </is>
      </c>
    </row>
    <row r="1225">
      <c r="A1225" s="18" t="inlineStr">
        <is>
          <t>20% — это денежный бюджет от чистой прибыли уровня.</t>
        </is>
      </c>
    </row>
    <row r="1226">
      <c r="A1226" s="18" t="inlineStr">
        <is>
          <t>```</t>
        </is>
      </c>
    </row>
    <row r="1227">
      <c r="A1227" s="18" t="inlineStr"/>
    </row>
    <row r="1228">
      <c r="A1228" s="18" t="inlineStr">
        <is>
          <t>Основной режим системы — **денежный**. Сначала система считает 20% чистой прибыли, затем определяет, сколько лота дальнего хвоста можно закрыть на этот денежный бюджет.</t>
        </is>
      </c>
    </row>
    <row r="1229">
      <c r="A1229" s="18" t="inlineStr"/>
    </row>
    <row r="1230">
      <c r="A1230" s="18" t="inlineStr">
        <is>
          <t>### 27.3. Режим 1: денежное закрытие хвоста</t>
        </is>
      </c>
    </row>
    <row r="1231">
      <c r="A1231" s="18" t="inlineStr"/>
    </row>
    <row r="1232">
      <c r="A1232" s="18" t="inlineStr">
        <is>
          <t>В денежном режиме фиксировано:</t>
        </is>
      </c>
    </row>
    <row r="1233">
      <c r="A1233" s="18" t="inlineStr"/>
    </row>
    <row r="1234">
      <c r="A1234" s="18" t="inlineStr">
        <is>
          <t>```text</t>
        </is>
      </c>
    </row>
    <row r="1235">
      <c r="A1235" s="18" t="inlineStr">
        <is>
          <t>20% чистой прибыли уровня</t>
        </is>
      </c>
    </row>
    <row r="1236">
      <c r="A1236" s="18" t="inlineStr">
        <is>
          <t>```</t>
        </is>
      </c>
    </row>
    <row r="1237">
      <c r="A1237" s="18" t="inlineStr"/>
    </row>
    <row r="1238">
      <c r="A1238" s="18" t="inlineStr">
        <is>
          <t>Формулы:</t>
        </is>
      </c>
    </row>
    <row r="1239">
      <c r="A1239" s="18" t="inlineStr"/>
    </row>
    <row r="1240">
      <c r="A1240" s="18" t="inlineStr">
        <is>
          <t>```text</t>
        </is>
      </c>
    </row>
    <row r="1241">
      <c r="A1241" s="18" t="inlineStr">
        <is>
          <t>CloseFarBudget = NetProfit × 0.20</t>
        </is>
      </c>
    </row>
    <row r="1242">
      <c r="A1242" s="18" t="inlineStr">
        <is>
          <t>CloseFarLot = CloseFarBudget / LossPerLotToClose</t>
        </is>
      </c>
    </row>
    <row r="1243">
      <c r="A1243" s="18" t="inlineStr">
        <is>
          <t>FarRemain = FarStart - CloseFarLot</t>
        </is>
      </c>
    </row>
    <row r="1244">
      <c r="A1244" s="18" t="inlineStr">
        <is>
          <t>```</t>
        </is>
      </c>
    </row>
    <row r="1245">
      <c r="A1245" s="18" t="inlineStr"/>
    </row>
    <row r="1246">
      <c r="A1246" s="18" t="inlineStr">
        <is>
          <t>Где:</t>
        </is>
      </c>
    </row>
    <row r="1247">
      <c r="A1247" s="18" t="inlineStr"/>
    </row>
    <row r="1248">
      <c r="A1248" s="18" t="inlineStr">
        <is>
          <t>```text</t>
        </is>
      </c>
    </row>
    <row r="1249">
      <c r="A1249" s="18" t="inlineStr">
        <is>
          <t>LossPerLotToClose = текущий убыток на 1 лот дальнего хвоста</t>
        </is>
      </c>
    </row>
    <row r="1250">
      <c r="A1250" s="18" t="inlineStr">
        <is>
          <t>```</t>
        </is>
      </c>
    </row>
    <row r="1251">
      <c r="A1251" s="18" t="inlineStr"/>
    </row>
    <row r="1252">
      <c r="A1252" s="18" t="inlineStr">
        <is>
          <t>Защита от ошибок:</t>
        </is>
      </c>
    </row>
    <row r="1253">
      <c r="A1253" s="18" t="inlineStr"/>
    </row>
    <row r="1254">
      <c r="A1254" s="18" t="inlineStr">
        <is>
          <t>```text</t>
        </is>
      </c>
    </row>
    <row r="1255">
      <c r="A1255" s="18" t="inlineStr">
        <is>
          <t>CloseFarLot = MIN(FarStart, MAX(0, CloseFarBudget / LossPerLotToClose))</t>
        </is>
      </c>
    </row>
    <row r="1256">
      <c r="A1256" s="18" t="inlineStr">
        <is>
          <t>```</t>
        </is>
      </c>
    </row>
    <row r="1257">
      <c r="A1257" s="18" t="inlineStr"/>
    </row>
    <row r="1258">
      <c r="A1258" s="18" t="inlineStr">
        <is>
          <t>Если `LossPerLotToClose &lt;= 0`, деление запрещено: закрытие хвоста переводится в ручную проверку или хвост закрывается по отдельному правилу без использования этой формулы.</t>
        </is>
      </c>
    </row>
    <row r="1259">
      <c r="A1259" s="18" t="inlineStr"/>
    </row>
    <row r="1260">
      <c r="A1260" s="18" t="inlineStr">
        <is>
          <t>### 27.4. Режим 2: лотовое закрытие хвоста</t>
        </is>
      </c>
    </row>
    <row r="1261">
      <c r="A1261" s="18" t="inlineStr"/>
    </row>
    <row r="1262">
      <c r="A1262" s="18" t="inlineStr">
        <is>
          <t>В лотовом режиме цель — закрыть ровно 20% лота хвоста:</t>
        </is>
      </c>
    </row>
    <row r="1263">
      <c r="A1263" s="18" t="inlineStr"/>
    </row>
    <row r="1264">
      <c r="A1264" s="18" t="inlineStr">
        <is>
          <t>```text</t>
        </is>
      </c>
    </row>
    <row r="1265">
      <c r="A1265" s="18" t="inlineStr">
        <is>
          <t>TargetCloseFarLot = FarStart × 0.20</t>
        </is>
      </c>
    </row>
    <row r="1266">
      <c r="A1266" s="18" t="inlineStr">
        <is>
          <t>RequiredMoney = TargetCloseFarLot × LossPerLotToClose</t>
        </is>
      </c>
    </row>
    <row r="1267">
      <c r="A1267" s="18" t="inlineStr">
        <is>
          <t>```</t>
        </is>
      </c>
    </row>
    <row r="1268">
      <c r="A1268" s="18" t="inlineStr"/>
    </row>
    <row r="1269">
      <c r="A1269" s="18" t="inlineStr">
        <is>
          <t>Проверка:</t>
        </is>
      </c>
    </row>
    <row r="1270">
      <c r="A1270" s="18" t="inlineStr"/>
    </row>
    <row r="1271">
      <c r="A1271" s="18" t="inlineStr">
        <is>
          <t>```text</t>
        </is>
      </c>
    </row>
    <row r="1272">
      <c r="A1272" s="18" t="inlineStr">
        <is>
          <t>Если CloseFarBudget &gt;= RequiredMoney:</t>
        </is>
      </c>
    </row>
    <row r="1273">
      <c r="A1273" s="18" t="inlineStr">
        <is>
          <t xml:space="preserve">    закрыть 20% лота хвоста</t>
        </is>
      </c>
    </row>
    <row r="1274">
      <c r="A1274" s="18" t="inlineStr">
        <is>
          <t>Иначе:</t>
        </is>
      </c>
    </row>
    <row r="1275">
      <c r="A1275" s="18" t="inlineStr">
        <is>
          <t xml:space="preserve">    закрыть только доступный объём по денежному бюджету</t>
        </is>
      </c>
    </row>
    <row r="1276">
      <c r="A1276" s="18" t="inlineStr">
        <is>
          <t>```</t>
        </is>
      </c>
    </row>
    <row r="1277">
      <c r="A1277" s="18" t="inlineStr"/>
    </row>
    <row r="1278">
      <c r="A1278" s="18" t="inlineStr">
        <is>
          <t>Лотовый режим не отменяет ограничение денежного бюджета. Даже если цель — закрыть 20% лота хвоста, нельзя тратить на это больше разрешённого бюджета `CloseFarBudget` без отдельного аварийного разрешения.</t>
        </is>
      </c>
    </row>
    <row r="1279">
      <c r="A1279" s="18" t="inlineStr"/>
    </row>
    <row r="1280">
      <c r="A1280" s="18" t="inlineStr">
        <is>
          <t>### 27.5. Уточнённый Small-сценарий</t>
        </is>
      </c>
    </row>
    <row r="1281">
      <c r="A1281" s="18" t="inlineStr"/>
    </row>
    <row r="1282">
      <c r="A1282" s="18" t="inlineStr">
        <is>
          <t>Если цена идёт в сторону Small, выполняются строго следующие действия:</t>
        </is>
      </c>
    </row>
    <row r="1283">
      <c r="A1283" s="18" t="inlineStr"/>
    </row>
    <row r="1284">
      <c r="A1284" s="18" t="inlineStr">
        <is>
          <t>```text</t>
        </is>
      </c>
    </row>
    <row r="1285">
      <c r="A1285" s="18" t="inlineStr">
        <is>
          <t>Close Small = 100%</t>
        </is>
      </c>
    </row>
    <row r="1286">
      <c r="A1286" s="18" t="inlineStr">
        <is>
          <t>Close Big = 22%</t>
        </is>
      </c>
    </row>
    <row r="1287">
      <c r="A1287" s="18" t="inlineStr">
        <is>
          <t>Remain Big = 78%</t>
        </is>
      </c>
    </row>
    <row r="1288">
      <c r="A1288" s="18" t="inlineStr">
        <is>
          <t>```</t>
        </is>
      </c>
    </row>
    <row r="1289">
      <c r="A1289" s="18" t="inlineStr"/>
    </row>
    <row r="1290">
      <c r="A1290" s="18" t="inlineStr">
        <is>
          <t>Формулы:</t>
        </is>
      </c>
    </row>
    <row r="1291">
      <c r="A1291" s="18" t="inlineStr"/>
    </row>
    <row r="1292">
      <c r="A1292" s="18" t="inlineStr">
        <is>
          <t>```text</t>
        </is>
      </c>
    </row>
    <row r="1293">
      <c r="A1293" s="18" t="inlineStr">
        <is>
          <t>CloseBigLot = BigLot × 0.22</t>
        </is>
      </c>
    </row>
    <row r="1294">
      <c r="A1294" s="18" t="inlineStr">
        <is>
          <t>RemainBigLot = BigLot × 0.78</t>
        </is>
      </c>
    </row>
    <row r="1295">
      <c r="A1295" s="18" t="inlineStr">
        <is>
          <t>```</t>
        </is>
      </c>
    </row>
    <row r="1296">
      <c r="A1296" s="18" t="inlineStr"/>
    </row>
    <row r="1297">
      <c r="A1297" s="18" t="inlineStr">
        <is>
          <t>Остаток Big становится новым дальним хвостом:</t>
        </is>
      </c>
    </row>
    <row r="1298">
      <c r="A1298" s="18" t="inlineStr"/>
    </row>
    <row r="1299">
      <c r="A1299" s="18" t="inlineStr">
        <is>
          <t>```text</t>
        </is>
      </c>
    </row>
    <row r="1300">
      <c r="A1300" s="18" t="inlineStr">
        <is>
          <t>NewFarStart = RemainBigLot</t>
        </is>
      </c>
    </row>
    <row r="1301">
      <c r="A1301" s="18" t="inlineStr">
        <is>
          <t>NewFarDirection = BigDirection</t>
        </is>
      </c>
    </row>
    <row r="1302">
      <c r="A1302" s="18" t="inlineStr">
        <is>
          <t>```</t>
        </is>
      </c>
    </row>
    <row r="1303">
      <c r="A1303" s="18" t="inlineStr"/>
    </row>
    <row r="1304">
      <c r="A1304" s="18" t="inlineStr">
        <is>
          <t>### 27.6. Обработка старого хвоста после Small-сценария</t>
        </is>
      </c>
    </row>
    <row r="1305">
      <c r="A1305" s="18" t="inlineStr"/>
    </row>
    <row r="1306">
      <c r="A1306" s="18" t="inlineStr">
        <is>
          <t>После Small-сценария система должна проверить старый хвост, потому что может появиться опасная структура:</t>
        </is>
      </c>
    </row>
    <row r="1307">
      <c r="A1307" s="18" t="inlineStr"/>
    </row>
    <row r="1308">
      <c r="A1308" s="18" t="inlineStr">
        <is>
          <t>```text</t>
        </is>
      </c>
    </row>
    <row r="1309">
      <c r="A1309" s="18" t="inlineStr">
        <is>
          <t>старый хвост ещё не закрыт</t>
        </is>
      </c>
    </row>
    <row r="1310">
      <c r="A1310" s="18" t="inlineStr">
        <is>
          <t>+</t>
        </is>
      </c>
    </row>
    <row r="1311">
      <c r="A1311" s="18" t="inlineStr">
        <is>
          <t>новый хвост из остатка Big</t>
        </is>
      </c>
    </row>
    <row r="1312">
      <c r="A1312" s="18" t="inlineStr">
        <is>
          <t>```</t>
        </is>
      </c>
    </row>
    <row r="1313">
      <c r="A1313" s="18" t="inlineStr"/>
    </row>
    <row r="1314">
      <c r="A1314" s="18" t="inlineStr">
        <is>
          <t>Правила обработки:</t>
        </is>
      </c>
    </row>
    <row r="1315">
      <c r="A1315" s="18" t="inlineStr"/>
    </row>
    <row r="1316">
      <c r="A1316" s="18" t="inlineStr">
        <is>
          <t>```text</t>
        </is>
      </c>
    </row>
    <row r="1317">
      <c r="A1317" s="18" t="inlineStr">
        <is>
          <t>Если старый хвост можно закрыть в плюс или в ноль:</t>
        </is>
      </c>
    </row>
    <row r="1318">
      <c r="A1318" s="18" t="inlineStr">
        <is>
          <t xml:space="preserve">    закрыть старый хвост полностью</t>
        </is>
      </c>
    </row>
    <row r="1319">
      <c r="A1319" s="18" t="inlineStr"/>
    </row>
    <row r="1320">
      <c r="A1320" s="18" t="inlineStr">
        <is>
          <t>Если старый хвост можно частично закрыть за счёт доступной прибыли:</t>
        </is>
      </c>
    </row>
    <row r="1321">
      <c r="A1321" s="18" t="inlineStr">
        <is>
          <t xml:space="preserve">    закрыть разрешённую часть</t>
        </is>
      </c>
    </row>
    <row r="1322">
      <c r="A1322" s="18" t="inlineStr"/>
    </row>
    <row r="1323">
      <c r="A1323" s="18" t="inlineStr">
        <is>
          <t>Если старый хвост остаётся в минусе:</t>
        </is>
      </c>
    </row>
    <row r="1324">
      <c r="A1324" s="18" t="inlineStr">
        <is>
          <t xml:space="preserve">    присвоить статус DUAL_TAIL / WARNING</t>
        </is>
      </c>
    </row>
    <row r="1325">
      <c r="A1325" s="18" t="inlineStr">
        <is>
          <t xml:space="preserve">    новый полноценный уровень запрещён без отдельного разрешения</t>
        </is>
      </c>
    </row>
    <row r="1326">
      <c r="A1326" s="18" t="inlineStr">
        <is>
          <t>```</t>
        </is>
      </c>
    </row>
    <row r="1327">
      <c r="A1327" s="18" t="inlineStr"/>
    </row>
    <row r="1328">
      <c r="A1328" s="18" t="inlineStr">
        <is>
          <t>При `DUAL_TAIL` система не имеет права автоматически открывать следующий полноценный уровень, потому что в рынке одновременно присутствуют старый хвост и новый хвост из остатка Big.</t>
        </is>
      </c>
    </row>
    <row r="1329">
      <c r="A1329" s="18" t="inlineStr"/>
    </row>
    <row r="1330">
      <c r="A1330" s="18" t="inlineStr">
        <is>
          <t>### 27.7. Статусы системы</t>
        </is>
      </c>
    </row>
    <row r="1331">
      <c r="A1331" s="18" t="inlineStr"/>
    </row>
    <row r="1332">
      <c r="A1332" s="18" t="inlineStr">
        <is>
          <t>| Статус | Значение |</t>
        </is>
      </c>
    </row>
    <row r="1333">
      <c r="A1333" s="18" t="inlineStr">
        <is>
          <t>| --- | --- |</t>
        </is>
      </c>
    </row>
    <row r="1334">
      <c r="A1334" s="18" t="inlineStr">
        <is>
          <t>| OK | Один хвост, резерв положительный, маржа в норме. |</t>
        </is>
      </c>
    </row>
    <row r="1335">
      <c r="A1335" s="18" t="inlineStr">
        <is>
          <t>| WARNING | Хвост уменьшается медленно, резерв мал, NetProfit не положительный или маржа почти не снижается. |</t>
        </is>
      </c>
    </row>
    <row r="1336">
      <c r="A1336" s="18" t="inlineStr">
        <is>
          <t>| DUAL_TAIL | Есть старый хвост и новый хвост одновременно. |</t>
        </is>
      </c>
    </row>
    <row r="1337">
      <c r="A1337" s="18" t="inlineStr">
        <is>
          <t>| DANGER | Растёт маржа, резерв отрицательный, хвост увеличивается или NetProfit сильно отрицательный. |</t>
        </is>
      </c>
    </row>
    <row r="1338">
      <c r="A1338" s="18" t="inlineStr">
        <is>
          <t>| STOP | Новые уровни запрещены. |</t>
        </is>
      </c>
    </row>
    <row r="1339">
      <c r="A1339" s="18" t="inlineStr"/>
    </row>
    <row r="1340">
      <c r="A1340" s="18" t="inlineStr">
        <is>
          <t>Новый уровень разрешён только если статус `OK` или явно разрешённый оператором `WARNING`. При `DUAL_TAIL`, `DANGER` или `STOP` автоматическое открытие нового полноценного уровня запрещено.</t>
        </is>
      </c>
    </row>
    <row r="1341">
      <c r="A1341" s="18" t="inlineStr"/>
    </row>
    <row r="1342">
      <c r="A1342" s="18" t="inlineStr">
        <is>
          <t>### 27.8. Строгие запреты v2</t>
        </is>
      </c>
    </row>
    <row r="1343">
      <c r="A1343" s="18" t="inlineStr"/>
    </row>
    <row r="1344">
      <c r="A1344" s="18" t="inlineStr">
        <is>
          <t>```text</t>
        </is>
      </c>
    </row>
    <row r="1345">
      <c r="A1345" s="18" t="inlineStr">
        <is>
          <t>1. Нельзя оставлять Small после Big-сценария.</t>
        </is>
      </c>
    </row>
    <row r="1346">
      <c r="A1346" s="18" t="inlineStr">
        <is>
          <t>2. Нельзя открывать новый уровень, если предыдущий уровень не закрыт.</t>
        </is>
      </c>
    </row>
    <row r="1347">
      <c r="A1347" s="18" t="inlineStr">
        <is>
          <t>3. Нельзя считать 20% прибыли равными 20% лота хвоста.</t>
        </is>
      </c>
    </row>
    <row r="1348">
      <c r="A1348" s="18" t="inlineStr">
        <is>
          <t>4. Нельзя открывать новый полноценный уровень при статусе DUAL_TAIL.</t>
        </is>
      </c>
    </row>
    <row r="1349">
      <c r="A1349" s="18" t="inlineStr">
        <is>
          <t>5. Нельзя использовать резерв для увеличения лота.</t>
        </is>
      </c>
    </row>
    <row r="1350">
      <c r="A1350" s="18" t="inlineStr">
        <is>
          <t>6. Нельзя открывать Big выше 120% от FarStart.</t>
        </is>
      </c>
    </row>
    <row r="1351">
      <c r="A1351" s="18" t="inlineStr">
        <is>
          <t>7. Нельзя открывать Small выше 45% от Big.</t>
        </is>
      </c>
    </row>
    <row r="1352">
      <c r="A1352" s="18" t="inlineStr">
        <is>
          <t>8. Нельзя закрывать меньше 22% Big при Small-сценарии.</t>
        </is>
      </c>
    </row>
    <row r="1353">
      <c r="A1353" s="18" t="inlineStr">
        <is>
          <t>9. Нельзя игнорировать спред, комиссию и проскальзывание.</t>
        </is>
      </c>
    </row>
    <row r="1354">
      <c r="A1354" s="18" t="inlineStr">
        <is>
          <t>```</t>
        </is>
      </c>
    </row>
    <row r="1355">
      <c r="A1355" s="18" t="inlineStr"/>
    </row>
    <row r="1356">
      <c r="A1356" s="18" t="inlineStr">
        <is>
          <t>### 27.9. Финальный алгоритм v2</t>
        </is>
      </c>
    </row>
    <row r="1357">
      <c r="A1357" s="18" t="inlineStr"/>
    </row>
    <row r="1358">
      <c r="A1358" s="18" t="inlineStr">
        <is>
          <t>```text</t>
        </is>
      </c>
    </row>
    <row r="1359">
      <c r="A1359" s="18" t="inlineStr">
        <is>
          <t>BIG_SIDE:</t>
        </is>
      </c>
    </row>
    <row r="1360">
      <c r="A1360" s="18" t="inlineStr">
        <is>
          <t xml:space="preserve">    Close Big = 100%</t>
        </is>
      </c>
    </row>
    <row r="1361">
      <c r="A1361" s="18" t="inlineStr">
        <is>
          <t xml:space="preserve">    Close Small = 100%</t>
        </is>
      </c>
    </row>
    <row r="1362">
      <c r="A1362" s="18" t="inlineStr">
        <is>
          <t xml:space="preserve">    NetProfit = ProfitBig - LossSmall - Costs</t>
        </is>
      </c>
    </row>
    <row r="1363">
      <c r="A1363" s="18" t="inlineStr">
        <is>
          <t xml:space="preserve">    CloseFarBudget = NetProfit × 20%</t>
        </is>
      </c>
    </row>
    <row r="1364">
      <c r="A1364" s="18" t="inlineStr">
        <is>
          <t xml:space="preserve">    ReserveAdd = NetProfit × 80%</t>
        </is>
      </c>
    </row>
    <row r="1365">
      <c r="A1365" s="18" t="inlineStr">
        <is>
          <t xml:space="preserve">    Основной режим закрытия хвоста = денежный</t>
        </is>
      </c>
    </row>
    <row r="1366">
      <c r="A1366" s="18" t="inlineStr"/>
    </row>
    <row r="1367">
      <c r="A1367" s="18" t="inlineStr">
        <is>
          <t>SMALL_SIDE:</t>
        </is>
      </c>
    </row>
    <row r="1368">
      <c r="A1368" s="18" t="inlineStr">
        <is>
          <t xml:space="preserve">    Close Small = 100%</t>
        </is>
      </c>
    </row>
    <row r="1369">
      <c r="A1369" s="18" t="inlineStr">
        <is>
          <t xml:space="preserve">    Close Big = 22%</t>
        </is>
      </c>
    </row>
    <row r="1370">
      <c r="A1370" s="18" t="inlineStr">
        <is>
          <t xml:space="preserve">    Remain Big = 78%</t>
        </is>
      </c>
    </row>
    <row r="1371">
      <c r="A1371" s="18" t="inlineStr">
        <is>
          <t xml:space="preserve">    Remain Big становится новым FarStart</t>
        </is>
      </c>
    </row>
    <row r="1372">
      <c r="A1372" s="18" t="inlineStr">
        <is>
          <t xml:space="preserve">    Старый хвост обязательно проверяется</t>
        </is>
      </c>
    </row>
    <row r="1373">
      <c r="A1373" s="18" t="inlineStr">
        <is>
          <t xml:space="preserve">    При DUAL_TAIL новый полноценный уровень запрещён</t>
        </is>
      </c>
    </row>
    <row r="1374">
      <c r="A1374" s="18" t="inlineStr">
        <is>
          <t>```</t>
        </is>
      </c>
    </row>
    <row r="1375">
      <c r="A1375" s="18" t="inlineStr"/>
    </row>
    <row r="1376">
      <c r="A1376" s="18" t="inlineStr">
        <is>
          <t>Система работает только при условии, что каждый уровень завершён. При Big-сценарии закрываются Big и Small. При Small-сценарии закрывается Small и 22% Big. Small не должен накапливаться. На дальний хвост используется максимум 20% чистой прибыли уровня. Основная защита системы — резерв 80%.</t>
        </is>
      </c>
    </row>
    <row r="1377">
      <c r="A1377" s="18" t="inlineStr"/>
    </row>
    <row r="1378">
      <c r="A1378" s="18" t="inlineStr">
        <is>
          <t>---</t>
        </is>
      </c>
    </row>
    <row r="1379">
      <c r="A1379" s="18" t="inlineStr"/>
    </row>
    <row r="1380">
      <c r="A1380" s="18" t="inlineStr">
        <is>
          <t>## 28. Главный вывод</t>
        </is>
      </c>
    </row>
    <row r="1381">
      <c r="A1381" s="18" t="inlineStr"/>
    </row>
    <row r="1382">
      <c r="A1382" s="18" t="inlineStr">
        <is>
          <t>Адаптивная самосжимающаяся система разруливания минусового замка — это не система агрессивного наращивания позиции, а система **управляемого сжатия риска**.</t>
        </is>
      </c>
    </row>
    <row r="1383">
      <c r="A1383" s="18" t="inlineStr"/>
    </row>
    <row r="1384">
      <c r="A1384" s="18" t="inlineStr">
        <is>
          <t>Её устойчивость появляется только при одновременном соблюдении всех ключевых правил:</t>
        </is>
      </c>
    </row>
    <row r="1385">
      <c r="A1385" s="18" t="inlineStr"/>
    </row>
    <row r="1386">
      <c r="A1386" s="18" t="inlineStr">
        <is>
          <t>- Big строится от текущего хвоста, а не от желания быстро отбить убыток;</t>
        </is>
      </c>
    </row>
    <row r="1387">
      <c r="A1387" s="18" t="inlineStr">
        <is>
          <t>- Small не накапливается;</t>
        </is>
      </c>
    </row>
    <row r="1388">
      <c r="A1388" s="18" t="inlineStr">
        <is>
          <t>- каждый уровень закрывается как завершённый цикл;</t>
        </is>
      </c>
    </row>
    <row r="1389">
      <c r="A1389" s="18" t="inlineStr">
        <is>
          <t>- хвост уменьшается в Big-сценарии;</t>
        </is>
      </c>
    </row>
    <row r="1390">
      <c r="A1390" s="18" t="inlineStr">
        <is>
          <t>- новый хвост уменьшается даже при Small-сценарии;</t>
        </is>
      </c>
    </row>
    <row r="1391">
      <c r="A1391" s="18" t="inlineStr">
        <is>
          <t>- резерв растёт быстрее, чем расходуется;</t>
        </is>
      </c>
    </row>
    <row r="1392">
      <c r="A1392" s="18" t="inlineStr">
        <is>
          <t>- маржа следующего цикла становится меньше;</t>
        </is>
      </c>
    </row>
    <row r="1393">
      <c r="A1393" s="18" t="inlineStr">
        <is>
          <t>- аварийные режимы запрещают дальнейшее раздувание.</t>
        </is>
      </c>
    </row>
    <row r="1394">
      <c r="A1394" s="18" t="inlineStr"/>
    </row>
    <row r="1395">
      <c r="A1395" s="18" t="inlineStr">
        <is>
          <t>Короткая формула философии системы:</t>
        </is>
      </c>
    </row>
    <row r="1396">
      <c r="A1396" s="18" t="inlineStr"/>
    </row>
    <row r="1397">
      <c r="A1397" s="18" t="inlineStr">
        <is>
          <t>```text</t>
        </is>
      </c>
    </row>
    <row r="1398">
      <c r="A1398" s="18" t="inlineStr">
        <is>
          <t>Не увеличить ставку, чтобы отбить минус,</t>
        </is>
      </c>
    </row>
    <row r="1399">
      <c r="A1399" s="18" t="inlineStr">
        <is>
          <t>а уменьшить минус так, чтобы следующий цикл был легче предыдущего.</t>
        </is>
      </c>
    </row>
    <row r="1400">
      <c r="A1400" s="18" t="inlineStr">
        <is>
          <t>```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6" customWidth="1" min="3" max="3"/>
    <col width="90" customWidth="1" min="4" max="4"/>
  </cols>
  <sheetData>
    <row r="1">
      <c r="A1" s="1" t="inlineStr">
        <is>
          <t>Пример</t>
        </is>
      </c>
      <c r="B1" s="1" t="inlineStr">
        <is>
          <t>Поле</t>
        </is>
      </c>
      <c r="C1" s="1" t="inlineStr">
        <is>
          <t>Значение / формула</t>
        </is>
      </c>
      <c r="D1" s="1" t="inlineStr">
        <is>
          <t>Пояснение</t>
        </is>
      </c>
    </row>
    <row r="2">
      <c r="A2" s="3" t="inlineStr">
        <is>
          <t>Пример 1. Тренд вверх</t>
        </is>
      </c>
      <c r="B2" s="3" t="inlineStr">
        <is>
          <t>Start Far</t>
        </is>
      </c>
      <c r="C2" s="3" t="inlineStr">
        <is>
          <t>SELL 1.00</t>
        </is>
      </c>
      <c r="D2" s="3" t="inlineStr">
        <is>
          <t>Исходный дальний хвост после роста цены.</t>
        </is>
      </c>
    </row>
    <row r="3">
      <c r="A3" s="3" t="inlineStr">
        <is>
          <t>Пример 1. Тренд вверх</t>
        </is>
      </c>
      <c r="B3" s="3" t="inlineStr">
        <is>
          <t>Big</t>
        </is>
      </c>
      <c r="C3" s="3" t="inlineStr">
        <is>
          <t>BUY 1.15</t>
        </is>
      </c>
      <c r="D3" s="3" t="inlineStr">
        <is>
          <t>Big = Far × 1.15.</t>
        </is>
      </c>
    </row>
    <row r="4">
      <c r="A4" s="3" t="inlineStr">
        <is>
          <t>Пример 1. Тренд вверх</t>
        </is>
      </c>
      <c r="B4" s="3" t="inlineStr">
        <is>
          <t>Small</t>
        </is>
      </c>
      <c r="C4" s="3" t="inlineStr">
        <is>
          <t>SELL 0.44</t>
        </is>
      </c>
      <c r="D4" s="3" t="inlineStr">
        <is>
          <t>Small = Big × 0.38 с округлением до LotStep.</t>
        </is>
      </c>
    </row>
    <row r="5">
      <c r="A5" s="3" t="inlineStr">
        <is>
          <t>Пример 1. Тренд вверх</t>
        </is>
      </c>
      <c r="B5" s="3" t="inlineStr">
        <is>
          <t>Scenario</t>
        </is>
      </c>
      <c r="C5" s="3" t="inlineStr">
        <is>
          <t>BIG_SIDE</t>
        </is>
      </c>
      <c r="D5" s="3" t="inlineStr">
        <is>
          <t>Close Big = 100%; Close Small = 100%; CloseFarBudget = NetProfit × 20%; ReserveAdd = NetProfit × 80%.</t>
        </is>
      </c>
    </row>
    <row r="6">
      <c r="A6" s="3" t="inlineStr">
        <is>
          <t>Пример 2. Разворот вниз</t>
        </is>
      </c>
      <c r="B6" s="3" t="inlineStr">
        <is>
          <t>Start Far</t>
        </is>
      </c>
      <c r="C6" s="3" t="inlineStr">
        <is>
          <t>SELL 1.00</t>
        </is>
      </c>
      <c r="D6" s="3" t="inlineStr">
        <is>
          <t>Исходный дальний хвост.</t>
        </is>
      </c>
    </row>
    <row r="7">
      <c r="A7" s="3" t="inlineStr">
        <is>
          <t>Пример 2. Разворот вниз</t>
        </is>
      </c>
      <c r="B7" s="3" t="inlineStr">
        <is>
          <t>Big</t>
        </is>
      </c>
      <c r="C7" s="3" t="inlineStr">
        <is>
          <t>BUY 1.15</t>
        </is>
      </c>
      <c r="D7" s="3" t="inlineStr">
        <is>
          <t>Рабочая позиция против старого хвоста.</t>
        </is>
      </c>
    </row>
    <row r="8">
      <c r="A8" s="3" t="inlineStr">
        <is>
          <t>Пример 2. Разворот вниз</t>
        </is>
      </c>
      <c r="B8" s="3" t="inlineStr">
        <is>
          <t>Small</t>
        </is>
      </c>
      <c r="C8" s="3" t="inlineStr">
        <is>
          <t>SELL 0.44</t>
        </is>
      </c>
      <c r="D8" s="3" t="inlineStr">
        <is>
          <t>Защитная позиция в сторону старого хвоста.</t>
        </is>
      </c>
    </row>
    <row r="9">
      <c r="A9" s="3" t="inlineStr">
        <is>
          <t>Пример 2. Разворот вниз</t>
        </is>
      </c>
      <c r="B9" s="3" t="inlineStr">
        <is>
          <t>Scenario</t>
        </is>
      </c>
      <c r="C9" s="3" t="inlineStr">
        <is>
          <t>SMALL_SIDE</t>
        </is>
      </c>
      <c r="D9" s="3" t="inlineStr">
        <is>
          <t>Close Small = 100%; Close Big = 22%; Remain Big = 78%; новый Far = BUY 0.897.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2026-05-30T13:51:22Z</dcterms:created>
  <dcterms:modified xsi:type="dcterms:W3CDTF">2026-05-30T16:58:23Z</dcterms:modified>
</cp:coreProperties>
</file>