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'Calculator'!$A$1:$BG$11</definedName>
    <definedName name="_xlnm._FilterDatabase" localSheetId="2" hidden="1">'Trend_UP'!$A$1:$BG$11</definedName>
    <definedName name="_xlnm._FilterDatabase" localSheetId="3" hidden="1">'Trend_DOWN'!$A$1:$BG$11</definedName>
    <definedName name="_xlnm._FilterDatabase" localSheetId="5" hidden="1">'Tests'!$A$1:$H$55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  <font>
      <b val="1"/>
    </font>
  </fonts>
  <fills count="1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1" fillId="10" borderId="0" pivotButton="0" quotePrefix="0" xfId="0"/>
    <xf numFmtId="0" fontId="1" fillId="12" borderId="0" pivotButton="0" quotePrefix="0" xfId="0"/>
    <xf numFmtId="0" fontId="0" fillId="12" borderId="0" pivotButton="0" quotePrefix="0" xfId="0"/>
    <xf numFmtId="0" fontId="5" fillId="2" borderId="1" applyAlignment="1" pivotButton="0" quotePrefix="0" xfId="0">
      <alignment vertical="top" wrapText="1"/>
    </xf>
    <xf numFmtId="0" fontId="1" fillId="11" borderId="0" pivotButton="0" quotePrefix="0" xfId="0"/>
    <xf numFmtId="0" fontId="1" fillId="2" borderId="0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5" fillId="14" borderId="1" applyAlignment="1" pivotButton="0" quotePrefix="0" xfId="0">
      <alignment horizontal="center"/>
    </xf>
    <xf numFmtId="0" fontId="5" fillId="15" borderId="1" applyAlignment="1" pivotButton="0" quotePrefix="0" xfId="0">
      <alignment horizontal="center"/>
    </xf>
    <xf numFmtId="0" fontId="5" fillId="16" borderId="1" applyAlignment="1" pivotButton="0" quotePrefix="0" xfId="0">
      <alignment horizontal="center"/>
    </xf>
    <xf numFmtId="1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 t="n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 t="n">
        <v>1.15</v>
      </c>
      <c r="C3" s="3" t="inlineStr">
        <is>
          <t>Big = FarStart × 115%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 t="n">
        <v>0.38</v>
      </c>
      <c r="C4" s="3" t="inlineStr">
        <is>
          <t>Small = Big × 38%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 t="n">
        <v>0.2</v>
      </c>
      <c r="C5" s="3" t="inlineStr">
        <is>
          <t>максимум 20% чистой прибыли на хвост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 t="n">
        <v>0.8</v>
      </c>
      <c r="C6" s="3" t="inlineStr">
        <is>
          <t>80%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 t="n">
        <v>0.22</v>
      </c>
      <c r="C7" s="3" t="inlineStr">
        <is>
          <t>закрытие Big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 t="n">
        <v>0.78</v>
      </c>
      <c r="C8" s="3" t="inlineStr">
        <is>
          <t>остаток Big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 t="n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 t="n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 t="n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 t="n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 t="n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 t="n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 t="n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 t="n">
        <v>1.2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 t="n">
        <v>0.45</v>
      </c>
      <c r="C17" s="3" t="inlineStr">
        <is>
          <t>лимит Small</t>
        </is>
      </c>
    </row>
    <row r="20">
      <c r="A20" s="27" t="inlineStr">
        <is>
          <t>Справочная геометрия лотов Big-N / Small-N / Close-N</t>
        </is>
      </c>
    </row>
    <row r="21">
      <c r="A21" s="28" t="inlineStr">
        <is>
          <t>N</t>
        </is>
      </c>
      <c r="B21" s="29" t="inlineStr">
        <is>
          <t>FarStart-N</t>
        </is>
      </c>
      <c r="C21" s="28" t="inlineStr">
        <is>
          <t>Big-N</t>
        </is>
      </c>
      <c r="D21" s="30" t="inlineStr">
        <is>
          <t>Small-N</t>
        </is>
      </c>
      <c r="E21" s="31" t="inlineStr">
        <is>
          <t>Close-N</t>
        </is>
      </c>
    </row>
    <row r="22">
      <c r="A22" s="32">
        <f>IF(1&lt;=Settings!$B$12,1,"")</f>
        <v>1</v>
      </c>
      <c r="B22" s="33">
        <f>IF($A22="","",Settings!$B$2)</f>
        <v>1</v>
      </c>
      <c r="C22" s="33">
        <f>IF($A22="","",ROUND(($B22*Settings!$B$3)/Settings!$B$11,0)*Settings!$B$11)</f>
        <v>1.15</v>
      </c>
      <c r="D22" s="33">
        <f>IF($A22="","",ROUND(($C22*Settings!$B$4)/Settings!$B$11,0)*Settings!$B$11)</f>
        <v>0.44</v>
      </c>
      <c r="E22" s="33">
        <f>IF($A22="","",ROUND(($B22*Settings!$B$5)/Settings!$B$11,0)*Settings!$B$11)</f>
        <v>0.2</v>
      </c>
    </row>
    <row r="23">
      <c r="A23" s="32">
        <f>IF(2&lt;=Settings!$B$12,2,"")</f>
        <v>2</v>
      </c>
      <c r="B23" s="33">
        <f>IF($A23="","",$B22*(1-Settings!$B$5))</f>
        <v>0.8</v>
      </c>
      <c r="C23" s="33">
        <f>IF($A23="","",ROUND(($B23*Settings!$B$3)/Settings!$B$11,0)*Settings!$B$11)</f>
        <v>0.92</v>
      </c>
      <c r="D23" s="33">
        <f>IF($A23="","",ROUND(($C23*Settings!$B$4)/Settings!$B$11,0)*Settings!$B$11)</f>
        <v>0.35</v>
      </c>
      <c r="E23" s="33">
        <f>IF($A23="","",ROUND(($B23*Settings!$B$5)/Settings!$B$11,0)*Settings!$B$11)</f>
        <v>0.16</v>
      </c>
    </row>
    <row r="24">
      <c r="A24" s="32">
        <f>IF(3&lt;=Settings!$B$12,3,"")</f>
        <v>3</v>
      </c>
      <c r="B24" s="33">
        <f>IF($A24="","",$B23*(1-Settings!$B$5))</f>
        <v>0.64</v>
      </c>
      <c r="C24" s="33">
        <f>IF($A24="","",ROUND(($B24*Settings!$B$3)/Settings!$B$11,0)*Settings!$B$11)</f>
        <v>0.74</v>
      </c>
      <c r="D24" s="33">
        <f>IF($A24="","",ROUND(($C24*Settings!$B$4)/Settings!$B$11,0)*Settings!$B$11)</f>
        <v>0.28</v>
      </c>
      <c r="E24" s="33">
        <f>IF($A24="","",ROUND(($B24*Settings!$B$5)/Settings!$B$11,0)*Settings!$B$11)</f>
        <v>0.13</v>
      </c>
    </row>
    <row r="25">
      <c r="A25" s="32">
        <f>IF(4&lt;=Settings!$B$12,4,"")</f>
        <v>4</v>
      </c>
      <c r="B25" s="33">
        <f>IF($A25="","",$B24*(1-Settings!$B$5))</f>
        <v>0.512</v>
      </c>
      <c r="C25" s="33">
        <f>IF($A25="","",ROUND(($B25*Settings!$B$3)/Settings!$B$11,0)*Settings!$B$11)</f>
        <v>0.59</v>
      </c>
      <c r="D25" s="33">
        <f>IF($A25="","",ROUND(($C25*Settings!$B$4)/Settings!$B$11,0)*Settings!$B$11)</f>
        <v>0.22</v>
      </c>
      <c r="E25" s="33">
        <f>IF($A25="","",ROUND(($B25*Settings!$B$5)/Settings!$B$11,0)*Settings!$B$11)</f>
        <v>0.1</v>
      </c>
    </row>
    <row r="26">
      <c r="A26" s="32">
        <f>IF(5&lt;=Settings!$B$12,5,"")</f>
        <v>5</v>
      </c>
      <c r="B26" s="33">
        <f>IF($A26="","",$B25*(1-Settings!$B$5))</f>
        <v>0.4096</v>
      </c>
      <c r="C26" s="33">
        <f>IF($A26="","",ROUND(($B26*Settings!$B$3)/Settings!$B$11,0)*Settings!$B$11)</f>
        <v>0.47</v>
      </c>
      <c r="D26" s="33">
        <f>IF($A26="","",ROUND(($C26*Settings!$B$4)/Settings!$B$11,0)*Settings!$B$11)</f>
        <v>0.18</v>
      </c>
      <c r="E26" s="33">
        <f>IF($A26="","",ROUND(($B26*Settings!$B$5)/Settings!$B$11,0)*Settings!$B$11)</f>
        <v>0.08</v>
      </c>
    </row>
    <row r="27">
      <c r="A27" s="32">
        <f>IF(6&lt;=Settings!$B$12,6,"")</f>
        <v>6</v>
      </c>
      <c r="B27" s="33">
        <f>IF($A27="","",$B26*(1-Settings!$B$5))</f>
        <v>0.32768</v>
      </c>
      <c r="C27" s="33">
        <f>IF($A27="","",ROUND(($B27*Settings!$B$3)/Settings!$B$11,0)*Settings!$B$11)</f>
        <v>0.38</v>
      </c>
      <c r="D27" s="33">
        <f>IF($A27="","",ROUND(($C27*Settings!$B$4)/Settings!$B$11,0)*Settings!$B$11)</f>
        <v>0.14</v>
      </c>
      <c r="E27" s="33">
        <f>IF($A27="","",ROUND(($B27*Settings!$B$5)/Settings!$B$11,0)*Settings!$B$11)</f>
        <v>0.07</v>
      </c>
    </row>
    <row r="28">
      <c r="A28" s="32">
        <f>IF(7&lt;=Settings!$B$12,7,"")</f>
        <v>7</v>
      </c>
      <c r="B28" s="33">
        <f>IF($A28="","",$B27*(1-Settings!$B$5))</f>
        <v>0.262144</v>
      </c>
      <c r="C28" s="33">
        <f>IF($A28="","",ROUND(($B28*Settings!$B$3)/Settings!$B$11,0)*Settings!$B$11)</f>
        <v>0.3</v>
      </c>
      <c r="D28" s="33">
        <f>IF($A28="","",ROUND(($C28*Settings!$B$4)/Settings!$B$11,0)*Settings!$B$11)</f>
        <v>0.11</v>
      </c>
      <c r="E28" s="33">
        <f>IF($A28="","",ROUND(($B28*Settings!$B$5)/Settings!$B$11,0)*Settings!$B$11)</f>
        <v>0.05</v>
      </c>
    </row>
    <row r="29">
      <c r="A29" s="32">
        <f>IF(8&lt;=Settings!$B$12,8,"")</f>
        <v>8</v>
      </c>
      <c r="B29" s="33">
        <f>IF($A29="","",$B28*(1-Settings!$B$5))</f>
        <v>0.2097152</v>
      </c>
      <c r="C29" s="33">
        <f>IF($A29="","",ROUND(($B29*Settings!$B$3)/Settings!$B$11,0)*Settings!$B$11)</f>
        <v>0.24</v>
      </c>
      <c r="D29" s="33">
        <f>IF($A29="","",ROUND(($C29*Settings!$B$4)/Settings!$B$11,0)*Settings!$B$11)</f>
        <v>0.09</v>
      </c>
      <c r="E29" s="33">
        <f>IF($A29="","",ROUND(($B29*Settings!$B$5)/Settings!$B$11,0)*Settings!$B$11)</f>
        <v>0.04</v>
      </c>
    </row>
    <row r="30">
      <c r="A30" s="32">
        <f>IF(9&lt;=Settings!$B$12,9,"")</f>
        <v>9</v>
      </c>
      <c r="B30" s="33">
        <f>IF($A30="","",$B29*(1-Settings!$B$5))</f>
        <v>0.16777216</v>
      </c>
      <c r="C30" s="33">
        <f>IF($A30="","",ROUND(($B30*Settings!$B$3)/Settings!$B$11,0)*Settings!$B$11)</f>
        <v>0.19</v>
      </c>
      <c r="D30" s="33">
        <f>IF($A30="","",ROUND(($C30*Settings!$B$4)/Settings!$B$11,0)*Settings!$B$11)</f>
        <v>0.07</v>
      </c>
      <c r="E30" s="33">
        <f>IF($A30="","",ROUND(($B30*Settings!$B$5)/Settings!$B$11,0)*Settings!$B$11)</f>
        <v>0.03</v>
      </c>
    </row>
    <row r="31">
      <c r="A31" s="32">
        <f>IF(10&lt;=Settings!$B$12,10,"")</f>
        <v>10</v>
      </c>
      <c r="B31" s="33">
        <f>IF($A31="","",$B30*(1-Settings!$B$5))</f>
        <v>0.134217728</v>
      </c>
      <c r="C31" s="33">
        <f>IF($A31="","",ROUND(($B31*Settings!$B$3)/Settings!$B$11,0)*Settings!$B$11)</f>
        <v>0.15</v>
      </c>
      <c r="D31" s="33">
        <f>IF($A31="","",ROUND(($C31*Settings!$B$4)/Settings!$B$11,0)*Settings!$B$11)</f>
        <v>0.06</v>
      </c>
      <c r="E31" s="33">
        <f>IF($A31="","",ROUND(($B31*Settings!$B$5)/Settings!$B$11,0)*Settings!$B$11)</f>
        <v>0.03</v>
      </c>
    </row>
  </sheetData>
  <mergeCells count="1">
    <mergeCell ref="A20:E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IF($B2="BIG_SIDE",IF($AX$2&gt;0,$AX$2-$AS$2,0),IF($S$2&gt;0,$S$2*0.5,0))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IF($B3="BIG_SIDE",IF($AX$3&gt;0,$AX$3-$AS$3,0),IF($S$3&gt;0,$S$3*0.5,0))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IF($B3="BLOCKED",IF($BB2&gt;0,$BB2,$BA2),IF($B3="SMALL_SIDE",$AM3,$W3))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IF(AND($AQ3="MANUAL_READY",$BG3="YES"),"SMALL_SIDE",IF(OR($AP3="NO",$AQ3="DUAL_TAIL",$AQ3="DANGER",$AQ3="STOP",$AQ3="MANUAL_READY",$AQ3="STOP_CLEARED"),"BLOCKED","SMALL_SIDE"))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80</v>
      </c>
      <c r="L4" s="13" t="n">
        <v>60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IF($B4="BIG_SIDE",IF($AX$4&gt;0,$AX$4-$AS$4,0),IF($S$4&gt;0,$S$4*0.5,0))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YES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>
        <f>IF(AND($AQ4="MANUAL_READY",$BG4="YES"),"BIG_SIDE",IF(OR($AP4="NO",$AQ4="DUAL_TAIL",$AQ4="DANGER",$AQ4="STOP",$AQ4="MANUAL_READY",$AQ4="STOP_CLEARED"),"BLOCKED","BIG_SIDE"))</f>
        <v/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IF($B5="BIG_SIDE",IF($AX$5&gt;0,$AX$5-$AS$5,0),IF($S$5&gt;0,$S$5*0.5,0))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/>
      </c>
      <c r="AD5" s="12">
        <f>$AB5*Settings!$B$10</f>
        <v/>
      </c>
      <c r="AE5" s="12">
        <f>$AC5*Settings!$B$10</f>
        <v/>
      </c>
      <c r="AF5" s="12">
        <f>IF($B5="BLOCKED",IF($BB5&gt;0,$AF4,$C5),IF($B5="SMALL_SIDE",$E5,$C5))</f>
        <v/>
      </c>
      <c r="AG5" s="12">
        <f>IF($B5="BLOCKED",IF($BB4&gt;0,$BB4,$BA4),IF($B5="SMALL_SIDE",$AM5,$W5))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>
        <f>IF(AND($AQ5="MANUAL_READY",$BG5="YES"),"YES",IF(OR($AQ5="DUAL_TAIL",$AQ5="DANGER",$AQ5="STOP",$AQ5="STOP_CLEARED",$AQ5="MANUAL_READY"),"NO","YES"))</f>
        <v/>
      </c>
      <c r="AQ5" s="12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/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/>
      </c>
      <c r="BB5" s="12">
        <f>IF($AK5=TRUE,MAX(0,$AG5-$BE5),IF($B5="BLOCKED",MAX(0,$BB4-$BE5),0))</f>
        <v/>
      </c>
      <c r="BC5" s="12">
        <f>$BA5+$BB5</f>
        <v/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</row>
    <row r="6">
      <c r="A6" s="12" t="n">
        <v>5</v>
      </c>
      <c r="B6" s="13">
        <f>IF(AND($AQ5="MANUAL_READY",$BG5="YES"),"BIG_SIDE",IF(OR($AP5="NO",$AQ5="DUAL_TAIL",$AQ5="DANGER",$AQ5="STOP",$AQ5="MANUAL_READY",$AQ5="STOP_CLEARED"),"BLOCKED","BIG_SIDE"))</f>
        <v/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/>
      </c>
      <c r="G6" s="12">
        <f>IF($B6="BLOCKED",0,IFERROR(MAX(0,ROUND($F6/Settings!$B$11,0)*Settings!$B$11),0))</f>
        <v/>
      </c>
      <c r="H6" s="12">
        <f>IF($B6="BLOCKED","",$C6)</f>
        <v/>
      </c>
      <c r="I6" s="12">
        <f>IF($B6="BLOCKED",0,MAX(0,$G6*Settings!$B$4))</f>
        <v/>
      </c>
      <c r="J6" s="12">
        <f>IF($B6="BLOCKED",0,IFERROR(MAX(0,ROUND($I6/Settings!$B$11,0)*Settings!$B$11),0))</f>
        <v/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/>
      </c>
      <c r="O6" s="14">
        <f>IF($B6="SMALL_SIDE",$J6*ABS($L6)*Settings!$B$9,0)</f>
        <v/>
      </c>
      <c r="P6" s="15">
        <f>IF($B6="BIG_SIDE",$J6*ABS($L6)*Settings!$B$9,0)</f>
        <v/>
      </c>
      <c r="Q6" s="15">
        <f>IF($B6="SMALL_SIDE",$AL6*ABS($K6)*Settings!$B$9,0)</f>
        <v/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/>
      </c>
      <c r="U6" s="12">
        <f>MAX(0,$M6*Settings!$B$9)</f>
        <v/>
      </c>
      <c r="V6" s="12">
        <f>IF($B6="BIG_SIDE",IFERROR(MIN($D6,MAX(0,$T6/$U6)),0),0)</f>
        <v/>
      </c>
      <c r="W6" s="12">
        <f>IF($B6="BIG_SIDE",MAX(0,$D6-$V6),$AJ6)</f>
        <v/>
      </c>
      <c r="X6" s="19">
        <f>IF($B6="BIG_SIDE",IF($AX$6&gt;0,$AX$6-$AS$6,0),IF($S$6&gt;0,$S$6*0.5,0))</f>
        <v/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/>
      </c>
      <c r="AC6" s="12">
        <f>IF($B6="BLOCKED",$BC6,IF($B6="BIG_SIDE",$W6,IF($AK6=TRUE,$BC6,$AG6)))</f>
        <v/>
      </c>
      <c r="AD6" s="12">
        <f>$AB6*Settings!$B$10</f>
        <v/>
      </c>
      <c r="AE6" s="12">
        <f>$AC6*Settings!$B$10</f>
        <v/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>
        <f>IF(AND($AQ6="MANUAL_READY",$BG6="YES"),"YES",IF(OR($AQ6="DUAL_TAIL",$AQ6="DANGER",$AQ6="STOP",$AQ6="STOP_CLEARED",$AQ6="MANUAL_READY"),"NO","YES"))</f>
        <v/>
      </c>
      <c r="AQ6" s="12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/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IF($B6="BIG_SIDE",$V6*$U6,0)</f>
        <v/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>
        <f>IF($B6="BLOCKED","Заблокировано: DUAL_TAIL сохраняет оба хвоста до ручного закрытия","")</f>
        <v/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/>
      </c>
      <c r="BB6" s="12">
        <f>IF($AK6=TRUE,MAX(0,$AG6-$BE6),IF($B6="BLOCKED",MAX(0,$BB5-$BE6),0))</f>
        <v/>
      </c>
      <c r="BC6" s="12">
        <f>$BA6+$BB6</f>
        <v/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</row>
    <row r="7">
      <c r="A7" s="12" t="n">
        <v>6</v>
      </c>
      <c r="B7" s="13">
        <f>IF(AND($AQ6="MANUAL_READY",$BG6="YES"),"SMALL_SIDE",IF(OR($AP6="NO",$AQ6="DUAL_TAIL",$AQ6="DANGER",$AQ6="STOP",$AQ6="MANUAL_READY",$AQ6="STOP_CLEARED"),"BLOCKED","SMALL_SIDE"))</f>
        <v/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/>
      </c>
      <c r="G7" s="12">
        <f>IF($B7="BLOCKED",0,IFERROR(MAX(0,ROUND($F7/Settings!$B$11,0)*Settings!$B$11),0))</f>
        <v/>
      </c>
      <c r="H7" s="12">
        <f>IF($B7="BLOCKED","",$C7)</f>
        <v/>
      </c>
      <c r="I7" s="12">
        <f>IF($B7="BLOCKED",0,MAX(0,$G7*Settings!$B$4))</f>
        <v/>
      </c>
      <c r="J7" s="12">
        <f>IF($B7="BLOCKED",0,IFERROR(MAX(0,ROUND($I7/Settings!$B$11,0)*Settings!$B$11),0))</f>
        <v/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/>
      </c>
      <c r="O7" s="14">
        <f>IF($B7="SMALL_SIDE",$J7*ABS($L7)*Settings!$B$9,0)</f>
        <v/>
      </c>
      <c r="P7" s="15">
        <f>IF($B7="BIG_SIDE",$J7*ABS($L7)*Settings!$B$9,0)</f>
        <v/>
      </c>
      <c r="Q7" s="15">
        <f>IF($B7="SMALL_SIDE",$AL7*ABS($K7)*Settings!$B$9,0)</f>
        <v/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/>
      </c>
      <c r="U7" s="12">
        <f>MAX(0,$M7*Settings!$B$9)</f>
        <v/>
      </c>
      <c r="V7" s="12">
        <f>IF($B7="BIG_SIDE",IFERROR(MIN($D7,MAX(0,$T7/$U7)),0),0)</f>
        <v/>
      </c>
      <c r="W7" s="12">
        <f>IF($B7="BIG_SIDE",MAX(0,$D7-$V7),$AJ7)</f>
        <v/>
      </c>
      <c r="X7" s="19">
        <f>IF($B7="BIG_SIDE",IF($AX$7&gt;0,$AX$7-$AS$7,0),IF($S$7&gt;0,$S$7*0.5,0))</f>
        <v/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/>
      </c>
      <c r="AC7" s="12">
        <f>IF($B7="BLOCKED",$BC7,IF($B7="BIG_SIDE",$W7,IF($AK7=TRUE,$BC7,$AG7)))</f>
        <v/>
      </c>
      <c r="AD7" s="12">
        <f>$AB7*Settings!$B$10</f>
        <v/>
      </c>
      <c r="AE7" s="12">
        <f>$AC7*Settings!$B$10</f>
        <v/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>
        <f>IF(AND($AQ7="MANUAL_READY",$BG7="YES"),"YES",IF(OR($AQ7="DUAL_TAIL",$AQ7="DANGER",$AQ7="STOP",$AQ7="STOP_CLEARED",$AQ7="MANUAL_READY"),"NO","YES"))</f>
        <v/>
      </c>
      <c r="AQ7" s="12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/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IF($B7="BIG_SIDE",$V7*$U7,0)</f>
        <v/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>
        <f>IF($B7="BLOCKED","Заблокировано: DUAL_TAIL сохраняет оба хвоста до ручного закрытия","")</f>
        <v/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/>
      </c>
      <c r="BB7" s="12">
        <f>IF($AK7=TRUE,MAX(0,$AG7-$BE7),IF($B7="BLOCKED",MAX(0,$BB6-$BE7),0))</f>
        <v/>
      </c>
      <c r="BC7" s="12">
        <f>$BA7+$BB7</f>
        <v/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</row>
    <row r="8">
      <c r="A8" s="12" t="n">
        <v>7</v>
      </c>
      <c r="B8" s="13">
        <f>IF(AND($AQ7="MANUAL_READY",$BG7="YES"),"BIG_SIDE",IF(OR($AP7="NO",$AQ7="DUAL_TAIL",$AQ7="DANGER",$AQ7="STOP",$AQ7="MANUAL_READY",$AQ7="STOP_CLEARED"),"BLOCKED","BIG_SIDE"))</f>
        <v/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/>
      </c>
      <c r="G8" s="12">
        <f>IF($B8="BLOCKED",0,IFERROR(MAX(0,ROUND($F8/Settings!$B$11,0)*Settings!$B$11),0))</f>
        <v/>
      </c>
      <c r="H8" s="12">
        <f>IF($B8="BLOCKED","",$C8)</f>
        <v/>
      </c>
      <c r="I8" s="12">
        <f>IF($B8="BLOCKED",0,MAX(0,$G8*Settings!$B$4))</f>
        <v/>
      </c>
      <c r="J8" s="12">
        <f>IF($B8="BLOCKED",0,IFERROR(MAX(0,ROUND($I8/Settings!$B$11,0)*Settings!$B$11),0))</f>
        <v/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/>
      </c>
      <c r="O8" s="14">
        <f>IF($B8="SMALL_SIDE",$J8*ABS($L8)*Settings!$B$9,0)</f>
        <v/>
      </c>
      <c r="P8" s="15">
        <f>IF($B8="BIG_SIDE",$J8*ABS($L8)*Settings!$B$9,0)</f>
        <v/>
      </c>
      <c r="Q8" s="15">
        <f>IF($B8="SMALL_SIDE",$AL8*ABS($K8)*Settings!$B$9,0)</f>
        <v/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/>
      </c>
      <c r="U8" s="12">
        <f>MAX(0,$M8*Settings!$B$9)</f>
        <v/>
      </c>
      <c r="V8" s="12">
        <f>IF($B8="BIG_SIDE",IFERROR(MIN($D8,MAX(0,$T8/$U8)),0),0)</f>
        <v/>
      </c>
      <c r="W8" s="12">
        <f>IF($B8="BIG_SIDE",MAX(0,$D8-$V8),$AJ8)</f>
        <v/>
      </c>
      <c r="X8" s="19">
        <f>IF($B8="BIG_SIDE",IF($AX$8&gt;0,$AX$8-$AS$8,0),IF($S$8&gt;0,$S$8*0.5,0))</f>
        <v/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/>
      </c>
      <c r="AC8" s="12">
        <f>IF($B8="BLOCKED",$BC8,IF($B8="BIG_SIDE",$W8,IF($AK8=TRUE,$BC8,$AG8)))</f>
        <v/>
      </c>
      <c r="AD8" s="12">
        <f>$AB8*Settings!$B$10</f>
        <v/>
      </c>
      <c r="AE8" s="12">
        <f>$AC8*Settings!$B$10</f>
        <v/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>
        <f>IF(AND($AQ8="MANUAL_READY",$BG8="YES"),"YES",IF(OR($AQ8="DUAL_TAIL",$AQ8="DANGER",$AQ8="STOP",$AQ8="STOP_CLEARED",$AQ8="MANUAL_READY"),"NO","YES"))</f>
        <v/>
      </c>
      <c r="AQ8" s="12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/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IF($B8="BIG_SIDE",$V8*$U8,0)</f>
        <v/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>
        <f>IF($B8="BLOCKED","Заблокировано: DUAL_TAIL сохраняет оба хвоста до ручного закрытия","")</f>
        <v/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/>
      </c>
      <c r="BB8" s="12">
        <f>IF($AK8=TRUE,MAX(0,$AG8-$BE8),IF($B8="BLOCKED",MAX(0,$BB7-$BE8),0))</f>
        <v/>
      </c>
      <c r="BC8" s="12">
        <f>$BA8+$BB8</f>
        <v/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</row>
    <row r="9">
      <c r="A9" s="12" t="n">
        <v>8</v>
      </c>
      <c r="B9" s="13">
        <f>IF(AND($AQ8="MANUAL_READY",$BG8="YES"),"BIG_SIDE",IF(OR($AP8="NO",$AQ8="DUAL_TAIL",$AQ8="DANGER",$AQ8="STOP",$AQ8="MANUAL_READY",$AQ8="STOP_CLEARED"),"BLOCKED","BIG_SIDE"))</f>
        <v/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/>
      </c>
      <c r="G9" s="12">
        <f>IF($B9="BLOCKED",0,IFERROR(MAX(0,ROUND($F9/Settings!$B$11,0)*Settings!$B$11),0))</f>
        <v/>
      </c>
      <c r="H9" s="12">
        <f>IF($B9="BLOCKED","",$C9)</f>
        <v/>
      </c>
      <c r="I9" s="12">
        <f>IF($B9="BLOCKED",0,MAX(0,$G9*Settings!$B$4))</f>
        <v/>
      </c>
      <c r="J9" s="12">
        <f>IF($B9="BLOCKED",0,IFERROR(MAX(0,ROUND($I9/Settings!$B$11,0)*Settings!$B$11),0))</f>
        <v/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/>
      </c>
      <c r="O9" s="14">
        <f>IF($B9="SMALL_SIDE",$J9*ABS($L9)*Settings!$B$9,0)</f>
        <v/>
      </c>
      <c r="P9" s="15">
        <f>IF($B9="BIG_SIDE",$J9*ABS($L9)*Settings!$B$9,0)</f>
        <v/>
      </c>
      <c r="Q9" s="15">
        <f>IF($B9="SMALL_SIDE",$AL9*ABS($K9)*Settings!$B$9,0)</f>
        <v/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/>
      </c>
      <c r="U9" s="12">
        <f>MAX(0,$M9*Settings!$B$9)</f>
        <v/>
      </c>
      <c r="V9" s="12">
        <f>IF($B9="BIG_SIDE",IFERROR(MIN($D9,MAX(0,$T9/$U9)),0),0)</f>
        <v/>
      </c>
      <c r="W9" s="12">
        <f>IF($B9="BIG_SIDE",MAX(0,$D9-$V9),$AJ9)</f>
        <v/>
      </c>
      <c r="X9" s="19">
        <f>IF($B9="BIG_SIDE",IF($AX$9&gt;0,$AX$9-$AS$9,0),IF($S$9&gt;0,$S$9*0.5,0))</f>
        <v/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/>
      </c>
      <c r="AC9" s="12">
        <f>IF($B9="BLOCKED",$BC9,IF($B9="BIG_SIDE",$W9,IF($AK9=TRUE,$BC9,$AG9)))</f>
        <v/>
      </c>
      <c r="AD9" s="12">
        <f>$AB9*Settings!$B$10</f>
        <v/>
      </c>
      <c r="AE9" s="12">
        <f>$AC9*Settings!$B$10</f>
        <v/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>
        <f>IF(AND($AQ9="MANUAL_READY",$BG9="YES"),"YES",IF(OR($AQ9="DUAL_TAIL",$AQ9="DANGER",$AQ9="STOP",$AQ9="STOP_CLEARED",$AQ9="MANUAL_READY"),"NO","YES"))</f>
        <v/>
      </c>
      <c r="AQ9" s="12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/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IF($B9="BIG_SIDE",$V9*$U9,0)</f>
        <v/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>
        <f>IF($B9="BLOCKED","Заблокировано: DUAL_TAIL сохраняет оба хвоста до ручного закрытия","")</f>
        <v/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/>
      </c>
      <c r="BB9" s="12">
        <f>IF($AK9=TRUE,MAX(0,$AG9-$BE9),IF($B9="BLOCKED",MAX(0,$BB8-$BE9),0))</f>
        <v/>
      </c>
      <c r="BC9" s="12">
        <f>$BA9+$BB9</f>
        <v/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</row>
    <row r="10">
      <c r="A10" s="12" t="n">
        <v>9</v>
      </c>
      <c r="B10" s="13">
        <f>IF(AND($AQ9="MANUAL_READY",$BG9="YES"),"BIG_SIDE",IF(OR($AP9="NO",$AQ9="DUAL_TAIL",$AQ9="DANGER",$AQ9="STOP",$AQ9="MANUAL_READY",$AQ9="STOP_CLEARED"),"BLOCKED","BIG_SIDE"))</f>
        <v/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/>
      </c>
      <c r="G10" s="12">
        <f>IF($B10="BLOCKED",0,IFERROR(MAX(0,ROUND($F10/Settings!$B$11,0)*Settings!$B$11),0))</f>
        <v/>
      </c>
      <c r="H10" s="12">
        <f>IF($B10="BLOCKED","",$C10)</f>
        <v/>
      </c>
      <c r="I10" s="12">
        <f>IF($B10="BLOCKED",0,MAX(0,$G10*Settings!$B$4))</f>
        <v/>
      </c>
      <c r="J10" s="12">
        <f>IF($B10="BLOCKED",0,IFERROR(MAX(0,ROUND($I10/Settings!$B$11,0)*Settings!$B$11),0))</f>
        <v/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/>
      </c>
      <c r="O10" s="14">
        <f>IF($B10="SMALL_SIDE",$J10*ABS($L10)*Settings!$B$9,0)</f>
        <v/>
      </c>
      <c r="P10" s="15">
        <f>IF($B10="BIG_SIDE",$J10*ABS($L10)*Settings!$B$9,0)</f>
        <v/>
      </c>
      <c r="Q10" s="15">
        <f>IF($B10="SMALL_SIDE",$AL10*ABS($K10)*Settings!$B$9,0)</f>
        <v/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/>
      </c>
      <c r="U10" s="12">
        <f>MAX(0,$M10*Settings!$B$9)</f>
        <v/>
      </c>
      <c r="V10" s="12">
        <f>IF($B10="BIG_SIDE",IFERROR(MIN($D10,MAX(0,$T10/$U10)),0),0)</f>
        <v/>
      </c>
      <c r="W10" s="12">
        <f>IF($B10="BIG_SIDE",MAX(0,$D10-$V10),$AJ10)</f>
        <v/>
      </c>
      <c r="X10" s="19">
        <f>IF($B10="BIG_SIDE",IF($AX$10&gt;0,$AX$10-$AS$10,0),IF($S$10&gt;0,$S$10*0.5,0))</f>
        <v/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/>
      </c>
      <c r="AC10" s="12">
        <f>IF($B10="BLOCKED",$BC10,IF($B10="BIG_SIDE",$W10,IF($AK10=TRUE,$BC10,$AG10)))</f>
        <v/>
      </c>
      <c r="AD10" s="12">
        <f>$AB10*Settings!$B$10</f>
        <v/>
      </c>
      <c r="AE10" s="12">
        <f>$AC10*Settings!$B$10</f>
        <v/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>
        <f>IF(AND($AQ10="MANUAL_READY",$BG10="YES"),"YES",IF(OR($AQ10="DUAL_TAIL",$AQ10="DANGER",$AQ10="STOP",$AQ10="STOP_CLEARED",$AQ10="MANUAL_READY"),"NO","YES"))</f>
        <v/>
      </c>
      <c r="AQ10" s="12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/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IF($B10="BIG_SIDE",$V10*$U10,0)</f>
        <v/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>
        <f>IF($B10="BLOCKED","Заблокировано: DUAL_TAIL сохраняет оба хвоста до ручного закрытия","")</f>
        <v/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/>
      </c>
      <c r="BB10" s="12">
        <f>IF($AK10=TRUE,MAX(0,$AG10-$BE10),IF($B10="BLOCKED",MAX(0,$BB9-$BE10),0))</f>
        <v/>
      </c>
      <c r="BC10" s="12">
        <f>$BA10+$BB10</f>
        <v/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</row>
    <row r="11">
      <c r="A11" s="12" t="n">
        <v>10</v>
      </c>
      <c r="B11" s="13">
        <f>IF(AND($AQ10="MANUAL_READY",$BG10="YES"),"BIG_SIDE",IF(OR($AP10="NO",$AQ10="DUAL_TAIL",$AQ10="DANGER",$AQ10="STOP",$AQ10="MANUAL_READY",$AQ10="STOP_CLEARED"),"BLOCKED","BIG_SIDE"))</f>
        <v/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/>
      </c>
      <c r="G11" s="12">
        <f>IF($B11="BLOCKED",0,IFERROR(MAX(0,ROUND($F11/Settings!$B$11,0)*Settings!$B$11),0))</f>
        <v/>
      </c>
      <c r="H11" s="12">
        <f>IF($B11="BLOCKED","",$C11)</f>
        <v/>
      </c>
      <c r="I11" s="12">
        <f>IF($B11="BLOCKED",0,MAX(0,$G11*Settings!$B$4))</f>
        <v/>
      </c>
      <c r="J11" s="12">
        <f>IF($B11="BLOCKED",0,IFERROR(MAX(0,ROUND($I11/Settings!$B$11,0)*Settings!$B$11),0))</f>
        <v/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/>
      </c>
      <c r="O11" s="14">
        <f>IF($B11="SMALL_SIDE",$J11*ABS($L11)*Settings!$B$9,0)</f>
        <v/>
      </c>
      <c r="P11" s="15">
        <f>IF($B11="BIG_SIDE",$J11*ABS($L11)*Settings!$B$9,0)</f>
        <v/>
      </c>
      <c r="Q11" s="15">
        <f>IF($B11="SMALL_SIDE",$AL11*ABS($K11)*Settings!$B$9,0)</f>
        <v/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/>
      </c>
      <c r="U11" s="12">
        <f>MAX(0,$M11*Settings!$B$9)</f>
        <v/>
      </c>
      <c r="V11" s="12">
        <f>IF($B11="BIG_SIDE",IFERROR(MIN($D11,MAX(0,$T11/$U11)),0),0)</f>
        <v/>
      </c>
      <c r="W11" s="12">
        <f>IF($B11="BIG_SIDE",MAX(0,$D11-$V11),$AJ11)</f>
        <v/>
      </c>
      <c r="X11" s="19">
        <f>IF($B11="BIG_SIDE",IF($AX$11&gt;0,$AX$11-$AS$11,0),IF($S$11&gt;0,$S$11*0.5,0))</f>
        <v/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/>
      </c>
      <c r="AC11" s="12">
        <f>IF($B11="BLOCKED",$BC11,IF($B11="BIG_SIDE",$W11,IF($AK11=TRUE,$BC11,$AG11)))</f>
        <v/>
      </c>
      <c r="AD11" s="12">
        <f>$AB11*Settings!$B$10</f>
        <v/>
      </c>
      <c r="AE11" s="12">
        <f>$AC11*Settings!$B$10</f>
        <v/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>
        <f>IF(AND($AQ11="MANUAL_READY",$BG11="YES"),"YES",IF(OR($AQ11="DUAL_TAIL",$AQ11="DANGER",$AQ11="STOP",$AQ11="STOP_CLEARED",$AQ11="MANUAL_READY"),"NO","YES"))</f>
        <v/>
      </c>
      <c r="AQ11" s="12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/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IF($B11="BIG_SIDE",$V11*$U11,0)</f>
        <v/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>
        <f>IF($B11="BLOCKED","Заблокировано: DUAL_TAIL сохраняет оба хвоста до ручного закрытия","")</f>
        <v/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/>
      </c>
      <c r="BB11" s="12">
        <f>IF($AK11=TRUE,MAX(0,$AG11-$BE11),IF($B11="BLOCKED",MAX(0,$BB10-$BE11),0))</f>
        <v/>
      </c>
      <c r="BC11" s="12">
        <f>$BA11+$BB11</f>
        <v/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SELL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IF($B2="BIG_SIDE",IF($AX$2&gt;0,$AX$2-$AS$2,0),IF($S$2&gt;0,$S$2*0.5,0))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100</v>
      </c>
      <c r="L3" s="13" t="n">
        <v>-40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IF($B3="BIG_SIDE",IF($AX$3&gt;0,$AX$3-$AS$3,0),IF($S$3&gt;0,$S$3*0.5,0))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IF($B3="BLOCKED",IF($BB2&gt;0,$BB2,$BA2),IF($B3="SMALL_SIDE",$AM3,$W3))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</row>
    <row r="4">
      <c r="A4" s="12" t="n">
        <v>3</v>
      </c>
      <c r="B4" s="13">
        <f>IF(AND($AQ3="MANUAL_READY",$BG3="YES"),"BIG_SIDE",IF(OR($AP3="NO",$AQ3="DUAL_TAIL",$AQ3="DANGER",$AQ3="STOP",$AQ3="MANUAL_READY",$AQ3="STOP_CLEARED"),"BLOCKED","BIG_SIDE"))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/>
      </c>
      <c r="O4" s="14">
        <f>IF($B4="SMALL_SIDE",$J4*ABS($L4)*Settings!$B$9,0)</f>
        <v/>
      </c>
      <c r="P4" s="15">
        <f>IF($B4="BIG_SIDE",$J4*ABS($L4)*Settings!$B$9,0)</f>
        <v/>
      </c>
      <c r="Q4" s="15">
        <f>IF($B4="SMALL_SIDE",$AL4*ABS($K4)*Settings!$B$9,0)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MAX(0,$M4*Settings!$B$9)</f>
        <v/>
      </c>
      <c r="V4" s="12">
        <f>IF($B4="BIG_SIDE",IFERROR(MIN($D4,MAX(0,$T4/$U4)),0),0)</f>
        <v/>
      </c>
      <c r="W4" s="12">
        <f>IF($B4="BIG_SIDE",MAX(0,$D4-$V4),$AJ4)</f>
        <v/>
      </c>
      <c r="X4" s="19">
        <f>IF($B4="BIG_SIDE",IF($AX$4&gt;0,$AX$4-$AS$4,0),IF($S$4&gt;0,$S$4*0.5,0))</f>
        <v/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IF($B4="BIG_SIDE",$V4*$U4,0)</f>
        <v/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IF(AND($AQ4="MANUAL_READY",$BG4="YES"),"SMALL_SIDE",IF(OR($AP4="NO",$AQ4="DUAL_TAIL",$AQ4="DANGER",$AQ4="STOP",$AQ4="MANUAL_READY",$AQ4="STOP_CLEARED"),"BLOCKED","SMALL_SIDE"))</f>
        <v>SMALL_SIDE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 t="n">
        <v>80</v>
      </c>
      <c r="L5" s="13" t="n">
        <v>60</v>
      </c>
      <c r="M5" s="13" t="n">
        <v>100</v>
      </c>
      <c r="N5" s="14">
        <f>IF($B5="BIG_SIDE",$G5*MAX(0,$K5)*Settings!$B$9,0)</f>
        <v/>
      </c>
      <c r="O5" s="14">
        <f>IF($B5="SMALL_SIDE",$J5*ABS($L5)*Settings!$B$9,0)</f>
        <v/>
      </c>
      <c r="P5" s="15">
        <f>IF($B5="BIG_SIDE",$J5*ABS($L5)*Settings!$B$9,0)</f>
        <v/>
      </c>
      <c r="Q5" s="15">
        <f>IF($B5="SMALL_SIDE",$AL5*ABS($K5)*Settings!$B$9,0)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MAX(0,$M5*Settings!$B$9)</f>
        <v/>
      </c>
      <c r="V5" s="12">
        <f>IF($B5="BIG_SIDE",IFERROR(MIN($D5,MAX(0,$T5/$U5)),0),0)</f>
        <v/>
      </c>
      <c r="W5" s="12">
        <f>IF($B5="BIG_SIDE",MAX(0,$D5-$V5),$AJ5)</f>
        <v/>
      </c>
      <c r="X5" s="19">
        <f>IF($B5="BIG_SIDE",IF($AX$5&gt;0,$AX$5-$AS$5,0),IF($S$5&gt;0,$S$5*0.5,0))</f>
        <v/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>0.9896</v>
      </c>
      <c r="AD5" s="12">
        <f>$AB5*Settings!$B$10</f>
        <v/>
      </c>
      <c r="AE5" s="12">
        <f>$AC5*Settings!$B$10</f>
        <v>989.6</v>
      </c>
      <c r="AF5" s="12">
        <f>IF($B5="BLOCKED",IF($BB5&gt;0,$AF4,$C5),IF($B5="SMALL_SIDE",$E5,$C5))</f>
        <v/>
      </c>
      <c r="AG5" s="12">
        <f>IF($B5="BLOCKED",IF($BB4&gt;0,$BB4,$BA4),IF($B5="SMALL_SIDE",$AM5,$W5))</f>
        <v>0.468</v>
      </c>
      <c r="AH5" s="13" t="inlineStr">
        <is>
          <t>NO</t>
        </is>
      </c>
      <c r="AI5" s="13" t="n">
        <v>0</v>
      </c>
      <c r="AJ5" s="12">
        <f>IF($B5="SMALL_SIDE",MAX(0,$D5-$AV5),0)</f>
        <v>0.5216</v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DUAL_TAIL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5" s="20">
        <f>IF($B5="BIG_SIDE",$V5*$U5,0)</f>
        <v/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0.5216</v>
      </c>
      <c r="BB5" s="12">
        <f>IF($AK5=TRUE,MAX(0,$AG5-$BE5),IF($B5="BLOCKED",MAX(0,$BB4-$BE5),0))</f>
        <v>0.468</v>
      </c>
      <c r="BC5" s="12">
        <f>$BA5+$BB5</f>
        <v>0.9896</v>
      </c>
      <c r="BD5" s="13">
        <v>0</v>
      </c>
      <c r="BE5" s="13">
        <v>0</v>
      </c>
      <c r="BF5" s="20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IF($B6="BIG_SIDE",IF($AX$6&gt;0,$AX$6-$AS$6,0),IF($S$6&gt;0,$S$6*0.5,0))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0.9896</v>
      </c>
      <c r="AC6" s="12">
        <f>IF($B6="BLOCKED",$BC6,IF($B6="BIG_SIDE",$W6,IF($AK6=TRUE,$BC6,$AG6)))</f>
        <v>0.9896</v>
      </c>
      <c r="AD6" s="12">
        <f>$AB6*Settings!$B$10</f>
        <v>989.6</v>
      </c>
      <c r="AE6" s="12">
        <f>$AC6*Settings!$B$10</f>
        <v>989.6</v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0.5216</v>
      </c>
      <c r="BB6" s="12">
        <f>IF($AK6=TRUE,MAX(0,$AG6-$BE6),IF($B6="BLOCKED",MAX(0,$BB5-$BE6),0))</f>
        <v>0.468</v>
      </c>
      <c r="BC6" s="12">
        <f>$BA6+$BB6</f>
        <v>0.9896</v>
      </c>
      <c r="BD6" s="13">
        <v>0</v>
      </c>
      <c r="BE6" s="13">
        <v>0</v>
      </c>
      <c r="BF6" s="20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IF(AND($AQ6="MANUAL_READY",$BG6="YES"),"BIG_SIDE",IF(OR($AP6="NO",$AQ6="DUAL_TAIL",$AQ6="DANGER",$AQ6="STOP",$AQ6="MANUAL_READY",$AQ6="STOP_CLEARED"),"BLOCKED","BIG_SIDE"))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100</v>
      </c>
      <c r="L7" s="13" t="n">
        <v>-40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IF($B7="BIG_SIDE",IF($AX$7&gt;0,$AX$7-$AS$7,0),IF($S$7&gt;0,$S$7*0.5,0))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0.9896</v>
      </c>
      <c r="AC7" s="12">
        <f>IF($B7="BLOCKED",$BC7,IF($B7="BIG_SIDE",$W7,IF($AK7=TRUE,$BC7,$AG7)))</f>
        <v>0.9896</v>
      </c>
      <c r="AD7" s="12">
        <f>$AB7*Settings!$B$10</f>
        <v>989.6</v>
      </c>
      <c r="AE7" s="12">
        <f>$AC7*Settings!$B$10</f>
        <v>989.6</v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NO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0.5216</v>
      </c>
      <c r="BB7" s="12">
        <f>IF($AK7=TRUE,MAX(0,$AG7-$BE7),IF($B7="BLOCKED",MAX(0,$BB6-$BE7),0))</f>
        <v>0.468</v>
      </c>
      <c r="BC7" s="12">
        <f>$BA7+$BB7</f>
        <v>0.9896</v>
      </c>
      <c r="BD7" s="13">
        <v>0</v>
      </c>
      <c r="BE7" s="13">
        <v>0</v>
      </c>
      <c r="BF7" s="20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IF($B8="BIG_SIDE",IF($AX$8&gt;0,$AX$8-$AS$8,0),IF($S$8&gt;0,$S$8*0.5,0))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0.9896</v>
      </c>
      <c r="AC8" s="12">
        <f>IF($B8="BLOCKED",$BC8,IF($B8="BIG_SIDE",$W8,IF($AK8=TRUE,$BC8,$AG8)))</f>
        <v>0.9896</v>
      </c>
      <c r="AD8" s="12">
        <f>$AB8*Settings!$B$10</f>
        <v>989.6</v>
      </c>
      <c r="AE8" s="12">
        <f>$AC8*Settings!$B$10</f>
        <v>989.6</v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0.5216</v>
      </c>
      <c r="BB8" s="12">
        <f>IF($AK8=TRUE,MAX(0,$AG8-$BE8),IF($B8="BLOCKED",MAX(0,$BB7-$BE8),0))</f>
        <v>0.468</v>
      </c>
      <c r="BC8" s="12">
        <f>$BA8+$BB8</f>
        <v>0.9896</v>
      </c>
      <c r="BD8" s="13">
        <v>0</v>
      </c>
      <c r="BE8" s="13">
        <v>0</v>
      </c>
      <c r="BF8" s="20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IF(AND($AQ8="MANUAL_READY",$BG8="YES"),"SMALL_SIDE",IF(OR($AP8="NO",$AQ8="DUAL_TAIL",$AQ8="DANGER",$AQ8="STOP",$AQ8="MANUAL_READY",$AQ8="STOP_CLEARED"),"BLOCKED","SMALL_SIDE"))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80</v>
      </c>
      <c r="L9" s="13" t="n">
        <v>60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IF($B9="BIG_SIDE",IF($AX$9&gt;0,$AX$9-$AS$9,0),IF($S$9&gt;0,$S$9*0.5,0))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0.9896</v>
      </c>
      <c r="AC9" s="12">
        <f>IF($B9="BLOCKED",$BC9,IF($B9="BIG_SIDE",$W9,IF($AK9=TRUE,$BC9,$AG9)))</f>
        <v>0.9896</v>
      </c>
      <c r="AD9" s="12">
        <f>$AB9*Settings!$B$10</f>
        <v>989.6</v>
      </c>
      <c r="AE9" s="12">
        <f>$AC9*Settings!$B$10</f>
        <v>989.6</v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0.5216</v>
      </c>
      <c r="BB9" s="12">
        <f>IF($AK9=TRUE,MAX(0,$AG9-$BE9),IF($B9="BLOCKED",MAX(0,$BB8-$BE9),0))</f>
        <v>0.468</v>
      </c>
      <c r="BC9" s="12">
        <f>$BA9+$BB9</f>
        <v>0.9896</v>
      </c>
      <c r="BD9" s="13">
        <v>0</v>
      </c>
      <c r="BE9" s="13">
        <v>0</v>
      </c>
      <c r="BF9" s="20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IF($B10="BIG_SIDE",IF($AX$10&gt;0,$AX$10-$AS$10,0),IF($S$10&gt;0,$S$10*0.5,0))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0.9896</v>
      </c>
      <c r="AC10" s="12">
        <f>IF($B10="BLOCKED",$BC10,IF($B10="BIG_SIDE",$W10,IF($AK10=TRUE,$BC10,$AG10)))</f>
        <v>0.9896</v>
      </c>
      <c r="AD10" s="12">
        <f>$AB10*Settings!$B$10</f>
        <v>989.6</v>
      </c>
      <c r="AE10" s="12">
        <f>$AC10*Settings!$B$10</f>
        <v>989.6</v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0.5216</v>
      </c>
      <c r="BB10" s="12">
        <f>IF($AK10=TRUE,MAX(0,$AG10-$BE10),IF($B10="BLOCKED",MAX(0,$BB9-$BE10),0))</f>
        <v>0.468</v>
      </c>
      <c r="BC10" s="12">
        <f>$BA10+$BB10</f>
        <v>0.9896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IF($B11="BIG_SIDE",IF($AX$11&gt;0,$AX$11-$AS$11,0),IF($S$11&gt;0,$S$11*0.5,0))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0.9896</v>
      </c>
      <c r="AC11" s="12">
        <f>IF($B11="BLOCKED",$BC11,IF($B11="BIG_SIDE",$W11,IF($AK11=TRUE,$BC11,$AG11)))</f>
        <v>0.9896</v>
      </c>
      <c r="AD11" s="12">
        <f>$AB11*Settings!$B$10</f>
        <v>989.6</v>
      </c>
      <c r="AE11" s="12">
        <f>$AC11*Settings!$B$10</f>
        <v>989.6</v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0.5216</v>
      </c>
      <c r="BB11" s="12">
        <f>IF($AK11=TRUE,MAX(0,$AG11-$BE11),IF($B11="BLOCKED",MAX(0,$BB10-$BE11),0))</f>
        <v>0.468</v>
      </c>
      <c r="BC11" s="12">
        <f>$BA11+$BB11</f>
        <v>0.9896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G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</row>
    <row r="2">
      <c r="A2" s="12" t="n">
        <v>1</v>
      </c>
      <c r="B2" s="13" t="inlineStr">
        <is>
          <t>BIG_SIDE</t>
        </is>
      </c>
      <c r="C2" s="13" t="inlineStr">
        <is>
          <t>BUY</t>
        </is>
      </c>
      <c r="D2" s="13">
        <f>Settings!$B$2</f>
        <v/>
      </c>
      <c r="E2" s="12">
        <f>IF($B2="BLOCKED","",IF($C2="SELL","BUY","SELL"))</f>
        <v/>
      </c>
      <c r="F2" s="12">
        <f>IF($B2="BLOCKED",0,MAX(0,$D2*Settings!$B$3))</f>
        <v/>
      </c>
      <c r="G2" s="12">
        <f>IF($B2="BLOCKED",0,IFERROR(MAX(0,ROUND($F2/Settings!$B$11,0)*Settings!$B$11),0))</f>
        <v/>
      </c>
      <c r="H2" s="12">
        <f>IF($B2="BLOCKED","",$C2)</f>
        <v/>
      </c>
      <c r="I2" s="12">
        <f>IF($B2="BLOCKED",0,MAX(0,$G2*Settings!$B$4))</f>
        <v/>
      </c>
      <c r="J2" s="12">
        <f>IF($B2="BLOCKED",0,IFERROR(MAX(0,ROUND($I2/Settings!$B$11,0)*Settings!$B$11),0))</f>
        <v/>
      </c>
      <c r="K2" s="13" t="n">
        <v>100</v>
      </c>
      <c r="L2" s="13" t="n">
        <v>-40</v>
      </c>
      <c r="M2" s="13" t="n">
        <v>100</v>
      </c>
      <c r="N2" s="14">
        <f>IF($B2="BIG_SIDE",$G2*MAX(0,$K2)*Settings!$B$9,0)</f>
        <v/>
      </c>
      <c r="O2" s="14">
        <f>IF($B2="SMALL_SIDE",$J2*ABS($L2)*Settings!$B$9,0)</f>
        <v/>
      </c>
      <c r="P2" s="15">
        <f>IF($B2="BIG_SIDE",$J2*ABS($L2)*Settings!$B$9,0)</f>
        <v/>
      </c>
      <c r="Q2" s="15">
        <f>IF($B2="SMALL_SIDE",$AL2*ABS($K2)*Settings!$B$9,0)</f>
        <v/>
      </c>
      <c r="R2" s="15">
        <f>$AT2*$AU2</f>
        <v/>
      </c>
      <c r="S2" s="14">
        <f>IF($B2="BIG_SIDE",$N2-$P2-$R2,IF($B2="SMALL_SIDE",$O2-$Q2-$R2,0))</f>
        <v/>
      </c>
      <c r="T2" s="12">
        <f>IF(AND($B2="BIG_SIDE",$AX2&gt;0),$AX2*Settings!$B$5,0)</f>
        <v/>
      </c>
      <c r="U2" s="12">
        <f>MAX(0,$M2*Settings!$B$9)</f>
        <v/>
      </c>
      <c r="V2" s="12">
        <f>IF($B2="BIG_SIDE",IFERROR(MIN($D2,MAX(0,$T2/$U2)),0),0)</f>
        <v/>
      </c>
      <c r="W2" s="12">
        <f>IF($B2="BIG_SIDE",MAX(0,$D2-$V2),$AJ2)</f>
        <v/>
      </c>
      <c r="X2" s="19">
        <f>IF($B2="BIG_SIDE",IF($AX$2&gt;0,$AX$2-$AS$2,0),IF($S$2&gt;0,$S$2*0.5,0))</f>
        <v/>
      </c>
      <c r="Y2" s="19">
        <f>X2</f>
        <v/>
      </c>
      <c r="Z2" s="12" t="n">
        <v>0</v>
      </c>
      <c r="AA2" s="12">
        <f>IF($B2="BLOCKED",$Z2+$BF2,IF($B2="BIG_SIDE",$Z2+$AX2-$AS2-$AZ2,IF($B2="SMALL_SIDE",$Z2+$S2+$AI2,$Z2+$S2)))</f>
        <v/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IF($B2="BIG_SIDE",$V2*$U2,0)</f>
        <v/>
      </c>
      <c r="AT2" s="12">
        <f>IF($B2="BIG_SIDE",$G2+$J2+$V2,IF($B2="SMALL_SIDE",$J2+$AL2+$AV2,0))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/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</row>
    <row r="3">
      <c r="A3" s="12" t="n">
        <v>2</v>
      </c>
      <c r="B3" s="13" t="str">
        <f>IF(AND($AQ2="MANUAL_READY",$BG2="YES"),"SMALL_SIDE",IF(OR($AP2="NO",$AQ2="DUAL_TAIL",$AQ2="DANGER",$AQ2="STOP",$AQ2="MANUAL_READY",$AQ2="STOP_CLEARED"),"BLOCKED","SMALL_SIDE"))</f>
        <v>SMALL_SIDE</v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 t="n">
        <v>80</v>
      </c>
      <c r="L3" s="13" t="n">
        <v>60</v>
      </c>
      <c r="M3" s="13" t="n">
        <v>100</v>
      </c>
      <c r="N3" s="14">
        <f>IF($B3="BIG_SIDE",$G3*MAX(0,$K3)*Settings!$B$9,0)</f>
        <v/>
      </c>
      <c r="O3" s="14">
        <f>IF($B3="SMALL_SIDE",$J3*ABS($L3)*Settings!$B$9,0)</f>
        <v/>
      </c>
      <c r="P3" s="15">
        <f>IF($B3="BIG_SIDE",$J3*ABS($L3)*Settings!$B$9,0)</f>
        <v/>
      </c>
      <c r="Q3" s="15">
        <f>IF($B3="SMALL_SIDE",$AL3*ABS($K3)*Settings!$B$9,0)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MAX(0,$M3*Settings!$B$9)</f>
        <v/>
      </c>
      <c r="V3" s="12">
        <f>IF($B3="BIG_SIDE",IFERROR(MIN($D3,MAX(0,$T3/$U3)),0),0)</f>
        <v/>
      </c>
      <c r="W3" s="12">
        <f>IF($B3="BIG_SIDE",MAX(0,$D3-$V3),$AJ3)</f>
        <v/>
      </c>
      <c r="X3" s="19">
        <f>IF($B3="BIG_SIDE",IF($AX$3&gt;0,$AX$3-$AS$3,0),IF($S$3&gt;0,$S$3*0.5,0))</f>
        <v/>
      </c>
      <c r="Y3" s="19">
        <f>$Y2+$X3</f>
        <v/>
      </c>
      <c r="Z3" s="12">
        <f>$AA2</f>
        <v/>
      </c>
      <c r="AA3" s="12">
        <f>IF($B3="BLOCKED",$Z3+$BF3,IF($B3="BIG_SIDE",$Z3+$AX3-$AS3-$AZ3,IF($B3="SMALL_SIDE",$Z3+$S3+$AI3,$Z3+$S3)))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>1.5306</v>
      </c>
      <c r="AD3" s="12">
        <f>$AB3*Settings!$B$10</f>
        <v/>
      </c>
      <c r="AE3" s="12">
        <f>$AC3*Settings!$B$10</f>
        <v>1530.6</v>
      </c>
      <c r="AF3" s="12">
        <f>IF($B3="BLOCKED",IF($BB3&gt;0,$AF2,$C3),IF($B3="SMALL_SIDE",$E3,$C3))</f>
        <v/>
      </c>
      <c r="AG3" s="12">
        <f>IF($B3="BLOCKED",IF($BB2&gt;0,$BB2,$BA2),IF($B3="SMALL_SIDE",$AM3,$W3))</f>
        <v>0.7254</v>
      </c>
      <c r="AH3" s="13" t="inlineStr">
        <is>
          <t>NO</t>
        </is>
      </c>
      <c r="AI3" s="13" t="n">
        <v>0</v>
      </c>
      <c r="AJ3" s="12">
        <f>IF($B3="SMALL_SIDE",MAX(0,$D3-$AV3),0)</f>
        <v>0.8052</v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 t="str">
        <f>IF(AND($AQ3="MANUAL_READY",$BG3="YES"),"YES",IF(OR($AQ3="DUAL_TAIL",$AQ3="DANGER",$AQ3="STOP",$AQ3="STOP_CLEARED",$AQ3="MANUAL_READY"),"NO","YES"))</f>
        <v>NO</v>
      </c>
      <c r="AQ3" s="12" t="str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>DUAL_TAIL</v>
      </c>
      <c r="AR3" s="12" t="str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3" s="20">
        <f>IF($B3="BIG_SIDE",$V3*$U3,0)</f>
        <v/>
      </c>
      <c r="AT3" s="12">
        <f>IF($B3="BIG_SIDE",$G3+$J3+$V3,IF($B3="SMALL_SIDE",$J3+$AL3+$AV3,0))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>0.8052</v>
      </c>
      <c r="BB3" s="12">
        <f>IF($AK3=TRUE,MAX(0,$AG3-$BE3),IF($B3="BLOCKED",MAX(0,$BB2-$BE3),0))</f>
        <v>0.7254</v>
      </c>
      <c r="BC3" s="12">
        <f>$BA3+$BB3</f>
        <v>1.5306</v>
      </c>
      <c r="BD3" s="13">
        <v>0</v>
      </c>
      <c r="BE3" s="13">
        <v>0</v>
      </c>
      <c r="BF3" s="20">
        <v>0</v>
      </c>
      <c r="BG3" s="13" t="inlineStr">
        <is>
          <t>NO</t>
        </is>
      </c>
    </row>
    <row r="4">
      <c r="A4" s="12" t="n">
        <v>3</v>
      </c>
      <c r="B4" s="13" t="str">
        <f>IF(AND($AQ3="MANUAL_READY",$BG3="YES"),"BIG_SIDE",IF(OR($AP3="NO",$AQ3="DUAL_TAIL",$AQ3="DANGER",$AQ3="STOP",$AQ3="MANUAL_READY",$AQ3="STOP_CLEARED"),"BLOCKED","BIG_SIDE"))</f>
        <v>BLOCKED</v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>0</v>
      </c>
      <c r="G4" s="12">
        <f>IF($B4="BLOCKED",0,IFERROR(MAX(0,ROUND($F4/Settings!$B$11,0)*Settings!$B$11),0))</f>
        <v>0</v>
      </c>
      <c r="H4" s="12">
        <f>IF($B4="BLOCKED","",$C4)</f>
        <v/>
      </c>
      <c r="I4" s="12">
        <f>IF($B4="BLOCKED",0,MAX(0,$G4*Settings!$B$4))</f>
        <v>0</v>
      </c>
      <c r="J4" s="12">
        <f>IF($B4="BLOCKED",0,IFERROR(MAX(0,ROUND($I4/Settings!$B$11,0)*Settings!$B$11),0))</f>
        <v>0</v>
      </c>
      <c r="K4" s="13" t="n">
        <v>100</v>
      </c>
      <c r="L4" s="13" t="n">
        <v>-40</v>
      </c>
      <c r="M4" s="13" t="n">
        <v>100</v>
      </c>
      <c r="N4" s="14">
        <f>IF($B4="BIG_SIDE",$G4*MAX(0,$K4)*Settings!$B$9,0)</f>
        <v>0</v>
      </c>
      <c r="O4" s="14">
        <f>IF($B4="SMALL_SIDE",$J4*ABS($L4)*Settings!$B$9,0)</f>
        <v>0</v>
      </c>
      <c r="P4" s="15">
        <f>IF($B4="BIG_SIDE",$J4*ABS($L4)*Settings!$B$9,0)</f>
        <v>0</v>
      </c>
      <c r="Q4" s="15">
        <f>IF($B4="SMALL_SIDE",$AL4*ABS($K4)*Settings!$B$9,0)</f>
        <v>0</v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>0</v>
      </c>
      <c r="U4" s="12">
        <f>MAX(0,$M4*Settings!$B$9)</f>
        <v/>
      </c>
      <c r="V4" s="12">
        <f>IF($B4="BIG_SIDE",IFERROR(MIN($D4,MAX(0,$T4/$U4)),0),0)</f>
        <v>0</v>
      </c>
      <c r="W4" s="12">
        <f>IF($B4="BIG_SIDE",MAX(0,$D4-$V4),$AJ4)</f>
        <v/>
      </c>
      <c r="X4" s="19">
        <f>IF($B4="BIG_SIDE",IF($AX$4&gt;0,$AX$4-$AS$4,0),IF($S$4&gt;0,$S$4*0.5,0))</f>
        <v>0</v>
      </c>
      <c r="Y4" s="19">
        <f>$Y3+$X4</f>
        <v/>
      </c>
      <c r="Z4" s="12">
        <f>$AA3</f>
        <v/>
      </c>
      <c r="AA4" s="12">
        <f>IF($B4="BLOCKED",$Z4+$BF4,IF($B4="BIG_SIDE",$Z4+$AX4-$AS4-$AZ4,IF($B4="SMALL_SIDE",$Z4+$S4+$AI4,$Z4+$S4)))</f>
        <v/>
      </c>
      <c r="AB4" s="12">
        <f>IF($B4="BLOCKED",$BC4,$D4+$G4+$J4)</f>
        <v>1.5306</v>
      </c>
      <c r="AC4" s="12">
        <f>IF($B4="BLOCKED",$BC4,IF($B4="BIG_SIDE",$W4,IF($AK4=TRUE,$BC4,$AG4)))</f>
        <v>1.5306</v>
      </c>
      <c r="AD4" s="12">
        <f>$AB4*Settings!$B$10</f>
        <v>1530.6</v>
      </c>
      <c r="AE4" s="12">
        <f>$AC4*Settings!$B$10</f>
        <v>1530.6</v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 t="str">
        <f>IF(AND($AQ4="MANUAL_READY",$BG4="YES"),"YES",IF(OR($AQ4="DUAL_TAIL",$AQ4="DANGER",$AQ4="STOP",$AQ4="STOP_CLEARED",$AQ4="MANUAL_READY"),"NO","YES"))</f>
        <v>NO</v>
      </c>
      <c r="AQ4" s="12" t="str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>STOP</v>
      </c>
      <c r="AR4" s="12" t="str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4" s="20">
        <f>IF($B4="BIG_SIDE",$V4*$U4,0)</f>
        <v>0</v>
      </c>
      <c r="AT4" s="12">
        <f>IF($B4="BIG_SIDE",$G4+$J4+$V4,IF($B4="SMALL_SIDE",$J4+$AL4+$AV4,0))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 t="str">
        <f>IF($B4="BLOCKED","Заблокировано: DUAL_TAIL сохраняет оба хвоста до ручного закрытия","")</f>
        <v>DUAL_TAIL persistence: оба хвоста сохранены</v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>0.8052</v>
      </c>
      <c r="BB4" s="12">
        <f>IF($AK4=TRUE,MAX(0,$AG4-$BE4),IF($B4="BLOCKED",MAX(0,$BB3-$BE4),0))</f>
        <v>0.7254</v>
      </c>
      <c r="BC4" s="12">
        <f>$BA4+$BB4</f>
        <v>1.5306</v>
      </c>
      <c r="BD4" s="13">
        <v>0</v>
      </c>
      <c r="BE4" s="13">
        <v>0</v>
      </c>
      <c r="BF4" s="20">
        <v>0</v>
      </c>
      <c r="BG4" s="13" t="inlineStr">
        <is>
          <t>NO</t>
        </is>
      </c>
    </row>
    <row r="5">
      <c r="A5" s="12" t="n">
        <v>4</v>
      </c>
      <c r="B5" s="13" t="str">
        <f>IF(AND($AQ4="MANUAL_READY",$BG4="YES"),"BIG_SIDE",IF(OR($AP4="NO",$AQ4="DUAL_TAIL",$AQ4="DANGER",$AQ4="STOP",$AQ4="MANUAL_READY",$AQ4="STOP_CLEARED"),"BLOCKED","BIG_SIDE"))</f>
        <v>BLOCKED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>0</v>
      </c>
      <c r="G5" s="12">
        <f>IF($B5="BLOCKED",0,IFERROR(MAX(0,ROUND($F5/Settings!$B$11,0)*Settings!$B$11),0))</f>
        <v>0</v>
      </c>
      <c r="H5" s="12">
        <f>IF($B5="BLOCKED","",$C5)</f>
        <v/>
      </c>
      <c r="I5" s="12">
        <f>IF($B5="BLOCKED",0,MAX(0,$G5*Settings!$B$4))</f>
        <v>0</v>
      </c>
      <c r="J5" s="12">
        <f>IF($B5="BLOCKED",0,IFERROR(MAX(0,ROUND($I5/Settings!$B$11,0)*Settings!$B$11),0))</f>
        <v>0</v>
      </c>
      <c r="K5" s="13" t="n">
        <v>100</v>
      </c>
      <c r="L5" s="13" t="n">
        <v>-40</v>
      </c>
      <c r="M5" s="13" t="n">
        <v>100</v>
      </c>
      <c r="N5" s="14">
        <f>IF($B5="BIG_SIDE",$G5*MAX(0,$K5)*Settings!$B$9,0)</f>
        <v>0</v>
      </c>
      <c r="O5" s="14">
        <f>IF($B5="SMALL_SIDE",$J5*ABS($L5)*Settings!$B$9,0)</f>
        <v>0</v>
      </c>
      <c r="P5" s="15">
        <f>IF($B5="BIG_SIDE",$J5*ABS($L5)*Settings!$B$9,0)</f>
        <v>0</v>
      </c>
      <c r="Q5" s="15">
        <f>IF($B5="SMALL_SIDE",$AL5*ABS($K5)*Settings!$B$9,0)</f>
        <v>0</v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>0</v>
      </c>
      <c r="U5" s="12">
        <f>MAX(0,$M5*Settings!$B$9)</f>
        <v/>
      </c>
      <c r="V5" s="12">
        <f>IF($B5="BIG_SIDE",IFERROR(MIN($D5,MAX(0,$T5/$U5)),0),0)</f>
        <v>0</v>
      </c>
      <c r="W5" s="12">
        <f>IF($B5="BIG_SIDE",MAX(0,$D5-$V5),$AJ5)</f>
        <v/>
      </c>
      <c r="X5" s="19">
        <f>IF($B5="BIG_SIDE",IF($AX$5&gt;0,$AX$5-$AS$5,0),IF($S$5&gt;0,$S$5*0.5,0))</f>
        <v>0</v>
      </c>
      <c r="Y5" s="19">
        <f>$Y4+$X5</f>
        <v/>
      </c>
      <c r="Z5" s="12">
        <f>$AA4</f>
        <v/>
      </c>
      <c r="AA5" s="12">
        <f>IF($B5="BLOCKED",$Z5+$BF5,IF($B5="BIG_SIDE",$Z5+$AX5-$AS5-$AZ5,IF($B5="SMALL_SIDE",$Z5+$S5+$AI5,$Z5+$S5)))</f>
        <v/>
      </c>
      <c r="AB5" s="12">
        <f>IF($B5="BLOCKED",$BC5,$D5+$G5+$J5)</f>
        <v>1.5306</v>
      </c>
      <c r="AC5" s="12">
        <f>IF($B5="BLOCKED",$BC5,IF($B5="BIG_SIDE",$W5,IF($AK5=TRUE,$BC5,$AG5)))</f>
        <v>1.5306</v>
      </c>
      <c r="AD5" s="12">
        <f>$AB5*Settings!$B$10</f>
        <v>1530.6</v>
      </c>
      <c r="AE5" s="12">
        <f>$AC5*Settings!$B$10</f>
        <v>1530.6</v>
      </c>
      <c r="AF5" s="12">
        <f>IF($B5="BLOCKED",IF($BB5&gt;0,$AF4,$C5),IF($B5="SMALL_SIDE",$E5,$C5))</f>
        <v/>
      </c>
      <c r="AG5" s="12">
        <f>IF($B5="BLOCKED",IF($BB4&gt;0,$BB4,$BA4),IF($B5="SMALL_SIDE",$AM5,$W5))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STOP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5" s="20">
        <f>IF($B5="BIG_SIDE",$V5*$U5,0)</f>
        <v>0</v>
      </c>
      <c r="AT5" s="12">
        <f>IF($B5="BIG_SIDE",$G5+$J5+$V5,IF($B5="SMALL_SIDE",$J5+$AL5+$AV5,0))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 t="str">
        <f>IF($B5="BLOCKED","Заблокировано: DUAL_TAIL сохраняет оба хвоста до ручного закрытия","")</f>
        <v>DUAL_TAIL persistence: оба хвоста сохранены</v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0.8052</v>
      </c>
      <c r="BB5" s="12">
        <f>IF($AK5=TRUE,MAX(0,$AG5-$BE5),IF($B5="BLOCKED",MAX(0,$BB4-$BE5),0))</f>
        <v>0.7254</v>
      </c>
      <c r="BC5" s="12">
        <f>$BA5+$BB5</f>
        <v>1.5306</v>
      </c>
      <c r="BD5" s="13">
        <v>0</v>
      </c>
      <c r="BE5" s="13">
        <v>0</v>
      </c>
      <c r="BF5" s="20">
        <v>0</v>
      </c>
      <c r="BG5" s="13" t="inlineStr">
        <is>
          <t>NO</t>
        </is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 t="n">
        <v>100</v>
      </c>
      <c r="L6" s="13" t="n">
        <v>-40</v>
      </c>
      <c r="M6" s="13" t="n">
        <v>100</v>
      </c>
      <c r="N6" s="14">
        <f>IF($B6="BIG_SIDE",$G6*MAX(0,$K6)*Settings!$B$9,0)</f>
        <v>0</v>
      </c>
      <c r="O6" s="14">
        <f>IF($B6="SMALL_SIDE",$J6*ABS($L6)*Settings!$B$9,0)</f>
        <v>0</v>
      </c>
      <c r="P6" s="15">
        <f>IF($B6="BIG_SIDE",$J6*ABS($L6)*Settings!$B$9,0)</f>
        <v>0</v>
      </c>
      <c r="Q6" s="15">
        <f>IF($B6="SMALL_SIDE",$AL6*ABS($K6)*Settings!$B$9,0)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MAX(0,$M6*Settings!$B$9)</f>
        <v/>
      </c>
      <c r="V6" s="12">
        <f>IF($B6="BIG_SIDE",IFERROR(MIN($D6,MAX(0,$T6/$U6)),0),0)</f>
        <v>0</v>
      </c>
      <c r="W6" s="12">
        <f>IF($B6="BIG_SIDE",MAX(0,$D6-$V6),$AJ6)</f>
        <v/>
      </c>
      <c r="X6" s="19">
        <f>IF($B6="BIG_SIDE",IF($AX$6&gt;0,$AX$6-$AS$6,0),IF($S$6&gt;0,$S$6*0.5,0))</f>
        <v>0</v>
      </c>
      <c r="Y6" s="19">
        <f>$Y5+$X6</f>
        <v/>
      </c>
      <c r="Z6" s="12">
        <f>$AA5</f>
        <v/>
      </c>
      <c r="AA6" s="12">
        <f>IF($B6="BLOCKED",$Z6+$BF6,IF($B6="BIG_SIDE",$Z6+$AX6-$AS6-$AZ6,IF($B6="SMALL_SIDE",$Z6+$S6+$AI6,$Z6+$S6)))</f>
        <v/>
      </c>
      <c r="AB6" s="12">
        <f>IF($B6="BLOCKED",$BC6,$D6+$G6+$J6)</f>
        <v>1.5306</v>
      </c>
      <c r="AC6" s="12">
        <f>IF($B6="BLOCKED",$BC6,IF($B6="BIG_SIDE",$W6,IF($AK6=TRUE,$BC6,$AG6)))</f>
        <v>1.5306</v>
      </c>
      <c r="AD6" s="12">
        <f>$AB6*Settings!$B$10</f>
        <v>1530.6</v>
      </c>
      <c r="AE6" s="12">
        <f>$AC6*Settings!$B$10</f>
        <v>1530.6</v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6" s="20">
        <f>IF($B6="BIG_SIDE",$V6*$U6,0)</f>
        <v>0</v>
      </c>
      <c r="AT6" s="12">
        <f>IF($B6="BIG_SIDE",$G6+$J6+$V6,IF($B6="SMALL_SIDE",$J6+$AL6+$AV6,0))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0.8052</v>
      </c>
      <c r="BB6" s="12">
        <f>IF($AK6=TRUE,MAX(0,$AG6-$BE6),IF($B6="BLOCKED",MAX(0,$BB5-$BE6),0))</f>
        <v>0.7254</v>
      </c>
      <c r="BC6" s="12">
        <f>$BA6+$BB6</f>
        <v>1.5306</v>
      </c>
      <c r="BD6" s="13">
        <v>0</v>
      </c>
      <c r="BE6" s="13">
        <v>0</v>
      </c>
      <c r="BF6" s="20">
        <v>0</v>
      </c>
      <c r="BG6" s="13" t="inlineStr">
        <is>
          <t>NO</t>
        </is>
      </c>
    </row>
    <row r="7">
      <c r="A7" s="12" t="n">
        <v>6</v>
      </c>
      <c r="B7" s="13" t="str">
        <f>IF(AND($AQ6="MANUAL_READY",$BG6="YES"),"SMALL_SIDE",IF(OR($AP6="NO",$AQ6="DUAL_TAIL",$AQ6="DANGER",$AQ6="STOP",$AQ6="MANUAL_READY",$AQ6="STOP_CLEARED"),"BLOCKED","SMALL_SIDE"))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 t="n">
        <v>80</v>
      </c>
      <c r="L7" s="13" t="n">
        <v>60</v>
      </c>
      <c r="M7" s="13" t="n">
        <v>100</v>
      </c>
      <c r="N7" s="14">
        <f>IF($B7="BIG_SIDE",$G7*MAX(0,$K7)*Settings!$B$9,0)</f>
        <v>0</v>
      </c>
      <c r="O7" s="14">
        <f>IF($B7="SMALL_SIDE",$J7*ABS($L7)*Settings!$B$9,0)</f>
        <v>0</v>
      </c>
      <c r="P7" s="15">
        <f>IF($B7="BIG_SIDE",$J7*ABS($L7)*Settings!$B$9,0)</f>
        <v>0</v>
      </c>
      <c r="Q7" s="15">
        <f>IF($B7="SMALL_SIDE",$AL7*ABS($K7)*Settings!$B$9,0)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MAX(0,$M7*Settings!$B$9)</f>
        <v/>
      </c>
      <c r="V7" s="12">
        <f>IF($B7="BIG_SIDE",IFERROR(MIN($D7,MAX(0,$T7/$U7)),0),0)</f>
        <v>0</v>
      </c>
      <c r="W7" s="12">
        <f>IF($B7="BIG_SIDE",MAX(0,$D7-$V7),$AJ7)</f>
        <v/>
      </c>
      <c r="X7" s="19">
        <f>IF($B7="BIG_SIDE",IF($AX$7&gt;0,$AX$7-$AS$7,0),IF($S$7&gt;0,$S$7*0.5,0))</f>
        <v>0</v>
      </c>
      <c r="Y7" s="19">
        <f>$Y6+$X7</f>
        <v/>
      </c>
      <c r="Z7" s="12">
        <f>$AA6</f>
        <v/>
      </c>
      <c r="AA7" s="12">
        <f>IF($B7="BLOCKED",$Z7+$BF7,IF($B7="BIG_SIDE",$Z7+$AX7-$AS7-$AZ7,IF($B7="SMALL_SIDE",$Z7+$S7+$AI7,$Z7+$S7)))</f>
        <v/>
      </c>
      <c r="AB7" s="12">
        <f>IF($B7="BLOCKED",$BC7,$D7+$G7+$J7)</f>
        <v>1.5306</v>
      </c>
      <c r="AC7" s="12">
        <f>IF($B7="BLOCKED",$BC7,IF($B7="BIG_SIDE",$W7,IF($AK7=TRUE,$BC7,$AG7)))</f>
        <v>1.5306</v>
      </c>
      <c r="AD7" s="12">
        <f>$AB7*Settings!$B$10</f>
        <v>1530.6</v>
      </c>
      <c r="AE7" s="12">
        <f>$AC7*Settings!$B$10</f>
        <v>1530.6</v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7" s="20">
        <f>IF($B7="BIG_SIDE",$V7*$U7,0)</f>
        <v>0</v>
      </c>
      <c r="AT7" s="12">
        <f>IF($B7="BIG_SIDE",$G7+$J7+$V7,IF($B7="SMALL_SIDE",$J7+$AL7+$AV7,0))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0.8052</v>
      </c>
      <c r="BB7" s="12">
        <f>IF($AK7=TRUE,MAX(0,$AG7-$BE7),IF($B7="BLOCKED",MAX(0,$BB6-$BE7),0))</f>
        <v>0.7254</v>
      </c>
      <c r="BC7" s="12">
        <f>$BA7+$BB7</f>
        <v>1.5306</v>
      </c>
      <c r="BD7" s="13">
        <v>0</v>
      </c>
      <c r="BE7" s="13">
        <v>0</v>
      </c>
      <c r="BF7" s="20">
        <v>0</v>
      </c>
      <c r="BG7" s="13" t="inlineStr">
        <is>
          <t>NO</t>
        </is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 t="n">
        <v>100</v>
      </c>
      <c r="L8" s="13" t="n">
        <v>-40</v>
      </c>
      <c r="M8" s="13" t="n">
        <v>100</v>
      </c>
      <c r="N8" s="14">
        <f>IF($B8="BIG_SIDE",$G8*MAX(0,$K8)*Settings!$B$9,0)</f>
        <v>0</v>
      </c>
      <c r="O8" s="14">
        <f>IF($B8="SMALL_SIDE",$J8*ABS($L8)*Settings!$B$9,0)</f>
        <v>0</v>
      </c>
      <c r="P8" s="15">
        <f>IF($B8="BIG_SIDE",$J8*ABS($L8)*Settings!$B$9,0)</f>
        <v>0</v>
      </c>
      <c r="Q8" s="15">
        <f>IF($B8="SMALL_SIDE",$AL8*ABS($K8)*Settings!$B$9,0)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MAX(0,$M8*Settings!$B$9)</f>
        <v/>
      </c>
      <c r="V8" s="12">
        <f>IF($B8="BIG_SIDE",IFERROR(MIN($D8,MAX(0,$T8/$U8)),0),0)</f>
        <v>0</v>
      </c>
      <c r="W8" s="12">
        <f>IF($B8="BIG_SIDE",MAX(0,$D8-$V8),$AJ8)</f>
        <v/>
      </c>
      <c r="X8" s="19">
        <f>IF($B8="BIG_SIDE",IF($AX$8&gt;0,$AX$8-$AS$8,0),IF($S$8&gt;0,$S$8*0.5,0))</f>
        <v>0</v>
      </c>
      <c r="Y8" s="19">
        <f>$Y7+$X8</f>
        <v/>
      </c>
      <c r="Z8" s="12">
        <f>$AA7</f>
        <v/>
      </c>
      <c r="AA8" s="12">
        <f>IF($B8="BLOCKED",$Z8+$BF8,IF($B8="BIG_SIDE",$Z8+$AX8-$AS8-$AZ8,IF($B8="SMALL_SIDE",$Z8+$S8+$AI8,$Z8+$S8)))</f>
        <v/>
      </c>
      <c r="AB8" s="12">
        <f>IF($B8="BLOCKED",$BC8,$D8+$G8+$J8)</f>
        <v>1.5306</v>
      </c>
      <c r="AC8" s="12">
        <f>IF($B8="BLOCKED",$BC8,IF($B8="BIG_SIDE",$W8,IF($AK8=TRUE,$BC8,$AG8)))</f>
        <v>1.5306</v>
      </c>
      <c r="AD8" s="12">
        <f>$AB8*Settings!$B$10</f>
        <v>1530.6</v>
      </c>
      <c r="AE8" s="12">
        <f>$AC8*Settings!$B$10</f>
        <v>1530.6</v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8" s="20">
        <f>IF($B8="BIG_SIDE",$V8*$U8,0)</f>
        <v>0</v>
      </c>
      <c r="AT8" s="12">
        <f>IF($B8="BIG_SIDE",$G8+$J8+$V8,IF($B8="SMALL_SIDE",$J8+$AL8+$AV8,0))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0.8052</v>
      </c>
      <c r="BB8" s="12">
        <f>IF($AK8=TRUE,MAX(0,$AG8-$BE8),IF($B8="BLOCKED",MAX(0,$BB7-$BE8),0))</f>
        <v>0.7254</v>
      </c>
      <c r="BC8" s="12">
        <f>$BA8+$BB8</f>
        <v>1.5306</v>
      </c>
      <c r="BD8" s="13">
        <v>0</v>
      </c>
      <c r="BE8" s="13">
        <v>0</v>
      </c>
      <c r="BF8" s="20">
        <v>0</v>
      </c>
      <c r="BG8" s="13" t="inlineStr">
        <is>
          <t>NO</t>
        </is>
      </c>
    </row>
    <row r="9">
      <c r="A9" s="12" t="n">
        <v>8</v>
      </c>
      <c r="B9" s="13" t="str">
        <f>IF(AND($AQ8="MANUAL_READY",$BG8="YES"),"BIG_SIDE",IF(OR($AP8="NO",$AQ8="DUAL_TAIL",$AQ8="DANGER",$AQ8="STOP",$AQ8="MANUAL_READY",$AQ8="STOP_CLEARED"),"BLOCKED","BIG_SIDE"))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 t="n">
        <v>100</v>
      </c>
      <c r="L9" s="13" t="n">
        <v>-40</v>
      </c>
      <c r="M9" s="13" t="n">
        <v>100</v>
      </c>
      <c r="N9" s="14">
        <f>IF($B9="BIG_SIDE",$G9*MAX(0,$K9)*Settings!$B$9,0)</f>
        <v>0</v>
      </c>
      <c r="O9" s="14">
        <f>IF($B9="SMALL_SIDE",$J9*ABS($L9)*Settings!$B$9,0)</f>
        <v>0</v>
      </c>
      <c r="P9" s="15">
        <f>IF($B9="BIG_SIDE",$J9*ABS($L9)*Settings!$B$9,0)</f>
        <v>0</v>
      </c>
      <c r="Q9" s="15">
        <f>IF($B9="SMALL_SIDE",$AL9*ABS($K9)*Settings!$B$9,0)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MAX(0,$M9*Settings!$B$9)</f>
        <v/>
      </c>
      <c r="V9" s="12">
        <f>IF($B9="BIG_SIDE",IFERROR(MIN($D9,MAX(0,$T9/$U9)),0),0)</f>
        <v>0</v>
      </c>
      <c r="W9" s="12">
        <f>IF($B9="BIG_SIDE",MAX(0,$D9-$V9),$AJ9)</f>
        <v/>
      </c>
      <c r="X9" s="19">
        <f>IF($B9="BIG_SIDE",IF($AX$9&gt;0,$AX$9-$AS$9,0),IF($S$9&gt;0,$S$9*0.5,0))</f>
        <v>0</v>
      </c>
      <c r="Y9" s="19">
        <f>$Y8+$X9</f>
        <v/>
      </c>
      <c r="Z9" s="12">
        <f>$AA8</f>
        <v/>
      </c>
      <c r="AA9" s="12">
        <f>IF($B9="BLOCKED",$Z9+$BF9,IF($B9="BIG_SIDE",$Z9+$AX9-$AS9-$AZ9,IF($B9="SMALL_SIDE",$Z9+$S9+$AI9,$Z9+$S9)))</f>
        <v/>
      </c>
      <c r="AB9" s="12">
        <f>IF($B9="BLOCKED",$BC9,$D9+$G9+$J9)</f>
        <v>1.5306</v>
      </c>
      <c r="AC9" s="12">
        <f>IF($B9="BLOCKED",$BC9,IF($B9="BIG_SIDE",$W9,IF($AK9=TRUE,$BC9,$AG9)))</f>
        <v>1.5306</v>
      </c>
      <c r="AD9" s="12">
        <f>$AB9*Settings!$B$10</f>
        <v>1530.6</v>
      </c>
      <c r="AE9" s="12">
        <f>$AC9*Settings!$B$10</f>
        <v>1530.6</v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9" s="20">
        <f>IF($B9="BIG_SIDE",$V9*$U9,0)</f>
        <v>0</v>
      </c>
      <c r="AT9" s="12">
        <f>IF($B9="BIG_SIDE",$G9+$J9+$V9,IF($B9="SMALL_SIDE",$J9+$AL9+$AV9,0))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0.8052</v>
      </c>
      <c r="BB9" s="12">
        <f>IF($AK9=TRUE,MAX(0,$AG9-$BE9),IF($B9="BLOCKED",MAX(0,$BB8-$BE9),0))</f>
        <v>0.7254</v>
      </c>
      <c r="BC9" s="12">
        <f>$BA9+$BB9</f>
        <v>1.5306</v>
      </c>
      <c r="BD9" s="13">
        <v>0</v>
      </c>
      <c r="BE9" s="13">
        <v>0</v>
      </c>
      <c r="BF9" s="20">
        <v>0</v>
      </c>
      <c r="BG9" s="13" t="inlineStr">
        <is>
          <t>NO</t>
        </is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/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 t="n">
        <v>100</v>
      </c>
      <c r="L10" s="13" t="n">
        <v>-40</v>
      </c>
      <c r="M10" s="13" t="n">
        <v>100</v>
      </c>
      <c r="N10" s="14">
        <f>IF($B10="BIG_SIDE",$G10*MAX(0,$K10)*Settings!$B$9,0)</f>
        <v>0</v>
      </c>
      <c r="O10" s="14">
        <f>IF($B10="SMALL_SIDE",$J10*ABS($L10)*Settings!$B$9,0)</f>
        <v>0</v>
      </c>
      <c r="P10" s="15">
        <f>IF($B10="BIG_SIDE",$J10*ABS($L10)*Settings!$B$9,0)</f>
        <v>0</v>
      </c>
      <c r="Q10" s="15">
        <f>IF($B10="SMALL_SIDE",$AL10*ABS($K10)*Settings!$B$9,0)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MAX(0,$M10*Settings!$B$9)</f>
        <v/>
      </c>
      <c r="V10" s="12">
        <f>IF($B10="BIG_SIDE",IFERROR(MIN($D10,MAX(0,$T10/$U10)),0),0)</f>
        <v>0</v>
      </c>
      <c r="W10" s="12">
        <f>IF($B10="BIG_SIDE",MAX(0,$D10-$V10),$AJ10)</f>
        <v/>
      </c>
      <c r="X10" s="19">
        <f>IF($B10="BIG_SIDE",IF($AX$10&gt;0,$AX$10-$AS$10,0),IF($S$10&gt;0,$S$10*0.5,0))</f>
        <v>0</v>
      </c>
      <c r="Y10" s="19">
        <f>$Y9+$X10</f>
        <v/>
      </c>
      <c r="Z10" s="12">
        <f>$AA9</f>
        <v/>
      </c>
      <c r="AA10" s="12">
        <f>IF($B10="BLOCKED",$Z10+$BF10,IF($B10="BIG_SIDE",$Z10+$AX10-$AS10-$AZ10,IF($B10="SMALL_SIDE",$Z10+$S10+$AI10,$Z10+$S10)))</f>
        <v/>
      </c>
      <c r="AB10" s="12">
        <f>IF($B10="BLOCKED",$BC10,$D10+$G10+$J10)</f>
        <v>1.5306</v>
      </c>
      <c r="AC10" s="12">
        <f>IF($B10="BLOCKED",$BC10,IF($B10="BIG_SIDE",$W10,IF($AK10=TRUE,$BC10,$AG10)))</f>
        <v>1.5306</v>
      </c>
      <c r="AD10" s="12">
        <f>$AB10*Settings!$B$10</f>
        <v>1530.6</v>
      </c>
      <c r="AE10" s="12">
        <f>$AC10*Settings!$B$10</f>
        <v>1530.6</v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0" s="20">
        <f>IF($B10="BIG_SIDE",$V10*$U10,0)</f>
        <v>0</v>
      </c>
      <c r="AT10" s="12">
        <f>IF($B10="BIG_SIDE",$G10+$J10+$V10,IF($B10="SMALL_SIDE",$J10+$AL10+$AV10,0))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0.8052</v>
      </c>
      <c r="BB10" s="12">
        <f>IF($AK10=TRUE,MAX(0,$AG10-$BE10),IF($B10="BLOCKED",MAX(0,$BB9-$BE10),0))</f>
        <v>0.7254</v>
      </c>
      <c r="BC10" s="12">
        <f>$BA10+$BB10</f>
        <v>1.5306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 t="n">
        <v>100</v>
      </c>
      <c r="L11" s="13" t="n">
        <v>-40</v>
      </c>
      <c r="M11" s="13" t="n">
        <v>100</v>
      </c>
      <c r="N11" s="14">
        <f>IF($B11="BIG_SIDE",$G11*MAX(0,$K11)*Settings!$B$9,0)</f>
        <v>0</v>
      </c>
      <c r="O11" s="14">
        <f>IF($B11="SMALL_SIDE",$J11*ABS($L11)*Settings!$B$9,0)</f>
        <v>0</v>
      </c>
      <c r="P11" s="15">
        <f>IF($B11="BIG_SIDE",$J11*ABS($L11)*Settings!$B$9,0)</f>
        <v>0</v>
      </c>
      <c r="Q11" s="15">
        <f>IF($B11="SMALL_SIDE",$AL11*ABS($K11)*Settings!$B$9,0)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MAX(0,$M11*Settings!$B$9)</f>
        <v/>
      </c>
      <c r="V11" s="12">
        <f>IF($B11="BIG_SIDE",IFERROR(MIN($D11,MAX(0,$T11/$U11)),0),0)</f>
        <v>0</v>
      </c>
      <c r="W11" s="12">
        <f>IF($B11="BIG_SIDE",MAX(0,$D11-$V11),$AJ11)</f>
        <v/>
      </c>
      <c r="X11" s="19">
        <f>IF($B11="BIG_SIDE",IF($AX$11&gt;0,$AX$11-$AS$11,0),IF($S$11&gt;0,$S$11*0.5,0))</f>
        <v>0</v>
      </c>
      <c r="Y11" s="19">
        <f>$Y10+$X11</f>
        <v/>
      </c>
      <c r="Z11" s="12">
        <f>$AA10</f>
        <v/>
      </c>
      <c r="AA11" s="12">
        <f>IF($B11="BLOCKED",$Z11+$BF11,IF($B11="BIG_SIDE",$Z11+$AX11-$AS11-$AZ11,IF($B11="SMALL_SIDE",$Z11+$S11+$AI11,$Z11+$S11)))</f>
        <v/>
      </c>
      <c r="AB11" s="12">
        <f>IF($B11="BLOCKED",$BC11,$D11+$G11+$J11)</f>
        <v>1.5306</v>
      </c>
      <c r="AC11" s="12">
        <f>IF($B11="BLOCKED",$BC11,IF($B11="BIG_SIDE",$W11,IF($AK11=TRUE,$BC11,$AG11)))</f>
        <v>1.5306</v>
      </c>
      <c r="AD11" s="12">
        <f>$AB11*Settings!$B$10</f>
        <v>1530.6</v>
      </c>
      <c r="AE11" s="12">
        <f>$AC11*Settings!$B$10</f>
        <v>1530.6</v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1" s="20">
        <f>IF($B11="BIG_SIDE",$V11*$U11,0)</f>
        <v>0</v>
      </c>
      <c r="AT11" s="12">
        <f>IF($B11="BIG_SIDE",$G11+$J11+$V11,IF($B11="SMALL_SIDE",$J11+$AL11+$AV11,0))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0.8052</v>
      </c>
      <c r="BB11" s="12">
        <f>IF($AK11=TRUE,MAX(0,$AG11-$BE11),IF($B11="BLOCKED",MAX(0,$BB10-$BE11),0))</f>
        <v>0.7254</v>
      </c>
      <c r="BC11" s="12">
        <f>$BA11+$BB11</f>
        <v>1.5306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24" customWidth="1" min="4" max="4"/>
  </cols>
  <sheetData>
    <row r="1">
      <c r="A1" s="22" t="inlineStr">
        <is>
          <t>Metric</t>
        </is>
      </c>
      <c r="B1" s="22" t="inlineStr">
        <is>
          <t>Section</t>
        </is>
      </c>
      <c r="C1" s="22" t="inlineStr">
        <is>
          <t>Formula / Source</t>
        </is>
      </c>
      <c r="D1" s="22" t="inlineStr">
        <is>
          <t>Display Value</t>
        </is>
      </c>
    </row>
    <row r="2">
      <c r="A2" t="inlineStr">
        <is>
          <t>Total Closed Profit</t>
        </is>
      </c>
      <c r="B2" t="inlineStr">
        <is>
          <t>Calculator Summary</t>
        </is>
      </c>
      <c r="C2">
        <f>SUM(Calculator!N2:N11)+SUM(Calculator!O2:O11)+SUMIF(Calculator!AI2:AI11,"&gt;0",Calculator!AI2:AI11)</f>
        <v/>
      </c>
      <c r="D2">
        <f>C2</f>
        <v/>
      </c>
    </row>
    <row r="3">
      <c r="A3" t="inlineStr">
        <is>
          <t>Total Closed Loss</t>
        </is>
      </c>
      <c r="B3" t="inlineStr">
        <is>
          <t>Calculator Summary</t>
        </is>
      </c>
      <c r="C3">
        <f>SUM(Calculator!P2:P11)+SUM(Calculator!Q2:Q11)+SUM(Calculator!R2:R11)+SUM(Calculator!AS2:AS11)+SUMIF(Calculator!AI2:AI11,"&lt;0",Calculator!AI2:AI11)*-1</f>
        <v/>
      </c>
      <c r="D3">
        <f>C3</f>
        <v/>
      </c>
    </row>
    <row r="4">
      <c r="A4" t="inlineStr">
        <is>
          <t>Total Realized Far Loss</t>
        </is>
      </c>
      <c r="B4" t="inlineStr">
        <is>
          <t>Calculator Summary</t>
        </is>
      </c>
      <c r="C4">
        <f>SUM(Calculator!AS2:AS11)</f>
        <v/>
      </c>
      <c r="D4">
        <f>C4</f>
        <v/>
      </c>
    </row>
    <row r="5">
      <c r="A5" t="inlineStr">
        <is>
          <t>Final Balance</t>
        </is>
      </c>
      <c r="B5" t="inlineStr">
        <is>
          <t>Calculator Summary</t>
        </is>
      </c>
      <c r="C5">
        <f>LOOKUP(2,1/(Calculator!AA2:AA11&lt;&gt;""),Calculator!AA2:AA11)</f>
        <v/>
      </c>
      <c r="D5">
        <f>C5</f>
        <v/>
      </c>
    </row>
    <row r="6">
      <c r="A6" t="inlineStr">
        <is>
          <t>Final Reserve</t>
        </is>
      </c>
      <c r="B6" t="inlineStr">
        <is>
          <t>Calculator Summary</t>
        </is>
      </c>
      <c r="C6">
        <f>LOOKUP(2,1/(Calculator!Y2:Y11&lt;&gt;""),Calculator!Y2:Y11)</f>
        <v/>
      </c>
      <c r="D6">
        <f>C6</f>
        <v/>
      </c>
    </row>
    <row r="7">
      <c r="A7" t="inlineStr">
        <is>
          <t>Max Margin</t>
        </is>
      </c>
      <c r="B7" t="inlineStr">
        <is>
          <t>Calculator Summary</t>
        </is>
      </c>
      <c r="C7">
        <f>MAX(Calculator!AD2:AD11)</f>
        <v/>
      </c>
      <c r="D7">
        <f>C7</f>
        <v/>
      </c>
    </row>
    <row r="8">
      <c r="A8" t="inlineStr">
        <is>
          <t>Max Open Lots</t>
        </is>
      </c>
      <c r="B8" t="inlineStr">
        <is>
          <t>Calculator Summary</t>
        </is>
      </c>
      <c r="C8">
        <f>MAX(Calculator!AB2:AB11)</f>
        <v/>
      </c>
      <c r="D8">
        <f>C8</f>
        <v/>
      </c>
    </row>
    <row r="9">
      <c r="A9" t="inlineStr">
        <is>
          <t>Final Far Lot</t>
        </is>
      </c>
      <c r="B9" t="inlineStr">
        <is>
          <t>Calculator Summary</t>
        </is>
      </c>
      <c r="C9">
        <f>LOOKUP(2,1/(Calculator!AG2:AG11&lt;&gt;""),Calculator!AG2:AG11)</f>
        <v/>
      </c>
      <c r="D9">
        <f>C9</f>
        <v/>
      </c>
    </row>
    <row r="10">
      <c r="A10" t="inlineStr">
        <is>
          <t>Number of BIG_SIDE</t>
        </is>
      </c>
      <c r="B10" t="inlineStr">
        <is>
          <t>Calculator Summary</t>
        </is>
      </c>
      <c r="C10">
        <f>COUNTIF(Calculator!B2:B11,"BIG_SIDE")</f>
        <v/>
      </c>
      <c r="D10">
        <f>C10</f>
        <v/>
      </c>
    </row>
    <row r="11">
      <c r="A11" t="inlineStr">
        <is>
          <t>Number of SMALL_SIDE</t>
        </is>
      </c>
      <c r="B11" t="inlineStr">
        <is>
          <t>Calculator Summary</t>
        </is>
      </c>
      <c r="C11">
        <f>COUNTIF(Calculator!B2:B11,"SMALL_SIDE")</f>
        <v/>
      </c>
      <c r="D11">
        <f>C11</f>
        <v/>
      </c>
    </row>
    <row r="12">
      <c r="A12" t="inlineStr">
        <is>
          <t>Dual Tail Count</t>
        </is>
      </c>
      <c r="B12" t="inlineStr">
        <is>
          <t>Calculator Summary</t>
        </is>
      </c>
      <c r="C12">
        <f>COUNTIF(Calculator!AQ2:AQ11,"DUAL_TAIL")</f>
        <v/>
      </c>
      <c r="D12">
        <f>C12</f>
        <v/>
      </c>
    </row>
    <row r="13">
      <c r="A13" t="inlineStr">
        <is>
          <t>Danger Count</t>
        </is>
      </c>
      <c r="B13" t="inlineStr">
        <is>
          <t>Calculator Summary</t>
        </is>
      </c>
      <c r="C13">
        <f>COUNTIF(Calculator!AQ2:AQ11,"DANGER")</f>
        <v/>
      </c>
      <c r="D13">
        <f>C13</f>
        <v/>
      </c>
    </row>
    <row r="14">
      <c r="A14" t="inlineStr">
        <is>
          <t>Stop Count</t>
        </is>
      </c>
      <c r="B14" t="inlineStr">
        <is>
          <t>Calculator Summary</t>
        </is>
      </c>
      <c r="C14">
        <f>COUNTIF(Calculator!AQ2:AQ11,"STOP")</f>
        <v/>
      </c>
      <c r="D14">
        <f>C14</f>
        <v/>
      </c>
    </row>
    <row r="15">
      <c r="A15" t="inlineStr">
        <is>
          <t>Final Status</t>
        </is>
      </c>
      <c r="B15" t="inlineStr">
        <is>
          <t>Calculator Summary</t>
        </is>
      </c>
      <c r="C15">
        <f>LOOKUP(2,1/(Calculator!AQ2:AQ11&lt;&gt;""),Calculator!AQ2:AQ11)</f>
        <v/>
      </c>
      <c r="D15">
        <f>C15</f>
        <v/>
      </c>
    </row>
    <row r="16">
      <c r="A16" t="inlineStr">
        <is>
          <t>Max DualTail Exposure</t>
        </is>
      </c>
      <c r="B16" t="inlineStr">
        <is>
          <t>Calculator Summary</t>
        </is>
      </c>
      <c r="C16">
        <f>MAX(Calculator!BB2:BB11)</f>
        <v>0.9896</v>
      </c>
      <c r="D16">
        <f>C16</f>
        <v>0.9896</v>
      </c>
    </row>
    <row r="17">
      <c r="A17" t="inlineStr">
        <is>
          <t>Final ActiveOldFarLot</t>
        </is>
      </c>
      <c r="B17" t="inlineStr">
        <is>
          <t>Calculator Summary</t>
        </is>
      </c>
      <c r="C17">
        <f>LOOKUP(2,1/(Calculator!AZ2:AZ11&lt;&gt;""),Calculator!AZ2:AZ11)</f>
        <v/>
      </c>
      <c r="D17">
        <f>C17</f>
        <v/>
      </c>
    </row>
    <row r="18">
      <c r="A18" t="inlineStr">
        <is>
          <t>Final ActiveNewFarLot</t>
        </is>
      </c>
      <c r="B18" t="inlineStr">
        <is>
          <t>Calculator Summary</t>
        </is>
      </c>
      <c r="C18">
        <f>LOOKUP(2,1/(Calculator!BA2:BA11&lt;&gt;""),Calculator!BA2:BA11)</f>
        <v/>
      </c>
      <c r="D18">
        <f>C18</f>
        <v/>
      </c>
    </row>
    <row r="19">
      <c r="A19" t="inlineStr">
        <is>
          <t>Final DualTailTotalLot</t>
        </is>
      </c>
      <c r="B19" t="inlineStr">
        <is>
          <t>Calculator Summary</t>
        </is>
      </c>
      <c r="C19">
        <f>LOOKUP(2,1/(Calculator!BB2:BB11&lt;&gt;""),Calculator!BB2:BB11)</f>
        <v/>
      </c>
      <c r="D19">
        <f>C19</f>
        <v/>
      </c>
    </row>
    <row r="20">
      <c r="A20" t="inlineStr">
        <is>
          <t>Manual Close PL</t>
        </is>
      </c>
      <c r="B20" t="inlineStr">
        <is>
          <t>Calculator Summary</t>
        </is>
      </c>
      <c r="C20">
        <f>SUM(Calculator!BE2:BE11)</f>
        <v/>
      </c>
      <c r="D20">
        <f>C20</f>
        <v/>
      </c>
    </row>
    <row r="21">
      <c r="A21" t="inlineStr">
        <is>
          <t>Blocked Levels Count</t>
        </is>
      </c>
      <c r="B21" t="inlineStr">
        <is>
          <t>Calculator Summary</t>
        </is>
      </c>
      <c r="C21">
        <f>COUNTIF(Calculator!B2:B11,"BLOCKED")</f>
        <v>7</v>
      </c>
      <c r="D21">
        <f>C21</f>
        <v>7</v>
      </c>
    </row>
    <row r="22">
      <c r="A22" t="inlineStr">
        <is>
          <t>Stop Cleared Count</t>
        </is>
      </c>
      <c r="B22" t="inlineStr">
        <is>
          <t>Calculator Summary</t>
        </is>
      </c>
      <c r="C22">
        <f>COUNTIF(Calculator!AQ2:AQ11,"STOP_CLEARED")</f>
        <v/>
      </c>
      <c r="D22">
        <f>C22</f>
        <v/>
      </c>
    </row>
    <row r="23">
      <c r="A23" t="inlineStr">
        <is>
          <t>Manual Ready Count</t>
        </is>
      </c>
      <c r="B23" t="inlineStr">
        <is>
          <t>Calculator Summary</t>
        </is>
      </c>
      <c r="C23">
        <f>COUNTIF(Calculator!AQ2:AQ11,"MANUAL_READY")</f>
        <v/>
      </c>
      <c r="D23">
        <f>C23</f>
        <v/>
      </c>
    </row>
    <row r="25">
      <c r="A25" s="26" t="inlineStr">
        <is>
          <t>Global Risk Summary</t>
        </is>
      </c>
      <c r="B25" t="inlineStr">
        <is>
          <t>Section</t>
        </is>
      </c>
    </row>
    <row r="26">
      <c r="A26" t="inlineStr">
        <is>
          <t>Global Total Closed Profit</t>
        </is>
      </c>
      <c r="B26" t="inlineStr">
        <is>
          <t>Global Risk Summary</t>
        </is>
      </c>
      <c r="C26">
        <f>SUM(Calculator!N2:O11,Trend_UP!N2:O11,Trend_DOWN!N2:O11)+SUMIF(Calculator!AI2:AI11,"&gt;0",Calculator!AI2:AI11)+SUMIF(Trend_UP!AI2:AI11,"&gt;0",Trend_UP!AI2:AI11)+SUMIF(Trend_DOWN!AI2:AI11,"&gt;0",Trend_DOWN!AI2:AI11)</f>
        <v>900</v>
      </c>
      <c r="D26">
        <f>C26</f>
        <v>900</v>
      </c>
    </row>
    <row r="27">
      <c r="A27" t="inlineStr">
        <is>
          <t>Global Total Closed Loss</t>
        </is>
      </c>
      <c r="B27" t="inlineStr">
        <is>
          <t>Global Risk Summary</t>
        </is>
      </c>
      <c r="C27">
        <f>SUM(Calculator!P2:R11,Trend_UP!P2:R11,Trend_DOWN!P2:R11)+SUM(Calculator!AS2:AS11,Trend_UP!AS2:AS11,Trend_DOWN!AS2:AS11)-SUMIF(Calculator!AI2:AI11,"&lt;0",Calculator!AI2:AI11)-SUMIF(Trend_UP!AI2:AI11,"&lt;0",Trend_UP!AI2:AI11)-SUMIF(Trend_DOWN!AI2:AI11,"&lt;0",Trend_DOWN!AI2:AI11)</f>
        <v>300</v>
      </c>
      <c r="D27">
        <f>C27</f>
        <v>300</v>
      </c>
    </row>
    <row r="28">
      <c r="A28" t="inlineStr">
        <is>
          <t>Global Total Realized Far Loss</t>
        </is>
      </c>
      <c r="B28" t="inlineStr">
        <is>
          <t>Global Risk Summary</t>
        </is>
      </c>
      <c r="C28">
        <f>SUM(Calculator!AS2:AS11,Trend_UP!AS2:AS11,Trend_DOWN!AS2:AS11)</f>
        <v/>
      </c>
      <c r="D28">
        <f>C28</f>
        <v/>
      </c>
    </row>
    <row r="29">
      <c r="A29" t="inlineStr">
        <is>
          <t>Global Max Margin</t>
        </is>
      </c>
      <c r="B29" t="inlineStr">
        <is>
          <t>Global Risk Summary</t>
        </is>
      </c>
      <c r="C29">
        <f>MAX(Calculator!AD2:AD11,Trend_UP!AD2:AD11,Trend_DOWN!AD2:AD11)</f>
        <v/>
      </c>
      <c r="D29">
        <f>C29</f>
        <v/>
      </c>
    </row>
    <row r="30">
      <c r="A30" t="inlineStr">
        <is>
          <t>Global Max Open Lots</t>
        </is>
      </c>
      <c r="B30" t="inlineStr">
        <is>
          <t>Global Risk Summary</t>
        </is>
      </c>
      <c r="C30">
        <f>MAX(Calculator!AB2:AB11,Trend_UP!AB2:AB11,Trend_DOWN!AB2:AB11)</f>
        <v/>
      </c>
      <c r="D30">
        <f>C30</f>
        <v/>
      </c>
    </row>
    <row r="31">
      <c r="A31" t="inlineStr">
        <is>
          <t>Global Dual Tail Count</t>
        </is>
      </c>
      <c r="B31" t="inlineStr">
        <is>
          <t>Global Risk Summary</t>
        </is>
      </c>
      <c r="C31">
        <f>COUNTIF(Calculator!AQ2:AQ11,"DUAL_TAIL")+COUNTIF(Trend_UP!AQ2:AQ11,"DUAL_TAIL")+COUNTIF(Trend_DOWN!AQ2:AQ11,"DUAL_TAIL")</f>
        <v>2</v>
      </c>
      <c r="D31">
        <f>C31</f>
        <v>2</v>
      </c>
    </row>
    <row r="32">
      <c r="A32" t="inlineStr">
        <is>
          <t>Global Blocked Levels Count</t>
        </is>
      </c>
      <c r="B32" t="inlineStr">
        <is>
          <t>Global Risk Summary</t>
        </is>
      </c>
      <c r="C32">
        <f>COUNTIF(Calculator!B2:B11,"BLOCKED")+COUNTIF(Trend_UP!B2:B11,"BLOCKED")+COUNTIF(Trend_DOWN!B2:B11,"BLOCKED")</f>
        <v>14</v>
      </c>
      <c r="D32">
        <f>C32</f>
        <v>14</v>
      </c>
    </row>
    <row r="33">
      <c r="A33" t="inlineStr">
        <is>
          <t>Global Stop Count</t>
        </is>
      </c>
      <c r="B33" t="inlineStr">
        <is>
          <t>Global Risk Summary</t>
        </is>
      </c>
      <c r="C33">
        <f>COUNTIF(Calculator!AQ2:AQ11,"STOP")+COUNTIF(Trend_UP!AQ2:AQ11,"STOP")+COUNTIF(Trend_DOWN!AQ2:AQ11,"STOP")</f>
        <v>14</v>
      </c>
      <c r="D33">
        <f>C33</f>
        <v>14</v>
      </c>
    </row>
    <row r="34">
      <c r="A34" t="inlineStr">
        <is>
          <t>Global Max DualTail Exposure</t>
        </is>
      </c>
      <c r="B34" t="inlineStr">
        <is>
          <t>Global Risk Summary</t>
        </is>
      </c>
      <c r="C34">
        <f>MAX(Calculator!BC2:BC11,Trend_UP!BC2:BC11,Trend_DOWN!BC2:BC11)</f>
        <v>1.5306</v>
      </c>
      <c r="D34">
        <f>C34</f>
        <v>1.5306</v>
      </c>
    </row>
    <row r="35">
      <c r="A35" t="inlineStr">
        <is>
          <t>Global Danger Count</t>
        </is>
      </c>
      <c r="B35" t="inlineStr">
        <is>
          <t>Global Risk Summary</t>
        </is>
      </c>
      <c r="C35">
        <f>COUNTIF(Calculator!AQ2:AQ11,"DANGER")+COUNTIF(Trend_UP!AQ2:AQ11,"DANGER")+COUNTIF(Trend_DOWN!AQ2:AQ11,"DANGER")</f>
        <v/>
      </c>
      <c r="D35">
        <f>C35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25" t="inlineStr">
        <is>
          <t>Test ID</t>
        </is>
      </c>
      <c r="B1" s="25" t="inlineStr">
        <is>
          <t>Test Name</t>
        </is>
      </c>
      <c r="C1" s="25" t="inlineStr">
        <is>
          <t>Input</t>
        </is>
      </c>
      <c r="D1" s="25" t="inlineStr">
        <is>
          <t>Expected</t>
        </is>
      </c>
      <c r="E1" s="25" t="inlineStr">
        <is>
          <t>Actual</t>
        </is>
      </c>
      <c r="F1" s="25" t="inlineStr">
        <is>
          <t>Formula Checked</t>
        </is>
      </c>
      <c r="G1" s="25" t="inlineStr">
        <is>
          <t>Status</t>
        </is>
      </c>
      <c r="H1" s="25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  <row r="31">
      <c r="A31" s="3" t="inlineStr">
        <is>
          <t>T30</t>
        </is>
      </c>
      <c r="B31" s="3" t="inlineStr">
        <is>
          <t>RealizedFarLoss formula</t>
        </is>
      </c>
      <c r="C31" s="3" t="inlineStr">
        <is>
          <t>Calculator BIG_SIDE rows</t>
        </is>
      </c>
      <c r="D31" s="3" t="inlineStr">
        <is>
          <t>RealizedFarLoss = CloseFarLot × LossPerLotToClose</t>
        </is>
      </c>
      <c r="E31" s="3" t="inlineStr">
        <is>
          <t>Calculator!AS = V*U</t>
        </is>
      </c>
      <c r="F31" s="3" t="inlineStr">
        <is>
          <t>AS=V*U</t>
        </is>
      </c>
      <c r="G31" s="3" t="inlineStr">
        <is>
          <t>PASS</t>
        </is>
      </c>
      <c r="H31" s="3" t="inlineStr">
        <is>
          <t>v3: закрытый убыток хвоста выделен отдельной колонкой.</t>
        </is>
      </c>
    </row>
    <row r="32">
      <c r="A32" s="3" t="inlineStr">
        <is>
          <t>T31</t>
        </is>
      </c>
      <c r="B32" s="3" t="inlineStr">
        <is>
          <t>BIG_SIDE BalanceAfter includes far loss</t>
        </is>
      </c>
      <c r="C32" s="3" t="inlineStr">
        <is>
          <t>BIG_SIDE row</t>
        </is>
      </c>
      <c r="D32" s="3" t="inlineStr">
        <is>
          <t>BalanceAfter = BalanceBefore + NetProfitBeforeFar - RealizedFarLoss - CostsFarClose</t>
        </is>
      </c>
      <c r="E32" s="3" t="inlineStr">
        <is>
          <t>Calculator!AA formula</t>
        </is>
      </c>
      <c r="F32" s="3" t="inlineStr">
        <is>
          <t>AA=Z+AX-AS-AZ</t>
        </is>
      </c>
      <c r="G32" s="3" t="inlineStr">
        <is>
          <t>PASS</t>
        </is>
      </c>
      <c r="H32" s="3" t="inlineStr">
        <is>
          <t>Баланс больше не завышается после закрытия хвоста.</t>
        </is>
      </c>
    </row>
    <row r="33">
      <c r="A33" s="3" t="inlineStr">
        <is>
          <t>T32</t>
        </is>
      </c>
      <c r="B33" s="3" t="inlineStr">
        <is>
          <t>ReserveAdd after far loss</t>
        </is>
      </c>
      <c r="C33" s="3" t="inlineStr">
        <is>
          <t>BIG_SIDE row</t>
        </is>
      </c>
      <c r="D33" s="3" t="inlineStr">
        <is>
          <t>ReserveAdd = NetProfitBeforeFar - RealizedFarLoss</t>
        </is>
      </c>
      <c r="E33" s="3" t="inlineStr">
        <is>
          <t>Calculator!X formula</t>
        </is>
      </c>
      <c r="F33" s="3" t="inlineStr">
        <is>
          <t>X=AX-AS when AX&gt;0</t>
        </is>
      </c>
      <c r="G33" s="3" t="inlineStr">
        <is>
          <t>PASS</t>
        </is>
      </c>
      <c r="H33" s="3" t="inlineStr">
        <is>
          <t>При стандартном 20/80 совпадает с 80% до расходов закрытия хвоста.</t>
        </is>
      </c>
    </row>
    <row r="34">
      <c r="A34" s="3" t="inlineStr">
        <is>
          <t>T33</t>
        </is>
      </c>
      <c r="B34" s="3" t="inlineStr">
        <is>
          <t>Total Closed Loss includes RealizedFarLoss</t>
        </is>
      </c>
      <c r="C34" s="3" t="inlineStr">
        <is>
          <t>Risk_Analysis</t>
        </is>
      </c>
      <c r="D34" s="3" t="inlineStr">
        <is>
          <t>Loss includes AS</t>
        </is>
      </c>
      <c r="E34" s="3" t="inlineStr">
        <is>
          <t>Risk_Analysis Total Closed Loss</t>
        </is>
      </c>
      <c r="F34" s="3" t="inlineStr">
        <is>
          <t>SUM(P:Q)+SUM(R)+SUM(AS)-negative OldFarClosePL</t>
        </is>
      </c>
      <c r="G34" s="3" t="inlineStr">
        <is>
          <t>PASS</t>
        </is>
      </c>
      <c r="H34" s="3" t="inlineStr">
        <is>
          <t>Risk_Analysis учитывает фиксированный убыток хвоста.</t>
        </is>
      </c>
    </row>
    <row r="35">
      <c r="A35" s="3" t="inlineStr">
        <is>
          <t>T34</t>
        </is>
      </c>
      <c r="B35" s="3" t="inlineStr">
        <is>
          <t>Total Realized Far Loss metric</t>
        </is>
      </c>
      <c r="C35" s="3" t="inlineStr">
        <is>
          <t>Risk_Analysis</t>
        </is>
      </c>
      <c r="D35" s="3" t="inlineStr">
        <is>
          <t>SUM RealizedFarLoss</t>
        </is>
      </c>
      <c r="E35" s="3" t="inlineStr">
        <is>
          <t>Risk_Analysis row Total Realized Far Loss</t>
        </is>
      </c>
      <c r="F35" s="3">
        <f>SUM(Calculator!AS2:AS11)</f>
        <v/>
      </c>
      <c r="G35" s="3" t="inlineStr">
        <is>
          <t>PASS</t>
        </is>
      </c>
      <c r="H35" s="3" t="inlineStr">
        <is>
          <t>Добавлен отдельный показатель.</t>
        </is>
      </c>
    </row>
    <row r="36">
      <c r="A36" s="3" t="inlineStr">
        <is>
          <t>T35</t>
        </is>
      </c>
      <c r="B36" s="3" t="inlineStr">
        <is>
          <t>DUAL_TAIL blocks next level</t>
        </is>
      </c>
      <c r="C36" s="3" t="inlineStr">
        <is>
          <t>Previous row DUAL_TAIL/NO</t>
        </is>
      </c>
      <c r="D36" s="3" t="inlineStr">
        <is>
          <t>Next Scenario=BLOCKED or Status=STOP</t>
        </is>
      </c>
      <c r="E36" s="3" t="inlineStr">
        <is>
          <t>Calculator rows 3:11</t>
        </is>
      </c>
      <c r="F36" s="3" t="inlineStr">
        <is>
          <t>B checks previous AP/AQ; AQ STOP if BLOCKED</t>
        </is>
      </c>
      <c r="G36" s="3" t="inlineStr">
        <is>
          <t>PASS</t>
        </is>
      </c>
      <c r="H36" s="3" t="inlineStr">
        <is>
          <t>Следующий уровень реально блокируется.</t>
        </is>
      </c>
    </row>
    <row r="37">
      <c r="A37" s="3" t="inlineStr">
        <is>
          <t>T36</t>
        </is>
      </c>
      <c r="B37" s="3" t="inlineStr">
        <is>
          <t>Blocked next Big/Small zero</t>
        </is>
      </c>
      <c r="C37" s="3" t="inlineStr">
        <is>
          <t>Scenario BLOCKED</t>
        </is>
      </c>
      <c r="D37" s="3" t="inlineStr">
        <is>
          <t>BigLot=0 and SmallLot=0</t>
        </is>
      </c>
      <c r="E37" s="3" t="inlineStr">
        <is>
          <t>Calculator F:G/I:J</t>
        </is>
      </c>
      <c r="F37" s="3" t="inlineStr">
        <is>
          <t>IF(B="BLOCKED",0,...)</t>
        </is>
      </c>
      <c r="G37" s="3" t="inlineStr">
        <is>
          <t>PASS</t>
        </is>
      </c>
      <c r="H37" s="3" t="inlineStr">
        <is>
          <t>При блокировке новые лоты не открываются.</t>
        </is>
      </c>
    </row>
    <row r="38">
      <c r="A38" s="3" t="inlineStr">
        <is>
          <t>T37</t>
        </is>
      </c>
      <c r="B38" s="3" t="inlineStr">
        <is>
          <t>Costs per lot multiplied</t>
        </is>
      </c>
      <c r="C38" s="3" t="inlineStr">
        <is>
          <t>PerLot cost settings</t>
        </is>
      </c>
      <c r="D38" s="3" t="inlineStr">
        <is>
          <t>Costs = ClosedLotsForCosts × CostPerLot</t>
        </is>
      </c>
      <c r="E38" s="3" t="inlineStr">
        <is>
          <t>Calculator!R/AT/AU</t>
        </is>
      </c>
      <c r="F38" s="3" t="inlineStr">
        <is>
          <t>R=AT*AU</t>
        </is>
      </c>
      <c r="G38" s="3" t="inlineStr">
        <is>
          <t>PASS</t>
        </is>
      </c>
      <c r="H38" s="3" t="inlineStr">
        <is>
          <t>Costs больше не фиксированные на уровень.</t>
        </is>
      </c>
    </row>
    <row r="39">
      <c r="A39" s="3" t="inlineStr">
        <is>
          <t>T38</t>
        </is>
      </c>
      <c r="B39" s="3" t="inlineStr">
        <is>
          <t>No reserve double count</t>
        </is>
      </c>
      <c r="C39" s="3" t="inlineStr">
        <is>
          <t>Balance formulas</t>
        </is>
      </c>
      <c r="D39" s="3" t="inlineStr">
        <is>
          <t>Balance uses reserve-equivalent net but not +Reserve separately</t>
        </is>
      </c>
      <c r="E39" s="3" t="inlineStr">
        <is>
          <t>Calculator!AA</t>
        </is>
      </c>
      <c r="F39" s="3" t="inlineStr">
        <is>
          <t>BIG: Z+AX-AS-AZ; SMALL: Z+S+AI</t>
        </is>
      </c>
      <c r="G39" s="3" t="inlineStr">
        <is>
          <t>PASS</t>
        </is>
      </c>
      <c r="H39" s="3" t="inlineStr">
        <is>
          <t>Резерв не прибавляется второй раз.</t>
        </is>
      </c>
    </row>
    <row r="40">
      <c r="A40" s="3" t="inlineStr">
        <is>
          <t>T39</t>
        </is>
      </c>
      <c r="B40" s="3" t="inlineStr">
        <is>
          <t>OldFarClosePL affects SMALL_SIDE balance</t>
        </is>
      </c>
      <c r="C40" s="3" t="inlineStr">
        <is>
          <t>SMALL_SIDE row</t>
        </is>
      </c>
      <c r="D40" s="3" t="inlineStr">
        <is>
          <t>BalanceAfter includes OldFarClosePL</t>
        </is>
      </c>
      <c r="E40" s="3" t="inlineStr">
        <is>
          <t>Calculator!AA formula</t>
        </is>
      </c>
      <c r="F40" s="3" t="inlineStr">
        <is>
          <t>AA=Z+S+AI for SMALL_SIDE</t>
        </is>
      </c>
      <c r="G40" s="3" t="inlineStr">
        <is>
          <t>PASS</t>
        </is>
      </c>
      <c r="H40" s="3" t="inlineStr">
        <is>
          <t>Закрытие старого хвоста входит в баланс.</t>
        </is>
      </c>
    </row>
    <row r="41">
      <c r="A41" s="3" t="inlineStr">
        <is>
          <t>T40</t>
        </is>
      </c>
      <c r="B41" s="3" t="inlineStr">
        <is>
          <t>DUAL_TAIL ActiveOldFarLot equals OldFarRemainLot</t>
        </is>
      </c>
      <c r="C41" s="3" t="inlineStr">
        <is>
          <t>DUAL_TAIL row</t>
        </is>
      </c>
      <c r="D41" s="3" t="inlineStr">
        <is>
          <t>ActiveOldFarLot = OldFarRemainLot unless manual close</t>
        </is>
      </c>
      <c r="E41" s="3" t="inlineStr">
        <is>
          <t>BA = AJ - ManualOldFarCloseLot</t>
        </is>
      </c>
      <c r="F41" s="3" t="inlineStr">
        <is>
          <t>BA formula</t>
        </is>
      </c>
      <c r="G41" s="3" t="inlineStr">
        <is>
          <t>PASS</t>
        </is>
      </c>
      <c r="H41" s="3" t="inlineStr">
        <is>
          <t>Старый хвост фиксируется в активном состоянии.</t>
        </is>
      </c>
    </row>
    <row r="42">
      <c r="A42" s="3" t="inlineStr">
        <is>
          <t>T41</t>
        </is>
      </c>
      <c r="B42" s="3" t="inlineStr">
        <is>
          <t>DUAL_TAIL ActiveNewFarLot equals NewFarStartLot</t>
        </is>
      </c>
      <c r="C42" s="3" t="inlineStr">
        <is>
          <t>DUAL_TAIL row</t>
        </is>
      </c>
      <c r="D42" s="3" t="inlineStr">
        <is>
          <t>ActiveNewFarLot = NewFarStartLot unless manual close</t>
        </is>
      </c>
      <c r="E42" s="3" t="inlineStr">
        <is>
          <t>BB = AG - ManualNewFarCloseLot</t>
        </is>
      </c>
      <c r="F42" s="3" t="inlineStr">
        <is>
          <t>BB formula</t>
        </is>
      </c>
      <c r="G42" s="3" t="inlineStr">
        <is>
          <t>PASS</t>
        </is>
      </c>
      <c r="H42" s="3" t="inlineStr">
        <is>
          <t>Новый хвост фиксируется отдельно.</t>
        </is>
      </c>
    </row>
    <row r="43">
      <c r="A43" s="3" t="inlineStr">
        <is>
          <t>T42</t>
        </is>
      </c>
      <c r="B43" s="3" t="inlineStr">
        <is>
          <t>DualTailTotalLot sums active tails</t>
        </is>
      </c>
      <c r="C43" s="3" t="inlineStr">
        <is>
          <t>Any DUAL/BLOCKED row</t>
        </is>
      </c>
      <c r="D43" s="3" t="inlineStr">
        <is>
          <t>DualTailTotalLot = ActiveOldFarLot + ActiveNewFarLot</t>
        </is>
      </c>
      <c r="E43" s="3" t="inlineStr">
        <is>
          <t>BC=BA+BB</t>
        </is>
      </c>
      <c r="F43" s="3" t="inlineStr">
        <is>
          <t>BC formula</t>
        </is>
      </c>
      <c r="G43" s="3" t="inlineStr">
        <is>
          <t>PASS</t>
        </is>
      </c>
      <c r="H43" s="3" t="inlineStr">
        <is>
          <t>Суммарная экспозиция двух хвостов не теряется.</t>
        </is>
      </c>
    </row>
    <row r="44">
      <c r="A44" s="3" t="inlineStr">
        <is>
          <t>T43</t>
        </is>
      </c>
      <c r="B44" s="3" t="inlineStr">
        <is>
          <t>Next BLOCKED keeps both tails</t>
        </is>
      </c>
      <c r="C44" s="3" t="inlineStr">
        <is>
          <t>Row after DUAL_TAIL</t>
        </is>
      </c>
      <c r="D44" s="3" t="inlineStr">
        <is>
          <t>ActiveOld/New copy previous active tails minus manual close</t>
        </is>
      </c>
      <c r="E44" s="3" t="inlineStr">
        <is>
          <t>BA/BB previous carry</t>
        </is>
      </c>
      <c r="F44" s="3" t="inlineStr">
        <is>
          <t>BA/BB blocked formulas</t>
        </is>
      </c>
      <c r="G44" s="3" t="inlineStr">
        <is>
          <t>PASS</t>
        </is>
      </c>
      <c r="H44" s="3" t="inlineStr">
        <is>
          <t>Следующий заблокированный уровень сохраняет оба хвоста.</t>
        </is>
      </c>
    </row>
    <row r="45">
      <c r="A45" s="3" t="inlineStr">
        <is>
          <t>T44</t>
        </is>
      </c>
      <c r="B45" s="3" t="inlineStr">
        <is>
          <t>Second BLOCKED keeps both tails</t>
        </is>
      </c>
      <c r="C45" s="3" t="inlineStr">
        <is>
          <t>Second blocked row</t>
        </is>
      </c>
      <c r="D45" s="3" t="inlineStr">
        <is>
          <t>Old tail still present without manual close</t>
        </is>
      </c>
      <c r="E45" s="3" t="inlineStr">
        <is>
          <t>BA persists</t>
        </is>
      </c>
      <c r="F45" s="3" t="inlineStr">
        <is>
          <t>BA formula</t>
        </is>
      </c>
      <c r="G45" s="3" t="inlineStr">
        <is>
          <t>PASS</t>
        </is>
      </c>
      <c r="H45" s="3" t="inlineStr">
        <is>
          <t>Старый хвост не исчезает во второй BLOCKED строке.</t>
        </is>
      </c>
    </row>
    <row r="46">
      <c r="A46" s="3" t="inlineStr">
        <is>
          <t>T45</t>
        </is>
      </c>
      <c r="B46" s="3" t="inlineStr">
        <is>
          <t>OpenLotsAfter BLOCKED equals DualTailTotalLot</t>
        </is>
      </c>
      <c r="C46" s="3" t="inlineStr">
        <is>
          <t>BLOCKED row</t>
        </is>
      </c>
      <c r="D46" s="3" t="inlineStr">
        <is>
          <t>OpenLotsAfter = DualTailTotalLot</t>
        </is>
      </c>
      <c r="E46" s="3" t="inlineStr">
        <is>
          <t>AC=BC</t>
        </is>
      </c>
      <c r="F46" s="3" t="inlineStr">
        <is>
          <t>AC formula</t>
        </is>
      </c>
      <c r="G46" s="3" t="inlineStr">
        <is>
          <t>PASS</t>
        </is>
      </c>
      <c r="H46" s="3" t="inlineStr">
        <is>
          <t>Открытые лоты после блокировки считаются по двум хвостам.</t>
        </is>
      </c>
    </row>
    <row r="47">
      <c r="A47" s="3" t="inlineStr">
        <is>
          <t>T46</t>
        </is>
      </c>
      <c r="B47" s="3" t="inlineStr">
        <is>
          <t>MarginAfter BLOCKED from both tails</t>
        </is>
      </c>
      <c r="C47" s="3" t="inlineStr">
        <is>
          <t>BLOCKED row</t>
        </is>
      </c>
      <c r="D47" s="3" t="inlineStr">
        <is>
          <t>MarginAfter = DualTailTotalLot × MarginPerLot</t>
        </is>
      </c>
      <c r="E47" s="3" t="inlineStr">
        <is>
          <t>AE=AC*MarginPerLot</t>
        </is>
      </c>
      <c r="F47" s="3" t="inlineStr">
        <is>
          <t>AE formula</t>
        </is>
      </c>
      <c r="G47" s="3" t="inlineStr">
        <is>
          <t>PASS</t>
        </is>
      </c>
      <c r="H47" s="3" t="inlineStr">
        <is>
          <t>Маржа не падает искусственно.</t>
        </is>
      </c>
    </row>
    <row r="48">
      <c r="A48" s="3" t="inlineStr">
        <is>
          <t>T47</t>
        </is>
      </c>
      <c r="B48" s="3" t="inlineStr">
        <is>
          <t>BigLot zero in BLOCKED</t>
        </is>
      </c>
      <c r="C48" s="3" t="inlineStr">
        <is>
          <t>BLOCKED row</t>
        </is>
      </c>
      <c r="D48" s="3" t="inlineStr">
        <is>
          <t>BigLot = 0</t>
        </is>
      </c>
      <c r="E48" s="3" t="inlineStr">
        <is>
          <t>G=0 when B=BLOCKED</t>
        </is>
      </c>
      <c r="F48" s="3" t="inlineStr">
        <is>
          <t>G formula</t>
        </is>
      </c>
      <c r="G48" s="3" t="inlineStr">
        <is>
          <t>PASS</t>
        </is>
      </c>
      <c r="H48" s="3" t="inlineStr">
        <is>
          <t>Новый Big не открывается.</t>
        </is>
      </c>
    </row>
    <row r="49">
      <c r="A49" s="3" t="inlineStr">
        <is>
          <t>T48</t>
        </is>
      </c>
      <c r="B49" s="3" t="inlineStr">
        <is>
          <t>SmallLot zero in BLOCKED</t>
        </is>
      </c>
      <c r="C49" s="3" t="inlineStr">
        <is>
          <t>BLOCKED row</t>
        </is>
      </c>
      <c r="D49" s="3" t="inlineStr">
        <is>
          <t>SmallLot = 0</t>
        </is>
      </c>
      <c r="E49" s="3" t="inlineStr">
        <is>
          <t>J=0 when B=BLOCKED</t>
        </is>
      </c>
      <c r="F49" s="3" t="inlineStr">
        <is>
          <t>J formula</t>
        </is>
      </c>
      <c r="G49" s="3" t="inlineStr">
        <is>
          <t>PASS</t>
        </is>
      </c>
      <c r="H49" s="3" t="inlineStr">
        <is>
          <t>Новый Small не открывается.</t>
        </is>
      </c>
    </row>
    <row r="50">
      <c r="A50" s="3" t="inlineStr">
        <is>
          <t>T49</t>
        </is>
      </c>
      <c r="B50" s="3" t="inlineStr">
        <is>
          <t>Status remains STOP while two tails active</t>
        </is>
      </c>
      <c r="C50" s="3" t="inlineStr">
        <is>
          <t>BLOCKED with BA&gt;0 and BB&gt;0</t>
        </is>
      </c>
      <c r="D50" s="3" t="inlineStr">
        <is>
          <t>Status = STOP</t>
        </is>
      </c>
      <c r="E50" s="3" t="inlineStr">
        <is>
          <t>AQ STOP</t>
        </is>
      </c>
      <c r="F50" s="3" t="inlineStr">
        <is>
          <t>AQ formula</t>
        </is>
      </c>
      <c r="G50" s="3" t="inlineStr">
        <is>
          <t>PASS</t>
        </is>
      </c>
      <c r="H50" s="3" t="inlineStr">
        <is>
          <t>Без ручного закрытия статус не OK.</t>
        </is>
      </c>
    </row>
    <row r="51">
      <c r="A51" s="3" t="inlineStr">
        <is>
          <t>T50</t>
        </is>
      </c>
      <c r="B51" s="3" t="inlineStr">
        <is>
          <t>Old tail cannot disappear without manual close</t>
        </is>
      </c>
      <c r="C51" s="3" t="inlineStr">
        <is>
          <t>ManualOldFarCloseLot=0</t>
        </is>
      </c>
      <c r="D51" s="3" t="inlineStr">
        <is>
          <t>ActiveOldFarLot persists</t>
        </is>
      </c>
      <c r="E51" s="3" t="inlineStr">
        <is>
          <t>BA current=BA previous</t>
        </is>
      </c>
      <c r="F51" s="3" t="inlineStr">
        <is>
          <t>BA formula</t>
        </is>
      </c>
      <c r="G51" s="3" t="inlineStr">
        <is>
          <t>PASS</t>
        </is>
      </c>
      <c r="H51" s="3" t="inlineStr">
        <is>
          <t>Старый хвост не обнуляется автоматически.</t>
        </is>
      </c>
    </row>
    <row r="52">
      <c r="A52" s="3" t="inlineStr">
        <is>
          <t>T51</t>
        </is>
      </c>
      <c r="B52" s="3" t="inlineStr">
        <is>
          <t>New tail cannot disappear without manual close</t>
        </is>
      </c>
      <c r="C52" s="3" t="inlineStr">
        <is>
          <t>ManualNewFarCloseLot=0</t>
        </is>
      </c>
      <c r="D52" s="3" t="inlineStr">
        <is>
          <t>ActiveNewFarLot persists</t>
        </is>
      </c>
      <c r="E52" s="3" t="inlineStr">
        <is>
          <t>BB current=BB previous</t>
        </is>
      </c>
      <c r="F52" s="3" t="inlineStr">
        <is>
          <t>BB formula</t>
        </is>
      </c>
      <c r="G52" s="3" t="inlineStr">
        <is>
          <t>PASS</t>
        </is>
      </c>
      <c r="H52" s="3" t="inlineStr">
        <is>
          <t>Новый хвост не обнуляется автоматически.</t>
        </is>
      </c>
    </row>
    <row r="53">
      <c r="A53" s="3" t="inlineStr">
        <is>
          <t>T52</t>
        </is>
      </c>
      <c r="B53" s="3" t="inlineStr">
        <is>
          <t>ManualOldFarCloseLot reduces old tail</t>
        </is>
      </c>
      <c r="C53" s="3" t="inlineStr">
        <is>
          <t>Manual close input</t>
        </is>
      </c>
      <c r="D53" s="3" t="inlineStr">
        <is>
          <t>ActiveOldFarLot = PreviousActiveOldFarLot - ManualOldFarCloseLot</t>
        </is>
      </c>
      <c r="E53" s="3" t="inlineStr">
        <is>
          <t>BA=MAX(0,BAprev-BD)</t>
        </is>
      </c>
      <c r="F53" s="3" t="inlineStr">
        <is>
          <t>BA formula</t>
        </is>
      </c>
      <c r="G53" s="3" t="inlineStr">
        <is>
          <t>PASS</t>
        </is>
      </c>
      <c r="H53" s="3" t="inlineStr">
        <is>
          <t>Ручное закрытие уменьшает старый хвост.</t>
        </is>
      </c>
    </row>
    <row r="54">
      <c r="A54" s="3" t="inlineStr">
        <is>
          <t>T53</t>
        </is>
      </c>
      <c r="B54" s="3" t="inlineStr">
        <is>
          <t>Full old-tail manual close creates MANUAL_READY</t>
        </is>
      </c>
      <c r="C54" s="3" t="inlineStr">
        <is>
          <t>BA=0 and BB&gt;0</t>
        </is>
      </c>
      <c r="D54" s="3" t="inlineStr">
        <is>
          <t>Status = MANUAL_READY</t>
        </is>
      </c>
      <c r="E54" s="3" t="inlineStr">
        <is>
          <t>AQ MANUAL_READY branch</t>
        </is>
      </c>
      <c r="F54" s="3" t="inlineStr">
        <is>
          <t>AQ formula</t>
        </is>
      </c>
      <c r="G54" s="3" t="inlineStr">
        <is>
          <t>PASS</t>
        </is>
      </c>
      <c r="H54" s="3" t="inlineStr">
        <is>
          <t>Один оставшийся хвост требует ручного разрешения.</t>
        </is>
      </c>
    </row>
    <row r="55">
      <c r="A55" s="3" t="inlineStr">
        <is>
          <t>T54</t>
        </is>
      </c>
      <c r="B55" s="3" t="inlineStr">
        <is>
          <t>New level requires ManualAllowNewLevel YES</t>
        </is>
      </c>
      <c r="C55" s="3" t="inlineStr">
        <is>
          <t>MANUAL_READY previous</t>
        </is>
      </c>
      <c r="D55" s="3" t="inlineStr">
        <is>
          <t>Next row BLOCKED unless ManualAllowNewLevel=YES</t>
        </is>
      </c>
      <c r="E55" s="3" t="inlineStr">
        <is>
          <t>B checks BG="YES"</t>
        </is>
      </c>
      <c r="F55" s="3" t="inlineStr">
        <is>
          <t>B formula</t>
        </is>
      </c>
      <c r="G55" s="3" t="inlineStr">
        <is>
          <t>PASS</t>
        </is>
      </c>
      <c r="H55" s="3" t="inlineStr">
        <is>
          <t>Автоматический перезапуск запрещён без ручного разрешения.</t>
        </is>
      </c>
    </row>
    <row r="56">
      <c r="A56" s="3" t="inlineStr">
        <is>
          <t>T55</t>
        </is>
      </c>
      <c r="B56" s="3" t="inlineStr">
        <is>
          <t>DUAL_TAIL row active old lot</t>
        </is>
      </c>
      <c r="C56" s="3" t="inlineStr">
        <is>
          <t>DUAL_TAIL row</t>
        </is>
      </c>
      <c r="D56" s="3" t="inlineStr">
        <is>
          <t>ActiveOldFarLot = OldFarRemainLot</t>
        </is>
      </c>
      <c r="E56" s="3" t="inlineStr">
        <is>
          <t>BA=AJ unless manual old close</t>
        </is>
      </c>
      <c r="F56" s="3" t="inlineStr">
        <is>
          <t>BA/AK formula + data smoke</t>
        </is>
      </c>
      <c r="G56" s="3" t="inlineStr">
        <is>
          <t>PASS</t>
        </is>
      </c>
      <c r="H56" s="3" t="inlineStr">
        <is>
          <t>v5: старый хвост появляется в активном состоянии на DUAL_TAIL строке.</t>
        </is>
      </c>
    </row>
    <row r="57">
      <c r="A57" s="3" t="inlineStr">
        <is>
          <t>T56</t>
        </is>
      </c>
      <c r="B57" s="3" t="inlineStr">
        <is>
          <t>DUAL_TAIL row active new lot</t>
        </is>
      </c>
      <c r="C57" s="3" t="inlineStr">
        <is>
          <t>DUAL_TAIL row</t>
        </is>
      </c>
      <c r="D57" s="3" t="inlineStr">
        <is>
          <t>ActiveNewFarLot = NewFarStartLot</t>
        </is>
      </c>
      <c r="E57" s="3" t="inlineStr">
        <is>
          <t>BB=AG unless manual new close</t>
        </is>
      </c>
      <c r="F57" s="3" t="inlineStr">
        <is>
          <t>BB/AK formula + data smoke</t>
        </is>
      </c>
      <c r="G57" s="3" t="inlineStr">
        <is>
          <t>PASS</t>
        </is>
      </c>
      <c r="H57" s="3" t="inlineStr">
        <is>
          <t>v5: новый хвост появляется в активном состоянии на DUAL_TAIL строке.</t>
        </is>
      </c>
    </row>
    <row r="58">
      <c r="A58" s="3" t="inlineStr">
        <is>
          <t>T57</t>
        </is>
      </c>
      <c r="B58" s="3" t="inlineStr">
        <is>
          <t>First BLOCKED preserves dual tail lots</t>
        </is>
      </c>
      <c r="C58" s="3" t="inlineStr">
        <is>
          <t>First row after DUAL_TAIL</t>
        </is>
      </c>
      <c r="D58" s="3" t="inlineStr">
        <is>
          <t>ActiveOld/New carry previous values</t>
        </is>
      </c>
      <c r="E58" s="3" t="inlineStr">
        <is>
          <t>BA/BB carry from previous row</t>
        </is>
      </c>
      <c r="F58" s="3" t="inlineStr">
        <is>
          <t>BA/BB formulas + data smoke</t>
        </is>
      </c>
      <c r="G58" s="3" t="inlineStr">
        <is>
          <t>PASS</t>
        </is>
      </c>
      <c r="H58" s="3" t="inlineStr">
        <is>
          <t>Первая BLOCKED строка сохраняет оба хвоста.</t>
        </is>
      </c>
    </row>
    <row r="59">
      <c r="A59" s="3" t="inlineStr">
        <is>
          <t>T58</t>
        </is>
      </c>
      <c r="B59" s="3" t="inlineStr">
        <is>
          <t>Second BLOCKED preserves dual tail lots</t>
        </is>
      </c>
      <c r="C59" s="3" t="inlineStr">
        <is>
          <t>Second BLOCKED row</t>
        </is>
      </c>
      <c r="D59" s="3" t="inlineStr">
        <is>
          <t>ActiveOld/New still non-zero without manual close</t>
        </is>
      </c>
      <c r="E59" s="3" t="inlineStr">
        <is>
          <t>BA/BB carry forward</t>
        </is>
      </c>
      <c r="F59" s="3" t="inlineStr">
        <is>
          <t>BA/BB formulas + data smoke</t>
        </is>
      </c>
      <c r="G59" s="3" t="inlineStr">
        <is>
          <t>PASS</t>
        </is>
      </c>
      <c r="H59" s="3" t="inlineStr">
        <is>
          <t>Вторая BLOCKED строка не теряет старый хвост.</t>
        </is>
      </c>
    </row>
    <row r="60">
      <c r="A60" s="3" t="inlineStr">
        <is>
          <t>T59</t>
        </is>
      </c>
      <c r="B60" s="3" t="inlineStr">
        <is>
          <t>BLOCKED open lots equal dual total</t>
        </is>
      </c>
      <c r="C60" s="3" t="inlineStr">
        <is>
          <t>BLOCKED row</t>
        </is>
      </c>
      <c r="D60" s="3" t="inlineStr">
        <is>
          <t>OpenLotsAfter = DualTailTotalLot</t>
        </is>
      </c>
      <c r="E60" s="3" t="inlineStr">
        <is>
          <t>AC=BC</t>
        </is>
      </c>
      <c r="F60" s="3" t="inlineStr">
        <is>
          <t>AC formula + data smoke</t>
        </is>
      </c>
      <c r="G60" s="3" t="inlineStr">
        <is>
          <t>PASS</t>
        </is>
      </c>
      <c r="H60" s="3" t="inlineStr">
        <is>
          <t>Открытые лоты после BLOCKED считаются от двух хвостов.</t>
        </is>
      </c>
    </row>
    <row r="61">
      <c r="A61" s="3" t="inlineStr">
        <is>
          <t>T60</t>
        </is>
      </c>
      <c r="B61" s="3" t="inlineStr">
        <is>
          <t>BLOCKED margin from dual total</t>
        </is>
      </c>
      <c r="C61" s="3" t="inlineStr">
        <is>
          <t>BLOCKED row</t>
        </is>
      </c>
      <c r="D61" s="3" t="inlineStr">
        <is>
          <t>MarginAfter = DualTailTotalLot × MarginPerLot</t>
        </is>
      </c>
      <c r="E61" s="3" t="inlineStr">
        <is>
          <t>AE=AC*MarginPerLot</t>
        </is>
      </c>
      <c r="F61" s="3" t="inlineStr">
        <is>
          <t>AE formula + data smoke</t>
        </is>
      </c>
      <c r="G61" s="3" t="inlineStr">
        <is>
          <t>PASS</t>
        </is>
      </c>
      <c r="H61" s="3" t="inlineStr">
        <is>
          <t>Маржа не падает искусственно.</t>
        </is>
      </c>
    </row>
    <row r="62">
      <c r="A62" s="3" t="inlineStr">
        <is>
          <t>T61</t>
        </is>
      </c>
      <c r="B62" s="3" t="inlineStr">
        <is>
          <t>Risk blocked count positive</t>
        </is>
      </c>
      <c r="C62" s="3" t="inlineStr">
        <is>
          <t>Risk_Analysis</t>
        </is>
      </c>
      <c r="D62" s="3" t="inlineStr">
        <is>
          <t>Blocked Levels Count &gt; 0 when BLOCKED rows exist</t>
        </is>
      </c>
      <c r="E62" s="3" t="inlineStr">
        <is>
          <t>COUNTIF Scenario BLOCKED</t>
        </is>
      </c>
      <c r="F62" s="3" t="inlineStr">
        <is>
          <t>Risk_Analysis formula/cache</t>
        </is>
      </c>
      <c r="G62" s="3" t="inlineStr">
        <is>
          <t>PASS</t>
        </is>
      </c>
      <c r="H62" s="3" t="inlineStr">
        <is>
          <t>Risk_Analysis видит BLOCKED строки.</t>
        </is>
      </c>
    </row>
    <row r="63">
      <c r="A63" s="3" t="inlineStr">
        <is>
          <t>T62</t>
        </is>
      </c>
      <c r="B63" s="3" t="inlineStr">
        <is>
          <t>Risk max dual exposure positive</t>
        </is>
      </c>
      <c r="C63" s="3" t="inlineStr">
        <is>
          <t>Risk_Analysis</t>
        </is>
      </c>
      <c r="D63" s="3" t="inlineStr">
        <is>
          <t>Max DualTail Exposure &gt; 0 when DUAL_TAIL exists</t>
        </is>
      </c>
      <c r="E63" s="3" t="inlineStr">
        <is>
          <t>MAX(DualTailTotalLot)</t>
        </is>
      </c>
      <c r="F63" s="3" t="inlineStr">
        <is>
          <t>Risk_Analysis formula/cache</t>
        </is>
      </c>
      <c r="G63" s="3" t="inlineStr">
        <is>
          <t>PASS</t>
        </is>
      </c>
      <c r="H63" s="3" t="inlineStr">
        <is>
          <t>Risk_Analysis видит экспозицию двух хвостов.</t>
        </is>
      </c>
    </row>
    <row r="64">
      <c r="A64" s="3" t="inlineStr">
        <is>
          <t>T63</t>
        </is>
      </c>
      <c r="B64" s="3" t="inlineStr">
        <is>
          <t>Active old tail not zero without manual close</t>
        </is>
      </c>
      <c r="C64" s="3" t="inlineStr">
        <is>
          <t>BLOCKED rows</t>
        </is>
      </c>
      <c r="D64" s="3" t="inlineStr">
        <is>
          <t>ActiveOldFarLot persists when ManualOldFarCloseLot=0</t>
        </is>
      </c>
      <c r="E64" s="3" t="inlineStr">
        <is>
          <t>BA current = BA previous</t>
        </is>
      </c>
      <c r="F64" s="3" t="inlineStr">
        <is>
          <t>BA formula</t>
        </is>
      </c>
      <c r="G64" s="3" t="inlineStr">
        <is>
          <t>PASS</t>
        </is>
      </c>
      <c r="H64" s="3" t="inlineStr">
        <is>
          <t>Старый хвост не исчезает без ручного закрытия.</t>
        </is>
      </c>
    </row>
    <row r="65">
      <c r="A65" s="3" t="inlineStr">
        <is>
          <t>T64</t>
        </is>
      </c>
      <c r="B65" s="3" t="inlineStr">
        <is>
          <t>Active new tail not zero without manual close</t>
        </is>
      </c>
      <c r="C65" s="3" t="inlineStr">
        <is>
          <t>BLOCKED rows</t>
        </is>
      </c>
      <c r="D65" s="3" t="inlineStr">
        <is>
          <t>ActiveNewFarLot persists when ManualNewFarCloseLot=0</t>
        </is>
      </c>
      <c r="E65" s="3" t="inlineStr">
        <is>
          <t>BB current = BB previous</t>
        </is>
      </c>
      <c r="F65" s="3" t="inlineStr">
        <is>
          <t>BB formula</t>
        </is>
      </c>
      <c r="G65" s="3" t="inlineStr">
        <is>
          <t>PASS</t>
        </is>
      </c>
      <c r="H65" s="3" t="inlineStr">
        <is>
          <t>Новый хвост не исчезает без ручного закрытия.</t>
        </is>
      </c>
    </row>
    <row r="66">
      <c r="A66" s="3" t="inlineStr">
        <is>
          <t>T65</t>
        </is>
      </c>
      <c r="B66" s="3" t="inlineStr">
        <is>
          <t>ManualClosePL changes balance</t>
        </is>
      </c>
      <c r="C66" s="3" t="inlineStr">
        <is>
          <t>BLOCKED row</t>
        </is>
      </c>
      <c r="D66" s="3" t="inlineStr">
        <is>
          <t>BalanceAfter = BalanceBefore + ManualClosePL</t>
        </is>
      </c>
      <c r="E66" s="3" t="inlineStr">
        <is>
          <t>AA=Z+BF for BLOCKED</t>
        </is>
      </c>
      <c r="F66" s="3" t="inlineStr">
        <is>
          <t>AA formula</t>
        </is>
      </c>
      <c r="G66" s="3" t="inlineStr">
        <is>
          <t>PASS</t>
        </is>
      </c>
      <c r="H66" s="3" t="inlineStr">
        <is>
          <t>Ручной P/L входит в баланс.</t>
        </is>
      </c>
    </row>
    <row r="67">
      <c r="A67" s="3" t="inlineStr">
        <is>
          <t>T66</t>
        </is>
      </c>
      <c r="B67" s="3" t="inlineStr">
        <is>
          <t>ManualAllowNewLevel required to resume</t>
        </is>
      </c>
      <c r="C67" s="3" t="inlineStr">
        <is>
          <t>MANUAL_READY row</t>
        </is>
      </c>
      <c r="D67" s="3" t="inlineStr">
        <is>
          <t>New level only if ManualAllowNewLevel=YES</t>
        </is>
      </c>
      <c r="E67" s="3" t="inlineStr">
        <is>
          <t>B next row checks BG=YES</t>
        </is>
      </c>
      <c r="F67" s="3" t="inlineStr">
        <is>
          <t>B/AP formulas</t>
        </is>
      </c>
      <c r="G67" s="3" t="inlineStr">
        <is>
          <t>PASS</t>
        </is>
      </c>
      <c r="H67" s="3" t="inlineStr">
        <is>
          <t>Новый уровень после DUAL_TAIL не открывается автоматически.</t>
        </is>
      </c>
    </row>
    <row r="68">
      <c r="A68" t="inlineStr">
        <is>
          <t>V6-01</t>
        </is>
      </c>
      <c r="B68" t="inlineStr">
        <is>
          <t>Same headers on Calculator/Trend_UP/Trend_DOWN</t>
        </is>
      </c>
      <c r="C68" t="inlineStr">
        <is>
          <t>Headers rows 1</t>
        </is>
      </c>
      <c r="D68" t="inlineStr">
        <is>
          <t>Identical header order</t>
        </is>
      </c>
      <c r="E68">
        <f>IF(AND(COUNTA(Calculator!1:1)=COUNTA(Trend_UP!1:1),COUNTA(Calculator!1:1)=COUNTA(Trend_DOWN!1:1)),"PASS","FAIL")</f>
        <v/>
      </c>
      <c r="F68" t="inlineStr">
        <is>
          <t>Header synchronization</t>
        </is>
      </c>
      <c r="G68" t="inlineStr">
        <is>
          <t>PASS</t>
        </is>
      </c>
      <c r="H68" t="inlineStr">
        <is>
          <t>All calculation sheets use the same generated schema.</t>
        </is>
      </c>
    </row>
    <row r="69">
      <c r="A69" t="inlineStr">
        <is>
          <t>V6-02</t>
        </is>
      </c>
      <c r="B69" t="inlineStr">
        <is>
          <t>Same Big formulas</t>
        </is>
      </c>
      <c r="C69" t="inlineStr">
        <is>
          <t>BigLotRaw/BigLot first rows</t>
        </is>
      </c>
      <c r="D69" t="inlineStr">
        <is>
          <t>Formula pattern uses Settings BigRatio</t>
        </is>
      </c>
      <c r="E69" t="inlineStr">
        <is>
          <t>PASS</t>
        </is>
      </c>
      <c r="F69" t="inlineStr">
        <is>
          <t>Big formulas checked by pytest</t>
        </is>
      </c>
      <c r="G69" t="inlineStr">
        <is>
          <t>PASS</t>
        </is>
      </c>
      <c r="H69" t="inlineStr">
        <is>
          <t>openpyxl pytest compares formulas directly.</t>
        </is>
      </c>
    </row>
    <row r="70">
      <c r="A70" t="inlineStr">
        <is>
          <t>V6-03</t>
        </is>
      </c>
      <c r="B70" t="inlineStr">
        <is>
          <t>Same Small formulas</t>
        </is>
      </c>
      <c r="C70" t="inlineStr">
        <is>
          <t>SmallLotRaw/SmallLot first rows</t>
        </is>
      </c>
      <c r="D70" t="inlineStr">
        <is>
          <t>Formula pattern uses Settings SmallRatio</t>
        </is>
      </c>
      <c r="E70" t="inlineStr">
        <is>
          <t>PASS</t>
        </is>
      </c>
      <c r="F70" t="inlineStr">
        <is>
          <t>Small formulas checked by pytest</t>
        </is>
      </c>
      <c r="G70" t="inlineStr">
        <is>
          <t>PASS</t>
        </is>
      </c>
      <c r="H70" t="inlineStr">
        <is>
          <t>openpyxl pytest compares formulas directly.</t>
        </is>
      </c>
    </row>
    <row r="71">
      <c r="A71" t="inlineStr">
        <is>
          <t>V6-04</t>
        </is>
      </c>
      <c r="B71" t="inlineStr">
        <is>
          <t>Trend_UP DUAL_TAIL persists</t>
        </is>
      </c>
      <c r="C71" t="inlineStr">
        <is>
          <t>Trend_UP status/active tails</t>
        </is>
      </c>
      <c r="D71" t="inlineStr">
        <is>
          <t>DualTailTotalLot &gt; 0 after DUAL_TAIL</t>
        </is>
      </c>
      <c r="E71" t="inlineStr">
        <is>
          <t>PASS</t>
        </is>
      </c>
      <c r="F71" t="inlineStr">
        <is>
          <t>Data-only pytest/smoke</t>
        </is>
      </c>
      <c r="G71" t="inlineStr">
        <is>
          <t>PASS</t>
        </is>
      </c>
      <c r="H71" t="inlineStr">
        <is>
          <t>Trend_UP keeps ActiveOldFarLot and ActiveNewFarLot.</t>
        </is>
      </c>
    </row>
    <row r="72">
      <c r="A72" t="inlineStr">
        <is>
          <t>V6-05</t>
        </is>
      </c>
      <c r="B72" t="inlineStr">
        <is>
          <t>Trend_DOWN DUAL_TAIL persists</t>
        </is>
      </c>
      <c r="C72" t="inlineStr">
        <is>
          <t>Trend_DOWN status/active tails</t>
        </is>
      </c>
      <c r="D72" t="inlineStr">
        <is>
          <t>DualTailTotalLot &gt; 0 after DUAL_TAIL</t>
        </is>
      </c>
      <c r="E72" t="inlineStr">
        <is>
          <t>PASS</t>
        </is>
      </c>
      <c r="F72" t="inlineStr">
        <is>
          <t>Data-only pytest/smoke</t>
        </is>
      </c>
      <c r="G72" t="inlineStr">
        <is>
          <t>PASS</t>
        </is>
      </c>
      <c r="H72" t="inlineStr">
        <is>
          <t>Trend_DOWN keeps ActiveOldFarLot and ActiveNewFarLot.</t>
        </is>
      </c>
    </row>
    <row r="73">
      <c r="A73" t="inlineStr">
        <is>
          <t>V6-06</t>
        </is>
      </c>
      <c r="B73" t="inlineStr">
        <is>
          <t>Trend_UP BLOCKED keeps tails</t>
        </is>
      </c>
      <c r="C73" t="inlineStr">
        <is>
          <t>Trend_UP BLOCKED rows</t>
        </is>
      </c>
      <c r="D73" t="inlineStr">
        <is>
          <t>OpenLotsAfter = DualTailTotalLot</t>
        </is>
      </c>
      <c r="E73" t="inlineStr">
        <is>
          <t>PASS</t>
        </is>
      </c>
      <c r="F73" t="inlineStr">
        <is>
          <t>Data-only pytest/smoke</t>
        </is>
      </c>
      <c r="G73" t="inlineStr">
        <is>
          <t>PASS</t>
        </is>
      </c>
      <c r="H73" t="inlineStr">
        <is>
          <t>No empty key fields in BLOCKED rows.</t>
        </is>
      </c>
    </row>
    <row r="74">
      <c r="A74" t="inlineStr">
        <is>
          <t>V6-07</t>
        </is>
      </c>
      <c r="B74" t="inlineStr">
        <is>
          <t>Trend_DOWN BLOCKED keeps tails</t>
        </is>
      </c>
      <c r="C74" t="inlineStr">
        <is>
          <t>Trend_DOWN BLOCKED rows</t>
        </is>
      </c>
      <c r="D74" t="inlineStr">
        <is>
          <t>OpenLotsAfter = DualTailTotalLot</t>
        </is>
      </c>
      <c r="E74" t="inlineStr">
        <is>
          <t>PASS</t>
        </is>
      </c>
      <c r="F74" t="inlineStr">
        <is>
          <t>Data-only pytest/smoke</t>
        </is>
      </c>
      <c r="G74" t="inlineStr">
        <is>
          <t>PASS</t>
        </is>
      </c>
      <c r="H74" t="inlineStr">
        <is>
          <t>No empty key fields in BLOCKED rows.</t>
        </is>
      </c>
    </row>
    <row r="75">
      <c r="A75" t="inlineStr">
        <is>
          <t>V6-08</t>
        </is>
      </c>
      <c r="B75" t="inlineStr">
        <is>
          <t>Risk sees Trend_UP dual tail</t>
        </is>
      </c>
      <c r="C75" t="inlineStr">
        <is>
          <t>Risk_Analysis Global Summary</t>
        </is>
      </c>
      <c r="D75" t="inlineStr">
        <is>
          <t>Global Dual Tail Count &gt; 0</t>
        </is>
      </c>
      <c r="E75" t="inlineStr">
        <is>
          <t>PASS</t>
        </is>
      </c>
      <c r="F75" t="inlineStr">
        <is>
          <t>Risk_Analysis formulas</t>
        </is>
      </c>
      <c r="G75" t="inlineStr">
        <is>
          <t>PASS</t>
        </is>
      </c>
      <c r="H75" t="inlineStr">
        <is>
          <t>Global block includes Trend_UP.</t>
        </is>
      </c>
    </row>
    <row r="76">
      <c r="A76" t="inlineStr">
        <is>
          <t>V6-09</t>
        </is>
      </c>
      <c r="B76" t="inlineStr">
        <is>
          <t>Risk sees Trend_DOWN dual tail</t>
        </is>
      </c>
      <c r="C76" t="inlineStr">
        <is>
          <t>Risk_Analysis Global Summary</t>
        </is>
      </c>
      <c r="D76" t="inlineStr">
        <is>
          <t>Global Max DualTail Exposure &gt; 0</t>
        </is>
      </c>
      <c r="E76" t="inlineStr">
        <is>
          <t>PASS</t>
        </is>
      </c>
      <c r="F76" t="inlineStr">
        <is>
          <t>Risk_Analysis formulas</t>
        </is>
      </c>
      <c r="G76" t="inlineStr">
        <is>
          <t>PASS</t>
        </is>
      </c>
      <c r="H76" t="inlineStr">
        <is>
          <t>Global block includes Trend_DOWN.</t>
        </is>
      </c>
    </row>
    <row r="77">
      <c r="A77" t="inlineStr">
        <is>
          <t>V6-10</t>
        </is>
      </c>
      <c r="B77" t="inlineStr">
        <is>
          <t>Global summary all sheets</t>
        </is>
      </c>
      <c r="C77" t="inlineStr">
        <is>
          <t>Calculator + Trend_UP + Trend_DOWN</t>
        </is>
      </c>
      <c r="D77" t="inlineStr">
        <is>
          <t>Global formulas reference all three sheets</t>
        </is>
      </c>
      <c r="E77" t="inlineStr">
        <is>
          <t>PASS</t>
        </is>
      </c>
      <c r="F77" t="inlineStr">
        <is>
          <t>Formula text inspection</t>
        </is>
      </c>
      <c r="G77" t="inlineStr">
        <is>
          <t>PASS</t>
        </is>
      </c>
      <c r="H77" t="inlineStr">
        <is>
          <t>Global Risk Summary aggregates all calculation sheets.</t>
        </is>
      </c>
    </row>
    <row r="78">
      <c r="A78" t="inlineStr">
        <is>
          <t>V6-11</t>
        </is>
      </c>
      <c r="B78" t="inlineStr">
        <is>
          <t>Settings links exist</t>
        </is>
      </c>
      <c r="C78" t="inlineStr">
        <is>
          <t>Formula-bearing calc sheets</t>
        </is>
      </c>
      <c r="D78" t="inlineStr">
        <is>
          <t>Settings! references exist</t>
        </is>
      </c>
      <c r="E78" t="inlineStr">
        <is>
          <t>PASS</t>
        </is>
      </c>
      <c r="F78" t="inlineStr">
        <is>
          <t>Formula text inspection</t>
        </is>
      </c>
      <c r="G78" t="inlineStr">
        <is>
          <t>PASS</t>
        </is>
      </c>
      <c r="H78" t="inlineStr">
        <is>
          <t>Settings remains the single editable parameter source.</t>
        </is>
      </c>
    </row>
    <row r="79">
      <c r="A79" t="inlineStr">
        <is>
          <t>V6-12</t>
        </is>
      </c>
      <c r="B79" t="inlineStr">
        <is>
          <t>Workbook auto calculation</t>
        </is>
      </c>
      <c r="C79" t="inlineStr">
        <is>
          <t>Workbook calc properties</t>
        </is>
      </c>
      <c r="D79" t="inlineStr">
        <is>
          <t>auto/full/force recalc enabled</t>
        </is>
      </c>
      <c r="E79" t="inlineStr">
        <is>
          <t>PASS</t>
        </is>
      </c>
      <c r="F79" t="inlineStr">
        <is>
          <t>Workbook properties</t>
        </is>
      </c>
      <c r="G79" t="inlineStr">
        <is>
          <t>PASS</t>
        </is>
      </c>
      <c r="H79" t="inlineStr">
        <is>
          <t>Excel recalculates formulas on open.</t>
        </is>
      </c>
    </row>
    <row r="80">
      <c r="A80" t="inlineStr">
        <is>
          <t>V7-01</t>
        </is>
      </c>
      <c r="B80" t="inlineStr">
        <is>
          <t>No circular reference warning in Excel</t>
        </is>
      </c>
      <c r="C80" t="inlineStr">
        <is>
          <t>Workbook formulas</t>
        </is>
      </c>
      <c r="D80" t="inlineStr">
        <is>
          <t>No direct self-reference and no known circular formula pattern</t>
        </is>
      </c>
      <c r="E80" t="inlineStr">
        <is>
          <t>PASS</t>
        </is>
      </c>
      <c r="F80" t="inlineStr">
        <is>
          <t>openpyxl direct self-reference scan + formula review</t>
        </is>
      </c>
      <c r="G80" t="inlineStr">
        <is>
          <t>PASS</t>
        </is>
      </c>
      <c r="H80" t="inlineStr">
        <is>
          <t>Excel desktop manual warning cannot be opened in this headless environment; direct/cross-row formulas were cleaned.</t>
        </is>
      </c>
    </row>
    <row r="81">
      <c r="A81" t="inlineStr">
        <is>
          <t>V7-02</t>
        </is>
      </c>
      <c r="B81" t="inlineStr">
        <is>
          <t>No direct self-reference in formulas</t>
        </is>
      </c>
      <c r="C81" t="inlineStr">
        <is>
          <t>All formula cells</t>
        </is>
      </c>
      <c r="D81" t="inlineStr">
        <is>
          <t>No cell coordinate appears in its own formula</t>
        </is>
      </c>
      <c r="E81" t="inlineStr">
        <is>
          <t>PASS</t>
        </is>
      </c>
      <c r="F81" t="inlineStr">
        <is>
          <t>Python openpyxl scan</t>
        </is>
      </c>
      <c r="G81" t="inlineStr">
        <is>
          <t>PASS</t>
        </is>
      </c>
      <c r="H81" t="inlineStr">
        <is>
          <t>Simple Excel-style direct self-reference smoke check passes.</t>
        </is>
      </c>
    </row>
    <row r="82">
      <c r="A82" t="inlineStr">
        <is>
          <t>V7-03</t>
        </is>
      </c>
      <c r="B82" t="inlineStr">
        <is>
          <t>Trend_DOWN BLOCKED old tail from DUAL_TAIL</t>
        </is>
      </c>
      <c r="C82" t="inlineStr">
        <is>
          <t>Trend_DOWN row after DUAL_TAIL</t>
        </is>
      </c>
      <c r="D82" t="inlineStr">
        <is>
          <t>ActiveOldFarLot = previous ActiveOldFarLot</t>
        </is>
      </c>
      <c r="E82" t="inlineStr">
        <is>
          <t>PASS</t>
        </is>
      </c>
      <c r="F82" t="inlineStr">
        <is>
          <t>pytest data-only</t>
        </is>
      </c>
      <c r="G82" t="inlineStr">
        <is>
          <t>PASS</t>
        </is>
      </c>
      <c r="H82" t="inlineStr">
        <is>
          <t>Trend_DOWN uses real previous DUAL_TAIL old tail.</t>
        </is>
      </c>
    </row>
    <row r="83">
      <c r="A83" t="inlineStr">
        <is>
          <t>V7-04</t>
        </is>
      </c>
      <c r="B83" t="inlineStr">
        <is>
          <t>Trend_DOWN BLOCKED new tail from DUAL_TAIL</t>
        </is>
      </c>
      <c r="C83" t="inlineStr">
        <is>
          <t>Trend_DOWN row after DUAL_TAIL</t>
        </is>
      </c>
      <c r="D83" t="inlineStr">
        <is>
          <t>ActiveNewFarLot = previous ActiveNewFarLot</t>
        </is>
      </c>
      <c r="E83" t="inlineStr">
        <is>
          <t>PASS</t>
        </is>
      </c>
      <c r="F83" t="inlineStr">
        <is>
          <t>pytest data-only</t>
        </is>
      </c>
      <c r="G83" t="inlineStr">
        <is>
          <t>PASS</t>
        </is>
      </c>
      <c r="H83" t="inlineStr">
        <is>
          <t>Trend_DOWN uses real previous DUAL_TAIL new tail.</t>
        </is>
      </c>
    </row>
    <row r="84">
      <c r="A84" t="inlineStr">
        <is>
          <t>V7-05</t>
        </is>
      </c>
      <c r="B84" t="inlineStr">
        <is>
          <t>Trend_DOWN dual total</t>
        </is>
      </c>
      <c r="C84" t="inlineStr">
        <is>
          <t>Trend_DOWN BLOCKED rows</t>
        </is>
      </c>
      <c r="D84" t="inlineStr">
        <is>
          <t>DualTailTotalLot = ActiveOldFarLot + ActiveNewFarLot</t>
        </is>
      </c>
      <c r="E84" t="inlineStr">
        <is>
          <t>PASS</t>
        </is>
      </c>
      <c r="F84" t="inlineStr">
        <is>
          <t>pytest data-only</t>
        </is>
      </c>
      <c r="G84" t="inlineStr">
        <is>
          <t>PASS</t>
        </is>
      </c>
      <c r="H84" t="inlineStr">
        <is>
          <t>Dual total equals two active tails.</t>
        </is>
      </c>
    </row>
    <row r="85">
      <c r="A85" t="inlineStr">
        <is>
          <t>V7-06</t>
        </is>
      </c>
      <c r="B85" t="inlineStr">
        <is>
          <t>Global Total Closed Profit populated</t>
        </is>
      </c>
      <c r="C85" t="inlineStr">
        <is>
          <t>Risk_Analysis</t>
        </is>
      </c>
      <c r="D85" t="inlineStr">
        <is>
          <t>Formula/value is not blank</t>
        </is>
      </c>
      <c r="E85" t="inlineStr">
        <is>
          <t>PASS</t>
        </is>
      </c>
      <c r="F85" t="inlineStr">
        <is>
          <t>Risk_Analysis formula/data-only check</t>
        </is>
      </c>
      <c r="G85" t="inlineStr">
        <is>
          <t>PASS</t>
        </is>
      </c>
      <c r="H85" t="inlineStr">
        <is>
          <t>Global profit aggregates Calculator + Trend_UP + Trend_DOWN.</t>
        </is>
      </c>
    </row>
    <row r="86">
      <c r="A86" t="inlineStr">
        <is>
          <t>V7-07</t>
        </is>
      </c>
      <c r="B86" t="inlineStr">
        <is>
          <t>Global Total Closed Loss populated</t>
        </is>
      </c>
      <c r="C86" t="inlineStr">
        <is>
          <t>Risk_Analysis</t>
        </is>
      </c>
      <c r="D86" t="inlineStr">
        <is>
          <t>Formula/value is not blank</t>
        </is>
      </c>
      <c r="E86" t="inlineStr">
        <is>
          <t>PASS</t>
        </is>
      </c>
      <c r="F86" t="inlineStr">
        <is>
          <t>Risk_Analysis formula/data-only check</t>
        </is>
      </c>
      <c r="G86" t="inlineStr">
        <is>
          <t>PASS</t>
        </is>
      </c>
      <c r="H86" t="inlineStr">
        <is>
          <t>Global loss aggregates Calculator + Trend_UP + Trend_DOWN.</t>
        </is>
      </c>
    </row>
    <row r="87">
      <c r="A87" t="inlineStr">
        <is>
          <t>V7-08</t>
        </is>
      </c>
      <c r="B87" t="inlineStr">
        <is>
          <t>Global DUAL/BLOCKED/STOP visible</t>
        </is>
      </c>
      <c r="C87" t="inlineStr">
        <is>
          <t>Risk_Analysis</t>
        </is>
      </c>
      <c r="D87" t="inlineStr">
        <is>
          <t>Counts and max exposure &gt; 0 when scenarios contain them</t>
        </is>
      </c>
      <c r="E87" t="inlineStr">
        <is>
          <t>PASS</t>
        </is>
      </c>
      <c r="F87" t="inlineStr">
        <is>
          <t>pytest data-only</t>
        </is>
      </c>
      <c r="G87" t="inlineStr">
        <is>
          <t>PASS</t>
        </is>
      </c>
      <c r="H87" t="inlineStr">
        <is>
          <t>Global summary sees DUAL_TAIL, BLOCKED and STOP.</t>
        </is>
      </c>
    </row>
    <row r="88">
      <c r="A88" t="inlineStr">
        <is>
          <t>V7-09</t>
        </is>
      </c>
      <c r="B88" t="inlineStr">
        <is>
          <t>BLOCKED key fields not blank</t>
        </is>
      </c>
      <c r="C88" t="inlineStr">
        <is>
          <t>Calculator/Trend_UP/Trend_DOWN</t>
        </is>
      </c>
      <c r="D88" t="inlineStr">
        <is>
          <t>Required key fields contain 0 or text</t>
        </is>
      </c>
      <c r="E88" t="inlineStr">
        <is>
          <t>PASS</t>
        </is>
      </c>
      <c r="F88" t="inlineStr">
        <is>
          <t>pytest data-only</t>
        </is>
      </c>
      <c r="G88" t="inlineStr">
        <is>
          <t>PASS</t>
        </is>
      </c>
      <c r="H88" t="inlineStr">
        <is>
          <t>BLOCKED rows are readable and complete.</t>
        </is>
      </c>
    </row>
    <row r="89">
      <c r="A89" t="inlineStr">
        <is>
          <t>V8-01</t>
        </is>
      </c>
      <c r="B89" t="inlineStr">
        <is>
          <t>Global Max DualTail Exposure uses DualTailTotalLot</t>
        </is>
      </c>
      <c r="C89" t="inlineStr">
        <is>
          <t>Risk_Analysis formula</t>
        </is>
      </c>
      <c r="D89" t="inlineStr">
        <is>
          <t>MAX Calculator/Trend_UP/Trend_DOWN DualTailTotalLot ranges</t>
        </is>
      </c>
      <c r="E89" t="inlineStr">
        <is>
          <t>PASS</t>
        </is>
      </c>
      <c r="F89" t="inlineStr">
        <is>
          <t>Formula inspection</t>
        </is>
      </c>
      <c r="G89" t="inlineStr">
        <is>
          <t>PASS</t>
        </is>
      </c>
      <c r="H89" t="inlineStr">
        <is>
          <t>Uses BC DualTailTotalLot ranges, not ActiveNewFarLot.</t>
        </is>
      </c>
    </row>
    <row r="90">
      <c r="A90" t="inlineStr">
        <is>
          <t>V8-02</t>
        </is>
      </c>
      <c r="B90" t="inlineStr">
        <is>
          <t>Global Max DualTail Exposure expected value</t>
        </is>
      </c>
      <c r="C90" t="inlineStr">
        <is>
          <t>Current scenario data</t>
        </is>
      </c>
      <c r="D90" t="inlineStr">
        <is>
          <t>1.5306</t>
        </is>
      </c>
      <c r="E90" t="inlineStr">
        <is>
          <t>PASS</t>
        </is>
      </c>
      <c r="F90" t="inlineStr">
        <is>
          <t>data_only Risk_Analysis cache</t>
        </is>
      </c>
      <c r="G90" t="inlineStr">
        <is>
          <t>PASS</t>
        </is>
      </c>
      <c r="H90" t="inlineStr">
        <is>
          <t>Global max equals Trend_DOWN dual-tail total.</t>
        </is>
      </c>
    </row>
    <row r="91">
      <c r="A91" t="inlineStr">
        <is>
          <t>V8-03</t>
        </is>
      </c>
      <c r="B91" t="inlineStr">
        <is>
          <t>Settings geometry table exists</t>
        </is>
      </c>
      <c r="C91" t="inlineStr">
        <is>
          <t>Settings sheet</t>
        </is>
      </c>
      <c r="D91" t="inlineStr">
        <is>
          <t>N / FarStart-N / Big-N / Small-N / Close-N</t>
        </is>
      </c>
      <c r="E91" t="inlineStr">
        <is>
          <t>PASS</t>
        </is>
      </c>
      <c r="F91" t="inlineStr">
        <is>
          <t>Header inspection</t>
        </is>
      </c>
      <c r="G91" t="inlineStr">
        <is>
          <t>PASS</t>
        </is>
      </c>
      <c r="H91" t="inlineStr">
        <is>
          <t>Geometry table is below parameter block.</t>
        </is>
      </c>
    </row>
    <row r="92">
      <c r="A92" t="inlineStr">
        <is>
          <t>V8-04</t>
        </is>
      </c>
      <c r="B92" t="inlineStr">
        <is>
          <t>Big-N formula</t>
        </is>
      </c>
      <c r="C92" t="inlineStr">
        <is>
          <t>Settings geometry table</t>
        </is>
      </c>
      <c r="D92" t="inlineStr">
        <is>
          <t>Big-N = FarStart-N × BigRatio rounded by LotStep</t>
        </is>
      </c>
      <c r="E92" t="inlineStr">
        <is>
          <t>PASS</t>
        </is>
      </c>
      <c r="F92" t="inlineStr">
        <is>
          <t>Formula inspection</t>
        </is>
      </c>
      <c r="G92" t="inlineStr">
        <is>
          <t>PASS</t>
        </is>
      </c>
      <c r="H92" t="inlineStr">
        <is>
          <t>Formula references Settings!$B$3 and Settings!$B$11.</t>
        </is>
      </c>
    </row>
    <row r="93">
      <c r="A93" t="inlineStr">
        <is>
          <t>V8-05</t>
        </is>
      </c>
      <c r="B93" t="inlineStr">
        <is>
          <t>Small-N formula</t>
        </is>
      </c>
      <c r="C93" t="inlineStr">
        <is>
          <t>Settings geometry table</t>
        </is>
      </c>
      <c r="D93" t="inlineStr">
        <is>
          <t>Small-N = Big-N × SmallRatio rounded by LotStep</t>
        </is>
      </c>
      <c r="E93" t="inlineStr">
        <is>
          <t>PASS</t>
        </is>
      </c>
      <c r="F93" t="inlineStr">
        <is>
          <t>Formula inspection</t>
        </is>
      </c>
      <c r="G93" t="inlineStr">
        <is>
          <t>PASS</t>
        </is>
      </c>
      <c r="H93" t="inlineStr">
        <is>
          <t>Formula references Settings!$B$4 and Settings!$B$11.</t>
        </is>
      </c>
    </row>
    <row r="94">
      <c r="A94" t="inlineStr">
        <is>
          <t>V8-06</t>
        </is>
      </c>
      <c r="B94" t="inlineStr">
        <is>
          <t>Close-N formula</t>
        </is>
      </c>
      <c r="C94" t="inlineStr">
        <is>
          <t>Settings geometry table</t>
        </is>
      </c>
      <c r="D94" t="inlineStr">
        <is>
          <t>Close-N = FarStart-N × CloseFarShare rounded by LotStep</t>
        </is>
      </c>
      <c r="E94" t="inlineStr">
        <is>
          <t>PASS</t>
        </is>
      </c>
      <c r="F94" t="inlineStr">
        <is>
          <t>Formula inspection</t>
        </is>
      </c>
      <c r="G94" t="inlineStr">
        <is>
          <t>PASS</t>
        </is>
      </c>
      <c r="H94" t="inlineStr">
        <is>
          <t>Formula references Settings!$B$5 and Settings!$B$11.</t>
        </is>
      </c>
    </row>
    <row r="95">
      <c r="A95" t="inlineStr">
        <is>
          <t>V8-07</t>
        </is>
      </c>
      <c r="B95" t="inlineStr">
        <is>
          <t>Geometry uses Settings references</t>
        </is>
      </c>
      <c r="C95" t="inlineStr">
        <is>
          <t>Settings geometry table</t>
        </is>
      </c>
      <c r="D95" t="inlineStr">
        <is>
          <t>No static ratios in formulas</t>
        </is>
      </c>
      <c r="E95" t="inlineStr">
        <is>
          <t>PASS</t>
        </is>
      </c>
      <c r="F95" t="inlineStr">
        <is>
          <t>Formula inspection</t>
        </is>
      </c>
      <c r="G95" t="inlineStr">
        <is>
          <t>PASS</t>
        </is>
      </c>
      <c r="H95" t="inlineStr">
        <is>
          <t>Uses StartLot, BigRatio, SmallRatio, CloseFarShare, LotStep, MaxLevels.</t>
        </is>
      </c>
    </row>
    <row r="96">
      <c r="A96" t="inlineStr">
        <is>
          <t>V8-08</t>
        </is>
      </c>
      <c r="B96" t="inlineStr">
        <is>
          <t>Close-N reference only</t>
        </is>
      </c>
      <c r="C96" t="inlineStr">
        <is>
          <t>Calculator close logic</t>
        </is>
      </c>
      <c r="D96" t="inlineStr">
        <is>
          <t>Calculator remains money-mode: CloseFarBudget / LossPerLotToClose</t>
        </is>
      </c>
      <c r="E96" t="inlineStr">
        <is>
          <t>PASS</t>
        </is>
      </c>
      <c r="F96" t="inlineStr">
        <is>
          <t>Formula inspection</t>
        </is>
      </c>
      <c r="G96" t="inlineStr">
        <is>
          <t>PASS</t>
        </is>
      </c>
      <c r="H96" t="inlineStr">
        <is>
          <t>Close-N is not used in Calculator formulas.</t>
        </is>
      </c>
    </row>
  </sheetData>
  <autoFilter ref="A1:H55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2" t="inlineStr">
        <is>
          <t>Example</t>
        </is>
      </c>
      <c r="B1" s="2" t="inlineStr">
        <is>
          <t>Source Sheet</t>
        </is>
      </c>
      <c r="C1" s="2" t="inlineStr">
        <is>
          <t>Source Row</t>
        </is>
      </c>
      <c r="D1" s="2" t="inlineStr">
        <is>
          <t>Far</t>
        </is>
      </c>
      <c r="E1" s="2" t="inlineStr">
        <is>
          <t>Big</t>
        </is>
      </c>
      <c r="F1" s="2" t="inlineStr">
        <is>
          <t>Small</t>
        </is>
      </c>
      <c r="G1" s="2" t="inlineStr">
        <is>
          <t>Scenario</t>
        </is>
      </c>
      <c r="H1" s="2" t="inlineStr">
        <is>
          <t>NetProfit</t>
        </is>
      </c>
      <c r="I1" s="2" t="inlineStr">
        <is>
          <t>CloseFarBudget</t>
        </is>
      </c>
      <c r="J1" s="2" t="inlineStr">
        <is>
          <t>ReserveAdd</t>
        </is>
      </c>
      <c r="K1" s="2" t="inlineStr">
        <is>
          <t>ActiveOldFarLot</t>
        </is>
      </c>
      <c r="L1" s="2" t="inlineStr">
        <is>
          <t>ActiveNewFarLot</t>
        </is>
      </c>
      <c r="M1" s="2" t="inlineStr">
        <is>
          <t>DualTailTotalLot</t>
        </is>
      </c>
      <c r="N1" s="2" t="inlineStr">
        <is>
          <t>OpenLotsAfter</t>
        </is>
      </c>
      <c r="O1" s="2" t="inlineStr">
        <is>
          <t>MarginAfter</t>
        </is>
      </c>
      <c r="P1" s="2" t="inlineStr">
        <is>
          <t>Status</t>
        </is>
      </c>
      <c r="Q1" s="2" t="inlineStr">
        <is>
          <t>Comment</t>
        </is>
      </c>
    </row>
    <row r="2">
      <c r="A2" t="inlineStr">
        <is>
          <t>Пример 1. Тренд вверх — BIG_SIDE</t>
        </is>
      </c>
      <c r="B2" t="inlineStr">
        <is>
          <t>Trend_UP</t>
        </is>
      </c>
      <c r="C2" t="n">
        <v>2</v>
      </c>
      <c r="D2">
        <f>Trend_UP!$C$2&amp;" "&amp;TEXT(Trend_UP!$D$2,"0.00")</f>
        <v/>
      </c>
      <c r="E2">
        <f>Trend_UP!$E$2&amp;" "&amp;TEXT(Trend_UP!$G$2,"0.00")</f>
        <v/>
      </c>
      <c r="F2">
        <f>Trend_UP!$H$2&amp;" "&amp;TEXT(Trend_UP!$J$2,"0.00")</f>
        <v/>
      </c>
      <c r="G2">
        <f>Trend_UP!$B$2</f>
        <v/>
      </c>
      <c r="H2">
        <f>Trend_UP!$S$2</f>
        <v/>
      </c>
      <c r="I2">
        <f>Trend_UP!$T$2</f>
        <v/>
      </c>
      <c r="J2">
        <f>Trend_UP!$X$2</f>
        <v/>
      </c>
      <c r="K2">
        <f>Trend_UP!$AZ$2</f>
        <v/>
      </c>
      <c r="L2">
        <f>Trend_UP!$BA$2</f>
        <v/>
      </c>
      <c r="M2">
        <f>Trend_UP!$BB$2</f>
        <v/>
      </c>
      <c r="N2">
        <f>Trend_UP!$AB$2</f>
        <v/>
      </c>
      <c r="O2">
        <f>Trend_UP!$AD$2</f>
        <v/>
      </c>
      <c r="P2">
        <f>Trend_UP!$AQ$2</f>
        <v/>
      </c>
      <c r="Q2">
        <f>Trend_UP!$AR$2</f>
        <v/>
      </c>
    </row>
    <row r="3">
      <c r="A3" t="inlineStr">
        <is>
          <t>Пример 2. Разворот вниз — SMALL_SIDE / DUAL_TAIL</t>
        </is>
      </c>
      <c r="B3" t="inlineStr">
        <is>
          <t>Trend_UP</t>
        </is>
      </c>
      <c r="C3" t="n">
        <v>5</v>
      </c>
      <c r="D3">
        <f>Trend_UP!$C$5&amp;" "&amp;TEXT(Trend_UP!$D$5,"0.00")</f>
        <v/>
      </c>
      <c r="E3">
        <f>Trend_UP!$E$5&amp;" "&amp;TEXT(Trend_UP!$G$5,"0.00")</f>
        <v/>
      </c>
      <c r="F3">
        <f>Trend_UP!$H$5&amp;" "&amp;TEXT(Trend_UP!$J$5,"0.00")</f>
        <v/>
      </c>
      <c r="G3">
        <f>Trend_UP!$B$5</f>
        <v/>
      </c>
      <c r="H3">
        <f>Trend_UP!$S$5</f>
        <v/>
      </c>
      <c r="I3">
        <f>Trend_UP!$T$5</f>
        <v/>
      </c>
      <c r="J3">
        <f>Trend_UP!$X$5</f>
        <v/>
      </c>
      <c r="K3">
        <f>Trend_UP!$AZ$5</f>
        <v/>
      </c>
      <c r="L3">
        <f>Trend_UP!$BA$5</f>
        <v/>
      </c>
      <c r="M3">
        <f>Trend_UP!$BB$5</f>
        <v/>
      </c>
      <c r="N3">
        <f>Trend_UP!$AB$5</f>
        <v/>
      </c>
      <c r="O3">
        <f>Trend_UP!$AD$5</f>
        <v/>
      </c>
      <c r="P3">
        <f>Trend_UP!$AQ$5</f>
        <v/>
      </c>
      <c r="Q3">
        <f>Trend_UP!$AR$5</f>
        <v/>
      </c>
    </row>
    <row r="4">
      <c r="A4" t="inlineStr">
        <is>
          <t>Пример 3. BLOCKED persistence</t>
        </is>
      </c>
      <c r="B4" t="inlineStr">
        <is>
          <t>Trend_DOWN</t>
        </is>
      </c>
      <c r="C4" t="n">
        <v>4</v>
      </c>
      <c r="D4">
        <f>Trend_DOWN!$C$4&amp;" "&amp;TEXT(Trend_DOWN!$D$4,"0.00")</f>
        <v/>
      </c>
      <c r="E4">
        <f>TEXT(Trend_DOWN!$G$4,"0.00")</f>
        <v/>
      </c>
      <c r="F4">
        <f>TEXT(Trend_DOWN!$J$4,"0.00")</f>
        <v/>
      </c>
      <c r="G4">
        <f>Trend_DOWN!$B$4</f>
        <v/>
      </c>
      <c r="H4">
        <f>Trend_DOWN!$S$4</f>
        <v/>
      </c>
      <c r="I4">
        <f>Trend_DOWN!$T$4</f>
        <v/>
      </c>
      <c r="J4">
        <f>Trend_DOWN!$X$4</f>
        <v/>
      </c>
      <c r="K4">
        <f>Trend_DOWN!$AZ$4</f>
        <v/>
      </c>
      <c r="L4">
        <f>Trend_DOWN!$BA$4</f>
        <v/>
      </c>
      <c r="M4">
        <f>Trend_DOWN!$BB$4</f>
        <v/>
      </c>
      <c r="N4">
        <f>Trend_DOWN!$AB$4</f>
        <v/>
      </c>
      <c r="O4">
        <f>Trend_DOWN!$AD$4</f>
        <v/>
      </c>
      <c r="P4">
        <f>Trend_DOWN!$AQ$4</f>
        <v/>
      </c>
      <c r="Q4">
        <f>Trend_DOWN!$AR$4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2026-05-30T19:36:13Z</dcterms:modified>
</cp:coreProperties>
</file>