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алькулятор" sheetId="1" state="visible" r:id="rId1"/>
    <sheet name="РИСК_АНАЛИЗ" sheetId="2" state="visible" r:id="rId2"/>
    <sheet name="Тесты" sheetId="3" state="visible" r:id="rId3"/>
    <sheet name="Руководство" sheetId="4" state="visible" r:id="rId4"/>
    <sheet name="Описание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нагрузки на баланс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'РИСК_АНАЛИЗ'!$B$3:$B$7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объёма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'РИСК_АНАЛИЗ'!D2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'РИСК_АНАЛИЗ'!$D$3:$D$7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роста маржи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'РИСК_АНАЛИЗ'!C2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'РИСК_АНАЛИЗ'!$C$3:$C$7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просадки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'РИСК_АНАЛИЗ'!E2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'РИСК_АНАЛИЗ'!$E$3:$E$7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График Margin Level</a:t>
            </a:r>
          </a:p>
        </rich>
      </tx>
    </title>
    <plotArea>
      <lineChart>
        <grouping val="standard"/>
        <ser>
          <idx val="0"/>
          <order val="0"/>
          <tx>
            <strRef>
              <f>'РИСК_АНАЛИЗ'!F2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'РИСК_АНАЛИЗ'!$A$3:$A$7</f>
            </numRef>
          </cat>
          <val>
            <numRef>
              <f>'РИСК_АНАЛИЗ'!$F$3:$F$7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33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49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65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ПАРАМЕТРЫ</t>
        </is>
      </c>
      <c r="J1" s="1" t="inlineStr">
        <is>
          <t>ПАРАМЕТРЫ РИСКА</t>
        </is>
      </c>
    </row>
    <row r="2">
      <c r="A2" t="inlineStr">
        <is>
          <t>СтартЛот</t>
        </is>
      </c>
      <c r="B2" t="n">
        <v>1</v>
      </c>
      <c r="J2" t="inlineStr">
        <is>
          <t>Баланс</t>
        </is>
      </c>
      <c r="K2" t="n">
        <v>10000</v>
      </c>
    </row>
    <row r="3">
      <c r="A3" t="inlineStr">
        <is>
          <t>ШагПункты</t>
        </is>
      </c>
      <c r="B3" t="n">
        <v>100</v>
      </c>
      <c r="J3" t="inlineStr">
        <is>
          <t>Плечо</t>
        </is>
      </c>
      <c r="K3" t="n">
        <v>100</v>
      </c>
    </row>
    <row r="4">
      <c r="A4" t="inlineStr">
        <is>
          <t>МаксУровни</t>
        </is>
      </c>
      <c r="B4" t="n">
        <v>5</v>
      </c>
      <c r="J4" t="inlineStr">
        <is>
          <t>РазмерКонтракта</t>
        </is>
      </c>
      <c r="K4" t="n">
        <v>100000</v>
      </c>
    </row>
    <row r="5">
      <c r="A5" t="inlineStr">
        <is>
          <t>ШагЛота</t>
        </is>
      </c>
      <c r="B5" t="n">
        <v>0.01</v>
      </c>
      <c r="J5" t="inlineStr">
        <is>
          <t>ЦенаИнструмента</t>
        </is>
      </c>
      <c r="K5" t="n">
        <v>1.1</v>
      </c>
    </row>
    <row r="6">
      <c r="A6" t="inlineStr">
        <is>
          <t>Направление</t>
        </is>
      </c>
      <c r="B6" t="inlineStr">
        <is>
          <t>DOWN</t>
        </is>
      </c>
      <c r="J6" t="inlineStr">
        <is>
          <t>СтоимостьПунктаНа1Лот</t>
        </is>
      </c>
      <c r="K6" t="n">
        <v>10</v>
      </c>
    </row>
    <row r="7">
      <c r="A7" t="inlineStr">
        <is>
          <t>Округлять</t>
        </is>
      </c>
      <c r="B7" t="b">
        <v>1</v>
      </c>
      <c r="J7" t="inlineStr">
        <is>
          <t>МаксДвижениеПротив(пункты)</t>
        </is>
      </c>
      <c r="K7" t="n">
        <v>500</v>
      </c>
    </row>
    <row r="8">
      <c r="A8" t="inlineStr">
        <is>
          <t>РежимBig</t>
        </is>
      </c>
      <c r="B8" t="inlineStr">
        <is>
          <t>ВНИЗ</t>
        </is>
      </c>
      <c r="J8" t="inlineStr">
        <is>
          <t>УровеньStopOut%</t>
        </is>
      </c>
      <c r="K8" t="n">
        <v>50</v>
      </c>
    </row>
    <row r="9">
      <c r="A9" t="inlineStr">
        <is>
          <t>РежимSmall</t>
        </is>
      </c>
      <c r="B9" t="inlineStr">
        <is>
          <t>ВВЕРХ</t>
        </is>
      </c>
      <c r="J9" t="inlineStr">
        <is>
          <t>УровеньMarginCall%</t>
        </is>
      </c>
      <c r="K9" t="n">
        <v>100</v>
      </c>
    </row>
    <row r="10">
      <c r="A10" t="inlineStr">
        <is>
          <t>РежимClose</t>
        </is>
      </c>
      <c r="B10" t="inlineStr">
        <is>
          <t>SAFE</t>
        </is>
      </c>
    </row>
    <row r="11">
      <c r="A11" t="inlineStr">
        <is>
          <t>СтоимостьПункта</t>
        </is>
      </c>
      <c r="B11" t="n">
        <v>10</v>
      </c>
    </row>
    <row r="12">
      <c r="A12" t="inlineStr">
        <is>
          <t>Спред</t>
        </is>
      </c>
      <c r="B12" t="n">
        <v>0</v>
      </c>
    </row>
    <row r="13">
      <c r="A13" t="inlineStr">
        <is>
          <t>Комиссия</t>
        </is>
      </c>
      <c r="B13" t="n">
        <v>0</v>
      </c>
    </row>
    <row r="16">
      <c r="A16" s="1" t="inlineStr">
        <is>
          <t>СЕТКА УРОВНЕЙ</t>
        </is>
      </c>
      <c r="J16" s="1" t="inlineStr">
        <is>
          <t>РИСКИ И МАРЖА</t>
        </is>
      </c>
    </row>
    <row r="17">
      <c r="A17" s="2" t="inlineStr">
        <is>
          <t>Уровень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  <c r="J17" s="2" t="inlineStr">
        <is>
          <t>Уровень</t>
        </is>
      </c>
      <c r="K17" s="2" t="inlineStr">
        <is>
          <t>Направление</t>
        </is>
      </c>
      <c r="L17" s="2" t="inlineStr">
        <is>
          <t>Общий Main Lot</t>
        </is>
      </c>
      <c r="M17" s="2" t="inlineStr">
        <is>
          <t>Общий Opposite Lot</t>
        </is>
      </c>
      <c r="N17" s="2" t="inlineStr">
        <is>
          <t>Общий открытый объём</t>
        </is>
      </c>
      <c r="O17" s="2" t="inlineStr">
        <is>
          <t>Чистый перекос (Net Lot)</t>
        </is>
      </c>
      <c r="P17" s="2" t="inlineStr">
        <is>
          <t>Маржа на 1 лот</t>
        </is>
      </c>
      <c r="Q17" s="2" t="inlineStr">
        <is>
          <t>Требуемая маржа</t>
        </is>
      </c>
      <c r="R17" s="2" t="inlineStr">
        <is>
          <t>Нагрузка на баланс %</t>
        </is>
      </c>
      <c r="S17" s="2" t="inlineStr">
        <is>
          <t>Максимальное движение против системы</t>
        </is>
      </c>
      <c r="T17" s="2" t="inlineStr">
        <is>
          <t>Плавающая просадка $</t>
        </is>
      </c>
      <c r="U17" s="2" t="inlineStr">
        <is>
          <t>Баланс после просадки</t>
        </is>
      </c>
      <c r="V17" s="2" t="inlineStr">
        <is>
          <t>Equity после просадки</t>
        </is>
      </c>
      <c r="W17" s="2" t="inlineStr">
        <is>
          <t>Свободная маржа</t>
        </is>
      </c>
      <c r="X17" s="2" t="inlineStr">
        <is>
          <t>Margin Level %</t>
        </is>
      </c>
      <c r="Y17" s="2" t="inlineStr">
        <is>
          <t>Риск Margin Call</t>
        </is>
      </c>
      <c r="Z17" s="2" t="inlineStr">
        <is>
          <t>Риск StopOut</t>
        </is>
      </c>
      <c r="AA17" s="2" t="inlineStr">
        <is>
          <t>Статус риска</t>
        </is>
      </c>
      <c r="AB17" s="2" t="inlineStr">
        <is>
          <t>Человеческий комментарий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J18" t="n">
        <v>1</v>
      </c>
      <c r="K18">
        <f>$B$6</f>
        <v/>
      </c>
      <c r="L18">
        <f>IF($B$6="DOWN",W26,W35)</f>
        <v/>
      </c>
      <c r="M18">
        <f>IF($B$6="DOWN",X26,X35)</f>
        <v/>
      </c>
      <c r="N18">
        <f>L18+M18</f>
        <v/>
      </c>
      <c r="O18">
        <f>ABS(L18-M18)</f>
        <v/>
      </c>
      <c r="P18">
        <f>$K$4*$K$5/$K$3</f>
        <v/>
      </c>
      <c r="Q18">
        <f>N18*P18</f>
        <v/>
      </c>
      <c r="R18">
        <f>Q18/$K$2*100</f>
        <v/>
      </c>
      <c r="S18">
        <f>$K$7</f>
        <v/>
      </c>
      <c r="T18">
        <f>O18*$K$6*$K$7</f>
        <v/>
      </c>
      <c r="U18">
        <f>$K$2-T18</f>
        <v/>
      </c>
      <c r="V18">
        <f>U18</f>
        <v/>
      </c>
      <c r="W18">
        <f>V18-Q18</f>
        <v/>
      </c>
      <c r="X18">
        <f>IF(Q18=0,0,V18/Q18*100)</f>
        <v/>
      </c>
      <c r="Y18">
        <f>IF(X18&lt;=$K$9,"РИСК MARGIN CALL","OK")</f>
        <v/>
      </c>
      <c r="Z18">
        <f>IF(X18&lt;=$K$8,"РИСК STOPOUT","OK")</f>
        <v/>
      </c>
      <c r="AA18">
        <f>IF(R18&lt;30,"OK",IF(R18&lt;50,"WARNING",IF(R18&lt;70,"DANGER","CRITICAL")))</f>
        <v/>
      </c>
      <c r="AB18">
        <f>"Уровень "&amp;J18&amp;". Маржа="&amp;ROUND(Q18,2)&amp;"$. Нагрузка="&amp;ROUND(R18,1)&amp;"%. Просадка="&amp;ROUND(T18,2)&amp;"$. Статус="&amp;AA18</f>
        <v/>
      </c>
    </row>
    <row r="19">
      <c r="A19" t="n">
        <v>2</v>
      </c>
      <c r="B19" t="n">
        <v>30</v>
      </c>
      <c r="C19" t="n">
        <v>15</v>
      </c>
      <c r="D19" t="n">
        <v>15</v>
      </c>
      <c r="J19" t="n">
        <v>2</v>
      </c>
      <c r="K19">
        <f>$B$6</f>
        <v/>
      </c>
      <c r="L19">
        <f>IF($B$6="DOWN",W27,W36)</f>
        <v/>
      </c>
      <c r="M19">
        <f>IF($B$6="DOWN",X27,X36)</f>
        <v/>
      </c>
      <c r="N19">
        <f>L19+M19</f>
        <v/>
      </c>
      <c r="O19">
        <f>ABS(L19-M19)</f>
        <v/>
      </c>
      <c r="P19">
        <f>$K$4*$K$5/$K$3</f>
        <v/>
      </c>
      <c r="Q19">
        <f>N19*P19</f>
        <v/>
      </c>
      <c r="R19">
        <f>Q19/$K$2*100</f>
        <v/>
      </c>
      <c r="S19">
        <f>$K$7</f>
        <v/>
      </c>
      <c r="T19">
        <f>O19*$K$6*$K$7</f>
        <v/>
      </c>
      <c r="U19">
        <f>$K$2-T19</f>
        <v/>
      </c>
      <c r="V19">
        <f>U19</f>
        <v/>
      </c>
      <c r="W19">
        <f>V19-Q19</f>
        <v/>
      </c>
      <c r="X19">
        <f>IF(Q19=0,0,V19/Q19*100)</f>
        <v/>
      </c>
      <c r="Y19">
        <f>IF(X19&lt;=$K$9,"РИСК MARGIN CALL","OK")</f>
        <v/>
      </c>
      <c r="Z19">
        <f>IF(X19&lt;=$K$8,"РИСК STOPOUT","OK")</f>
        <v/>
      </c>
      <c r="AA19">
        <f>IF(R19&lt;30,"OK",IF(R19&lt;50,"WARNING",IF(R19&lt;70,"DANGER","CRITICAL")))</f>
        <v/>
      </c>
      <c r="AB19">
        <f>"Уровень "&amp;J19&amp;". Маржа="&amp;ROUND(Q19,2)&amp;"$. Нагрузка="&amp;ROUND(R19,1)&amp;"%. Просадка="&amp;ROUND(T19,2)&amp;"$. Статус="&amp;AA19</f>
        <v/>
      </c>
    </row>
    <row r="20">
      <c r="A20" t="n">
        <v>3</v>
      </c>
      <c r="B20" t="n">
        <v>20</v>
      </c>
      <c r="C20" t="n">
        <v>15</v>
      </c>
      <c r="D20" t="n">
        <v>10</v>
      </c>
      <c r="J20" t="n">
        <v>3</v>
      </c>
      <c r="K20">
        <f>$B$6</f>
        <v/>
      </c>
      <c r="L20">
        <f>IF($B$6="DOWN",W28,W37)</f>
        <v/>
      </c>
      <c r="M20">
        <f>IF($B$6="DOWN",X28,X37)</f>
        <v/>
      </c>
      <c r="N20">
        <f>L20+M20</f>
        <v/>
      </c>
      <c r="O20">
        <f>ABS(L20-M20)</f>
        <v/>
      </c>
      <c r="P20">
        <f>$K$4*$K$5/$K$3</f>
        <v/>
      </c>
      <c r="Q20">
        <f>N20*P20</f>
        <v/>
      </c>
      <c r="R20">
        <f>Q20/$K$2*100</f>
        <v/>
      </c>
      <c r="S20">
        <f>$K$7</f>
        <v/>
      </c>
      <c r="T20">
        <f>O20*$K$6*$K$7</f>
        <v/>
      </c>
      <c r="U20">
        <f>$K$2-T20</f>
        <v/>
      </c>
      <c r="V20">
        <f>U20</f>
        <v/>
      </c>
      <c r="W20">
        <f>V20-Q20</f>
        <v/>
      </c>
      <c r="X20">
        <f>IF(Q20=0,0,V20/Q20*100)</f>
        <v/>
      </c>
      <c r="Y20">
        <f>IF(X20&lt;=$K$9,"РИСК MARGIN CALL","OK")</f>
        <v/>
      </c>
      <c r="Z20">
        <f>IF(X20&lt;=$K$8,"РИСК STOPOUT","OK")</f>
        <v/>
      </c>
      <c r="AA20">
        <f>IF(R20&lt;30,"OK",IF(R20&lt;50,"WARNING",IF(R20&lt;70,"DANGER","CRITICAL")))</f>
        <v/>
      </c>
      <c r="AB20">
        <f>"Уровень "&amp;J20&amp;". Маржа="&amp;ROUND(Q20,2)&amp;"$. Нагрузка="&amp;ROUND(R20,1)&amp;"%. Просадка="&amp;ROUND(T20,2)&amp;"$. Статус="&amp;AA20</f>
        <v/>
      </c>
    </row>
    <row r="21">
      <c r="A21" t="n">
        <v>4</v>
      </c>
      <c r="B21" t="n">
        <v>10</v>
      </c>
      <c r="C21" t="n">
        <v>10</v>
      </c>
      <c r="D21" t="n">
        <v>10</v>
      </c>
      <c r="J21" t="n">
        <v>4</v>
      </c>
      <c r="K21">
        <f>$B$6</f>
        <v/>
      </c>
      <c r="L21">
        <f>IF($B$6="DOWN",W29,W38)</f>
        <v/>
      </c>
      <c r="M21">
        <f>IF($B$6="DOWN",X29,X38)</f>
        <v/>
      </c>
      <c r="N21">
        <f>L21+M21</f>
        <v/>
      </c>
      <c r="O21">
        <f>ABS(L21-M21)</f>
        <v/>
      </c>
      <c r="P21">
        <f>$K$4*$K$5/$K$3</f>
        <v/>
      </c>
      <c r="Q21">
        <f>N21*P21</f>
        <v/>
      </c>
      <c r="R21">
        <f>Q21/$K$2*100</f>
        <v/>
      </c>
      <c r="S21">
        <f>$K$7</f>
        <v/>
      </c>
      <c r="T21">
        <f>O21*$K$6*$K$7</f>
        <v/>
      </c>
      <c r="U21">
        <f>$K$2-T21</f>
        <v/>
      </c>
      <c r="V21">
        <f>U21</f>
        <v/>
      </c>
      <c r="W21">
        <f>V21-Q21</f>
        <v/>
      </c>
      <c r="X21">
        <f>IF(Q21=0,0,V21/Q21*100)</f>
        <v/>
      </c>
      <c r="Y21">
        <f>IF(X21&lt;=$K$9,"РИСК MARGIN CALL","OK")</f>
        <v/>
      </c>
      <c r="Z21">
        <f>IF(X21&lt;=$K$8,"РИСК STOPOUT","OK")</f>
        <v/>
      </c>
      <c r="AA21">
        <f>IF(R21&lt;30,"OK",IF(R21&lt;50,"WARNING",IF(R21&lt;70,"DANGER","CRITICAL")))</f>
        <v/>
      </c>
      <c r="AB21">
        <f>"Уровень "&amp;J21&amp;". Маржа="&amp;ROUND(Q21,2)&amp;"$. Нагрузка="&amp;ROUND(R21,1)&amp;"%. Просадка="&amp;ROUND(T21,2)&amp;"$. Статус="&amp;AA21</f>
        <v/>
      </c>
    </row>
    <row r="22">
      <c r="A22" t="n">
        <v>5</v>
      </c>
      <c r="B22" t="n">
        <v>5</v>
      </c>
      <c r="C22" t="n">
        <v>5</v>
      </c>
      <c r="D22" t="n">
        <v>10</v>
      </c>
      <c r="J22" t="n">
        <v>5</v>
      </c>
      <c r="K22">
        <f>$B$6</f>
        <v/>
      </c>
      <c r="L22">
        <f>IF($B$6="DOWN",W30,W39)</f>
        <v/>
      </c>
      <c r="M22">
        <f>IF($B$6="DOWN",X30,X39)</f>
        <v/>
      </c>
      <c r="N22">
        <f>L22+M22</f>
        <v/>
      </c>
      <c r="O22">
        <f>ABS(L22-M22)</f>
        <v/>
      </c>
      <c r="P22">
        <f>$K$4*$K$5/$K$3</f>
        <v/>
      </c>
      <c r="Q22">
        <f>N22*P22</f>
        <v/>
      </c>
      <c r="R22">
        <f>Q22/$K$2*100</f>
        <v/>
      </c>
      <c r="S22">
        <f>$K$7</f>
        <v/>
      </c>
      <c r="T22">
        <f>O22*$K$6*$K$7</f>
        <v/>
      </c>
      <c r="U22">
        <f>$K$2-T22</f>
        <v/>
      </c>
      <c r="V22">
        <f>U22</f>
        <v/>
      </c>
      <c r="W22">
        <f>V22-Q22</f>
        <v/>
      </c>
      <c r="X22">
        <f>IF(Q22=0,0,V22/Q22*100)</f>
        <v/>
      </c>
      <c r="Y22">
        <f>IF(X22&lt;=$K$9,"РИСК MARGIN CALL","OK")</f>
        <v/>
      </c>
      <c r="Z22">
        <f>IF(X22&lt;=$K$8,"РИСК STOPOUT","OK")</f>
        <v/>
      </c>
      <c r="AA22">
        <f>IF(R22&lt;30,"OK",IF(R22&lt;50,"WARNING",IF(R22&lt;70,"DANGER","CRITICAL")))</f>
        <v/>
      </c>
      <c r="AB22">
        <f>"Уровень "&amp;J22&amp;". Маржа="&amp;ROUND(Q22,2)&amp;"$. Нагрузка="&amp;ROUND(R22,1)&amp;"%. Просадка="&amp;ROUND(T22,2)&amp;"$. Статус="&amp;AA22</f>
        <v/>
      </c>
    </row>
    <row r="24">
      <c r="A24" s="1" t="inlineStr">
        <is>
          <t>РАСЧЕТ DOWN</t>
        </is>
      </c>
    </row>
    <row r="25">
      <c r="A25" s="2" t="inlineStr">
        <is>
          <t>Уровень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BigЛот</t>
        </is>
      </c>
      <c r="G25" s="2" t="inlineStr">
        <is>
          <t>BigОкругл</t>
        </is>
      </c>
      <c r="H25" s="2" t="inlineStr">
        <is>
          <t>SmallЛот</t>
        </is>
      </c>
      <c r="I25" s="2" t="inlineStr">
        <is>
          <t>SmallОкругл</t>
        </is>
      </c>
      <c r="J25" s="2" t="inlineStr">
        <is>
          <t>СтартДо %</t>
        </is>
      </c>
      <c r="K25" s="2" t="inlineStr">
        <is>
          <t>MainДо %</t>
        </is>
      </c>
      <c r="L25" s="2" t="inlineStr">
        <is>
          <t>OppДо %</t>
        </is>
      </c>
      <c r="M25" s="2" t="inlineStr">
        <is>
          <t>АвтоЗакрытие %</t>
        </is>
      </c>
      <c r="N25" s="2" t="inlineStr">
        <is>
          <t>ИтогЗакрытие %</t>
        </is>
      </c>
      <c r="O25" s="2" t="inlineStr">
        <is>
          <t>ЗакрытиеЛот</t>
        </is>
      </c>
      <c r="P25" s="2" t="inlineStr">
        <is>
          <t>ЗакрытиеЛотОкругл</t>
        </is>
      </c>
      <c r="Q25" s="2" t="inlineStr">
        <is>
          <t>СтартПосле %</t>
        </is>
      </c>
      <c r="R25" s="2" t="inlineStr">
        <is>
          <t>СуммаBig %</t>
        </is>
      </c>
      <c r="S25" s="2" t="inlineStr">
        <is>
          <t>СуммаSmall %</t>
        </is>
      </c>
      <c r="T25" s="2" t="inlineStr">
        <is>
          <t>ИтогMain %</t>
        </is>
      </c>
      <c r="U25" s="2" t="inlineStr">
        <is>
          <t>ИтогOpp %</t>
        </is>
      </c>
      <c r="V25" s="2" t="inlineStr">
        <is>
          <t>Skew %</t>
        </is>
      </c>
      <c r="W25" s="2" t="inlineStr">
        <is>
          <t>ОкруглMainЛот</t>
        </is>
      </c>
      <c r="X25" s="2" t="inlineStr">
        <is>
          <t>ОкруглOppЛот</t>
        </is>
      </c>
      <c r="Y25" s="2" t="inlineStr">
        <is>
          <t>ОкруглSkewЛот</t>
        </is>
      </c>
      <c r="Z25" s="2" t="inlineStr">
        <is>
          <t>Статус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IF(T26&gt;U26,"ERROR",IF(AND(D26&gt;0,ROUND(Y26,6)&lt;ROUND($B$2*D26/100,6)),"WARNING","OK"))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IF(T27&gt;U27,"ERROR",IF(AND(D27&gt;0,ROUND(Y27,6)&lt;ROUND($B$2*D27/100,6)),"WARNING","OK"))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IF(T28&gt;U28,"ERROR",IF(AND(D28&gt;0,ROUND(Y28,6)&lt;ROUND($B$2*D28/100,6)),"WARNING","OK"))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IF(T29&gt;U29,"ERROR",IF(AND(D29&gt;0,ROUND(Y29,6)&lt;ROUND($B$2*D29/100,6)),"WARNING","OK"))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IF(T30&gt;U30,"ERROR",IF(AND(D30&gt;0,ROUND(Y30,6)&lt;ROUND($B$2*D30/100,6)),"WARNING","OK"))</f>
        <v/>
      </c>
    </row>
    <row r="33">
      <c r="A33" s="1" t="inlineStr">
        <is>
          <t>РАСЧЕТ UP</t>
        </is>
      </c>
    </row>
    <row r="34">
      <c r="A34" s="2" t="inlineStr">
        <is>
          <t>Уровень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BigЛот</t>
        </is>
      </c>
      <c r="G34" s="2" t="inlineStr">
        <is>
          <t>BigОкругл</t>
        </is>
      </c>
      <c r="H34" s="2" t="inlineStr">
        <is>
          <t>SmallЛот</t>
        </is>
      </c>
      <c r="I34" s="2" t="inlineStr">
        <is>
          <t>SmallОкругл</t>
        </is>
      </c>
      <c r="J34" s="2" t="inlineStr">
        <is>
          <t>СтартДо %</t>
        </is>
      </c>
      <c r="K34" s="2" t="inlineStr">
        <is>
          <t>MainДо %</t>
        </is>
      </c>
      <c r="L34" s="2" t="inlineStr">
        <is>
          <t>OppДо %</t>
        </is>
      </c>
      <c r="M34" s="2" t="inlineStr">
        <is>
          <t>АвтоЗакрытие %</t>
        </is>
      </c>
      <c r="N34" s="2" t="inlineStr">
        <is>
          <t>ИтогЗакрытие %</t>
        </is>
      </c>
      <c r="O34" s="2" t="inlineStr">
        <is>
          <t>ЗакрытиеЛот</t>
        </is>
      </c>
      <c r="P34" s="2" t="inlineStr">
        <is>
          <t>ЗакрытиеЛотОкругл</t>
        </is>
      </c>
      <c r="Q34" s="2" t="inlineStr">
        <is>
          <t>СтартПосле %</t>
        </is>
      </c>
      <c r="R34" s="2" t="inlineStr">
        <is>
          <t>СуммаBig %</t>
        </is>
      </c>
      <c r="S34" s="2" t="inlineStr">
        <is>
          <t>СуммаSmall %</t>
        </is>
      </c>
      <c r="T34" s="2" t="inlineStr">
        <is>
          <t>ИтогMain %</t>
        </is>
      </c>
      <c r="U34" s="2" t="inlineStr">
        <is>
          <t>ИтогOpp %</t>
        </is>
      </c>
      <c r="V34" s="2" t="inlineStr">
        <is>
          <t>Skew %</t>
        </is>
      </c>
      <c r="W34" s="2" t="inlineStr">
        <is>
          <t>ОкруглMainЛот</t>
        </is>
      </c>
      <c r="X34" s="2" t="inlineStr">
        <is>
          <t>ОкруглOppЛот</t>
        </is>
      </c>
      <c r="Y34" s="2" t="inlineStr">
        <is>
          <t>ОкруглSkewЛот</t>
        </is>
      </c>
      <c r="Z34" s="2" t="inlineStr">
        <is>
          <t>Статус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IF(T35&gt;U35,"ERROR",IF(AND(D35&gt;0,ROUND(Y35,6)&lt;ROUND($B$2*D35/100,6)),"WARNING","OK"))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IF(T36&gt;U36,"ERROR",IF(AND(D36&gt;0,ROUND(Y36,6)&lt;ROUND($B$2*D36/100,6)),"WARNING","OK"))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IF(T37&gt;U37,"ERROR",IF(AND(D37&gt;0,ROUND(Y37,6)&lt;ROUND($B$2*D37/100,6)),"WARNING","OK"))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IF(T38&gt;U38,"ERROR",IF(AND(D38&gt;0,ROUND(Y38,6)&lt;ROUND($B$2*D38/100,6)),"WARNING","OK"))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IF(T39&gt;U39,"ERROR",IF(AND(D39&gt;0,ROUND(Y39,6)&lt;ROUND($B$2*D39/100,6)),"WARNING","OK"))</f>
        <v/>
      </c>
    </row>
    <row r="42">
      <c r="A42" s="1" t="inlineStr">
        <is>
          <t>ИТОГИ</t>
        </is>
      </c>
    </row>
    <row r="43">
      <c r="A43" t="inlineStr">
        <is>
          <t>ВыбранноеНаправление</t>
        </is>
      </c>
      <c r="B43">
        <f>B6</f>
        <v/>
      </c>
    </row>
    <row r="44">
      <c r="A44" t="inlineStr">
        <is>
          <t>ИтогMain %</t>
        </is>
      </c>
      <c r="B44">
        <f>IF(B6="DOWN",T30,T39)</f>
        <v/>
      </c>
    </row>
    <row r="45">
      <c r="A45" t="inlineStr">
        <is>
          <t>ИтогOpp %</t>
        </is>
      </c>
      <c r="B45">
        <f>IF(B6="DOWN",U30,U39)</f>
        <v/>
      </c>
    </row>
    <row r="46">
      <c r="A46" t="inlineStr">
        <is>
          <t>ИтогSkew %</t>
        </is>
      </c>
      <c r="B46">
        <f>IF(B6="DOWN",V30,V39)</f>
        <v/>
      </c>
    </row>
    <row r="47">
      <c r="A47" t="inlineStr">
        <is>
          <t>ИтогСтартОстаток %</t>
        </is>
      </c>
      <c r="B47">
        <f>IF(B6="DOWN",Q30,Q39)</f>
        <v/>
      </c>
    </row>
    <row r="48">
      <c r="A48" t="inlineStr">
        <is>
          <t>ИтогОкруглMain</t>
        </is>
      </c>
      <c r="B48">
        <f>IF(B6="DOWN",W30,W39)</f>
        <v/>
      </c>
    </row>
    <row r="49">
      <c r="A49" t="inlineStr">
        <is>
          <t>ИтогОкруглOpp</t>
        </is>
      </c>
      <c r="B49">
        <f>IF(B6="DOWN",X30,X39)</f>
        <v/>
      </c>
    </row>
    <row r="50">
      <c r="A50" t="inlineStr">
        <is>
          <t>ИтогОкруглSkew</t>
        </is>
      </c>
      <c r="B50">
        <f>IF(B6="DOWN",Y30,Y39)</f>
        <v/>
      </c>
    </row>
    <row r="51">
      <c r="A51" t="inlineStr">
        <is>
          <t>ИтогСтатус</t>
        </is>
      </c>
      <c r="B51">
        <f>IF(B6="DOWN",Z30,Z39)</f>
        <v/>
      </c>
    </row>
    <row r="55">
      <c r="A55" s="1" t="inlineStr">
        <is>
          <t>ИТОГОВЫЙ ЧЕЛОВЕЧЕСКИЙ РАСЧЁТ ВСЕХ УРОВНЕЙ</t>
        </is>
      </c>
    </row>
    <row r="56">
      <c r="A56" s="2" t="inlineStr">
        <is>
          <t>Уровень</t>
        </is>
      </c>
      <c r="B56" s="2" t="inlineStr">
        <is>
          <t>Направление</t>
        </is>
      </c>
      <c r="C56" s="2" t="inlineStr">
        <is>
          <t>Действие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Действие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Действие Close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Остаток старта %</t>
        </is>
      </c>
      <c r="M56" s="2" t="inlineStr">
        <is>
          <t>Остаток старта Lot</t>
        </is>
      </c>
      <c r="N56" s="2" t="inlineStr">
        <is>
          <t>Main %</t>
        </is>
      </c>
      <c r="O56" s="2" t="inlineStr">
        <is>
          <t>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Статус</t>
        </is>
      </c>
      <c r="U56" s="2" t="inlineStr">
        <is>
          <t>Человеческий комментарий</t>
        </is>
      </c>
    </row>
    <row r="57">
      <c r="A57" t="n">
        <v>1</v>
      </c>
      <c r="B57">
        <f>$B$6</f>
        <v/>
      </c>
      <c r="C57">
        <f>IF($B$6="DOWN","Open Big BUY","Open Big SELL")</f>
        <v/>
      </c>
      <c r="D57">
        <f>IF($B$6="DOWN",B26,B35)</f>
        <v/>
      </c>
      <c r="E57">
        <f>IF($B$6="DOWN",G26,G35)</f>
        <v/>
      </c>
      <c r="F57">
        <f>IF($B$6="DOWN","Open Small SELL","Open Small BUY")</f>
        <v/>
      </c>
      <c r="G57">
        <f>IF($B$6="DOWN",C26,C35)</f>
        <v/>
      </c>
      <c r="H57">
        <f>IF($B$6="DOWN",I26,I35)</f>
        <v/>
      </c>
      <c r="I57">
        <f>IF($B$6="DOWN","Close Start BUY","Close Start SELL")</f>
        <v/>
      </c>
      <c r="J57">
        <f>IF($B$6="DOWN",N26,N35)</f>
        <v/>
      </c>
      <c r="K57">
        <f>IF($B$6="DOWN",P26,P35)</f>
        <v/>
      </c>
      <c r="L57">
        <f>IF($B$6="DOWN",Q26,Q35)</f>
        <v/>
      </c>
      <c r="M57">
        <f>$B$2*L57/100</f>
        <v/>
      </c>
      <c r="N57">
        <f>IF($B$6="DOWN",T26,T35)</f>
        <v/>
      </c>
      <c r="O57">
        <f>IF($B$6="DOWN",U26,U35)</f>
        <v/>
      </c>
      <c r="P57">
        <f>IF($B$6="DOWN",V26,V35)</f>
        <v/>
      </c>
      <c r="Q57">
        <f>IF($B$6="DOWN",W26,W35)</f>
        <v/>
      </c>
      <c r="R57">
        <f>IF($B$6="DOWN",X26,X35)</f>
        <v/>
      </c>
      <c r="S57">
        <f>IF($B$6="DOWN",Y26,Y35)</f>
        <v/>
      </c>
      <c r="T57">
        <f>IF($B$6="DOWN",Z26,Z35)</f>
        <v/>
      </c>
      <c r="U57">
        <f>"Уровень "&amp;A57&amp;". "&amp;IF($B$6="DOWN","Цена идет вниз. ","Цена идет вверх. ")&amp;C57&amp;" "&amp;ROUND(E57,2)&amp;" лота. "&amp;F57&amp;" "&amp;ROUND(H57,2)&amp;" лота. "&amp;I57&amp;" "&amp;ROUND(K57,2)&amp;" лота. Остаток "&amp;ROUND(M57,2)&amp;" лота. Main="&amp;N57&amp;"%, Opp="&amp;O57&amp;"%, Skew="&amp;P57&amp;"%, Статус="&amp;T57&amp;"."</f>
        <v/>
      </c>
    </row>
    <row r="58">
      <c r="A58" t="n">
        <v>2</v>
      </c>
      <c r="B58">
        <f>$B$6</f>
        <v/>
      </c>
      <c r="C58">
        <f>IF($B$6="DOWN","Open Big BUY","Open Big SELL")</f>
        <v/>
      </c>
      <c r="D58">
        <f>IF($B$6="DOWN",B27,B36)</f>
        <v/>
      </c>
      <c r="E58">
        <f>IF($B$6="DOWN",G27,G36)</f>
        <v/>
      </c>
      <c r="F58">
        <f>IF($B$6="DOWN","Open Small SELL","Open Small BUY")</f>
        <v/>
      </c>
      <c r="G58">
        <f>IF($B$6="DOWN",C27,C36)</f>
        <v/>
      </c>
      <c r="H58">
        <f>IF($B$6="DOWN",I27,I36)</f>
        <v/>
      </c>
      <c r="I58">
        <f>IF($B$6="DOWN","Close Start BUY","Close Start SELL")</f>
        <v/>
      </c>
      <c r="J58">
        <f>IF($B$6="DOWN",N27,N36)</f>
        <v/>
      </c>
      <c r="K58">
        <f>IF($B$6="DOWN",P27,P36)</f>
        <v/>
      </c>
      <c r="L58">
        <f>IF($B$6="DOWN",Q27,Q36)</f>
        <v/>
      </c>
      <c r="M58">
        <f>$B$2*L58/100</f>
        <v/>
      </c>
      <c r="N58">
        <f>IF($B$6="DOWN",T27,T36)</f>
        <v/>
      </c>
      <c r="O58">
        <f>IF($B$6="DOWN",U27,U36)</f>
        <v/>
      </c>
      <c r="P58">
        <f>IF($B$6="DOWN",V27,V36)</f>
        <v/>
      </c>
      <c r="Q58">
        <f>IF($B$6="DOWN",W27,W36)</f>
        <v/>
      </c>
      <c r="R58">
        <f>IF($B$6="DOWN",X27,X36)</f>
        <v/>
      </c>
      <c r="S58">
        <f>IF($B$6="DOWN",Y27,Y36)</f>
        <v/>
      </c>
      <c r="T58">
        <f>IF($B$6="DOWN",Z27,Z36)</f>
        <v/>
      </c>
      <c r="U58">
        <f>"Уровень "&amp;A58&amp;". "&amp;IF($B$6="DOWN","Цена идет вниз. ","Цена идет вверх. ")&amp;C58&amp;" "&amp;ROUND(E58,2)&amp;" лота. "&amp;F58&amp;" "&amp;ROUND(H58,2)&amp;" лота. "&amp;I58&amp;" "&amp;ROUND(K58,2)&amp;" лота. Остаток "&amp;ROUND(M58,2)&amp;" лота. Main="&amp;N58&amp;"%, Opp="&amp;O58&amp;"%, Skew="&amp;P58&amp;"%, Статус="&amp;T58&amp;"."</f>
        <v/>
      </c>
    </row>
    <row r="59">
      <c r="A59" t="n">
        <v>3</v>
      </c>
      <c r="B59">
        <f>$B$6</f>
        <v/>
      </c>
      <c r="C59">
        <f>IF($B$6="DOWN","Open Big BUY","Open Big SELL")</f>
        <v/>
      </c>
      <c r="D59">
        <f>IF($B$6="DOWN",B28,B37)</f>
        <v/>
      </c>
      <c r="E59">
        <f>IF($B$6="DOWN",G28,G37)</f>
        <v/>
      </c>
      <c r="F59">
        <f>IF($B$6="DOWN","Open Small SELL","Open Small BUY")</f>
        <v/>
      </c>
      <c r="G59">
        <f>IF($B$6="DOWN",C28,C37)</f>
        <v/>
      </c>
      <c r="H59">
        <f>IF($B$6="DOWN",I28,I37)</f>
        <v/>
      </c>
      <c r="I59">
        <f>IF($B$6="DOWN","Close Start BUY","Close Start SELL")</f>
        <v/>
      </c>
      <c r="J59">
        <f>IF($B$6="DOWN",N28,N37)</f>
        <v/>
      </c>
      <c r="K59">
        <f>IF($B$6="DOWN",P28,P37)</f>
        <v/>
      </c>
      <c r="L59">
        <f>IF($B$6="DOWN",Q28,Q37)</f>
        <v/>
      </c>
      <c r="M59">
        <f>$B$2*L59/100</f>
        <v/>
      </c>
      <c r="N59">
        <f>IF($B$6="DOWN",T28,T37)</f>
        <v/>
      </c>
      <c r="O59">
        <f>IF($B$6="DOWN",U28,U37)</f>
        <v/>
      </c>
      <c r="P59">
        <f>IF($B$6="DOWN",V28,V37)</f>
        <v/>
      </c>
      <c r="Q59">
        <f>IF($B$6="DOWN",W28,W37)</f>
        <v/>
      </c>
      <c r="R59">
        <f>IF($B$6="DOWN",X28,X37)</f>
        <v/>
      </c>
      <c r="S59">
        <f>IF($B$6="DOWN",Y28,Y37)</f>
        <v/>
      </c>
      <c r="T59">
        <f>IF($B$6="DOWN",Z28,Z37)</f>
        <v/>
      </c>
      <c r="U59">
        <f>"Уровень "&amp;A59&amp;". "&amp;IF($B$6="DOWN","Цена идет вниз. ","Цена идет вверх. ")&amp;C59&amp;" "&amp;ROUND(E59,2)&amp;" лота. "&amp;F59&amp;" "&amp;ROUND(H59,2)&amp;" лота. "&amp;I59&amp;" "&amp;ROUND(K59,2)&amp;" лота. Остаток "&amp;ROUND(M59,2)&amp;" лота. Main="&amp;N59&amp;"%, Opp="&amp;O59&amp;"%, Skew="&amp;P59&amp;"%, Статус="&amp;T59&amp;"."</f>
        <v/>
      </c>
    </row>
    <row r="60">
      <c r="A60" t="n">
        <v>4</v>
      </c>
      <c r="B60">
        <f>$B$6</f>
        <v/>
      </c>
      <c r="C60">
        <f>IF($B$6="DOWN","Open Big BUY","Open Big SELL")</f>
        <v/>
      </c>
      <c r="D60">
        <f>IF($B$6="DOWN",B29,B38)</f>
        <v/>
      </c>
      <c r="E60">
        <f>IF($B$6="DOWN",G29,G38)</f>
        <v/>
      </c>
      <c r="F60">
        <f>IF($B$6="DOWN","Open Small SELL","Open Small BUY")</f>
        <v/>
      </c>
      <c r="G60">
        <f>IF($B$6="DOWN",C29,C38)</f>
        <v/>
      </c>
      <c r="H60">
        <f>IF($B$6="DOWN",I29,I38)</f>
        <v/>
      </c>
      <c r="I60">
        <f>IF($B$6="DOWN","Close Start BUY","Close Start SELL")</f>
        <v/>
      </c>
      <c r="J60">
        <f>IF($B$6="DOWN",N29,N38)</f>
        <v/>
      </c>
      <c r="K60">
        <f>IF($B$6="DOWN",P29,P38)</f>
        <v/>
      </c>
      <c r="L60">
        <f>IF($B$6="DOWN",Q29,Q38)</f>
        <v/>
      </c>
      <c r="M60">
        <f>$B$2*L60/100</f>
        <v/>
      </c>
      <c r="N60">
        <f>IF($B$6="DOWN",T29,T38)</f>
        <v/>
      </c>
      <c r="O60">
        <f>IF($B$6="DOWN",U29,U38)</f>
        <v/>
      </c>
      <c r="P60">
        <f>IF($B$6="DOWN",V29,V38)</f>
        <v/>
      </c>
      <c r="Q60">
        <f>IF($B$6="DOWN",W29,W38)</f>
        <v/>
      </c>
      <c r="R60">
        <f>IF($B$6="DOWN",X29,X38)</f>
        <v/>
      </c>
      <c r="S60">
        <f>IF($B$6="DOWN",Y29,Y38)</f>
        <v/>
      </c>
      <c r="T60">
        <f>IF($B$6="DOWN",Z29,Z38)</f>
        <v/>
      </c>
      <c r="U60">
        <f>"Уровень "&amp;A60&amp;". "&amp;IF($B$6="DOWN","Цена идет вниз. ","Цена идет вверх. ")&amp;C60&amp;" "&amp;ROUND(E60,2)&amp;" лота. "&amp;F60&amp;" "&amp;ROUND(H60,2)&amp;" лота. "&amp;I60&amp;" "&amp;ROUND(K60,2)&amp;" лота. Остаток "&amp;ROUND(M60,2)&amp;" лота. Main="&amp;N60&amp;"%, Opp="&amp;O60&amp;"%, Skew="&amp;P60&amp;"%, Статус="&amp;T60&amp;"."</f>
        <v/>
      </c>
    </row>
    <row r="61">
      <c r="A61" t="n">
        <v>5</v>
      </c>
      <c r="B61">
        <f>$B$6</f>
        <v/>
      </c>
      <c r="C61">
        <f>IF($B$6="DOWN","Open Big BUY","Open Big SELL")</f>
        <v/>
      </c>
      <c r="D61">
        <f>IF($B$6="DOWN",B30,B39)</f>
        <v/>
      </c>
      <c r="E61">
        <f>IF($B$6="DOWN",G30,G39)</f>
        <v/>
      </c>
      <c r="F61">
        <f>IF($B$6="DOWN","Open Small SELL","Open Small BUY")</f>
        <v/>
      </c>
      <c r="G61">
        <f>IF($B$6="DOWN",C30,C39)</f>
        <v/>
      </c>
      <c r="H61">
        <f>IF($B$6="DOWN",I30,I39)</f>
        <v/>
      </c>
      <c r="I61">
        <f>IF($B$6="DOWN","Close Start BUY","Close Start SELL")</f>
        <v/>
      </c>
      <c r="J61">
        <f>IF($B$6="DOWN",N30,N39)</f>
        <v/>
      </c>
      <c r="K61">
        <f>IF($B$6="DOWN",P30,P39)</f>
        <v/>
      </c>
      <c r="L61">
        <f>IF($B$6="DOWN",Q30,Q39)</f>
        <v/>
      </c>
      <c r="M61">
        <f>$B$2*L61/100</f>
        <v/>
      </c>
      <c r="N61">
        <f>IF($B$6="DOWN",T30,T39)</f>
        <v/>
      </c>
      <c r="O61">
        <f>IF($B$6="DOWN",U30,U39)</f>
        <v/>
      </c>
      <c r="P61">
        <f>IF($B$6="DOWN",V30,V39)</f>
        <v/>
      </c>
      <c r="Q61">
        <f>IF($B$6="DOWN",W30,W39)</f>
        <v/>
      </c>
      <c r="R61">
        <f>IF($B$6="DOWN",X30,X39)</f>
        <v/>
      </c>
      <c r="S61">
        <f>IF($B$6="DOWN",Y30,Y39)</f>
        <v/>
      </c>
      <c r="T61">
        <f>IF($B$6="DOWN",Z30,Z39)</f>
        <v/>
      </c>
      <c r="U61">
        <f>"Уровень "&amp;A61&amp;". "&amp;IF($B$6="DOWN","Цена идет вниз. ","Цена идет вверх. ")&amp;C61&amp;" "&amp;ROUND(E61,2)&amp;" лота. "&amp;F61&amp;" "&amp;ROUND(H61,2)&amp;" лота. "&amp;I61&amp;" "&amp;ROUND(K61,2)&amp;" лота. Остаток "&amp;ROUND(M61,2)&amp;" лота. Main="&amp;N61&amp;"%, Opp="&amp;O61&amp;"%, Skew="&amp;P61&amp;"%, Статус="&amp;T61&amp;"."</f>
        <v/>
      </c>
    </row>
    <row r="63">
      <c r="A63" s="1" t="inlineStr">
        <is>
          <t>ИТОГОВЫЕ ЧЕЛОВЕЧЕСКИЕ ИТОГИ</t>
        </is>
      </c>
    </row>
    <row r="64">
      <c r="A64" t="inlineStr">
        <is>
          <t>Сумма Big Lots</t>
        </is>
      </c>
      <c r="B64">
        <f>SUM(E57:E61)</f>
        <v/>
      </c>
    </row>
    <row r="65">
      <c r="A65" t="inlineStr">
        <is>
          <t>Сумма Small Lots</t>
        </is>
      </c>
      <c r="B65">
        <f>SUM(H57:H61)</f>
        <v/>
      </c>
    </row>
    <row r="66">
      <c r="A66" t="inlineStr">
        <is>
          <t>Сумма Close Lots</t>
        </is>
      </c>
      <c r="B66">
        <f>SUM(K57:K61)</f>
        <v/>
      </c>
    </row>
    <row r="67">
      <c r="A67" t="inlineStr">
        <is>
          <t>Финальный Main %</t>
        </is>
      </c>
      <c r="B67">
        <f>N61</f>
        <v/>
      </c>
    </row>
    <row r="68">
      <c r="A68" t="inlineStr">
        <is>
          <t>Финальный Opp %</t>
        </is>
      </c>
      <c r="B68">
        <f>O61</f>
        <v/>
      </c>
    </row>
    <row r="69">
      <c r="A69" t="inlineStr">
        <is>
          <t>Финальный Skew %</t>
        </is>
      </c>
      <c r="B69">
        <f>P61</f>
        <v/>
      </c>
    </row>
    <row r="70">
      <c r="A70" t="inlineStr">
        <is>
          <t>Финальный Rounded Main</t>
        </is>
      </c>
      <c r="B70">
        <f>Q61</f>
        <v/>
      </c>
    </row>
    <row r="71">
      <c r="A71" t="inlineStr">
        <is>
          <t>Финальный Rounded Opp</t>
        </is>
      </c>
      <c r="B71">
        <f>R61</f>
        <v/>
      </c>
    </row>
    <row r="72">
      <c r="A72" t="inlineStr">
        <is>
          <t>Финальный Rounded Skew</t>
        </is>
      </c>
      <c r="B72">
        <f>S61</f>
        <v/>
      </c>
    </row>
    <row r="73">
      <c r="A73" t="inlineStr">
        <is>
          <t>Максимальная маржа</t>
        </is>
      </c>
      <c r="B73">
        <f>MAX(Q18:Q22)</f>
        <v/>
      </c>
    </row>
    <row r="74">
      <c r="A74" t="inlineStr">
        <is>
          <t>Максимальная просадка</t>
        </is>
      </c>
      <c r="B74">
        <f>MAX(T18:T22)</f>
        <v/>
      </c>
    </row>
    <row r="75">
      <c r="A75" t="inlineStr">
        <is>
          <t>Максимальная нагрузка %</t>
        </is>
      </c>
      <c r="B75">
        <f>MAX(R18:R22)</f>
        <v/>
      </c>
    </row>
    <row r="76">
      <c r="A76" t="inlineStr">
        <is>
          <t>Худший уровень риска</t>
        </is>
      </c>
      <c r="B76">
        <f>INDEX(J18:J22,MATCH(MAX(R18:R22),R18:R22,0))</f>
        <v/>
      </c>
    </row>
    <row r="77">
      <c r="A77" t="inlineStr">
        <is>
          <t>Финальный статус системы</t>
        </is>
      </c>
      <c r="B77">
        <f>B51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РИСК_АНАЛИЗ</t>
        </is>
      </c>
    </row>
    <row r="2">
      <c r="A2" s="2" t="inlineStr">
        <is>
          <t>Уровень</t>
        </is>
      </c>
      <c r="B2" s="2" t="inlineStr">
        <is>
          <t>Нагрузка %</t>
        </is>
      </c>
      <c r="C2" s="2" t="inlineStr">
        <is>
          <t>Маржа $</t>
        </is>
      </c>
      <c r="D2" s="2" t="inlineStr">
        <is>
          <t>Объем лот</t>
        </is>
      </c>
      <c r="E2" s="2" t="inlineStr">
        <is>
          <t>Просадка $</t>
        </is>
      </c>
      <c r="F2" s="2" t="inlineStr">
        <is>
          <t>Margin Level %</t>
        </is>
      </c>
      <c r="G2" s="2" t="inlineStr">
        <is>
          <t>Статус</t>
        </is>
      </c>
    </row>
    <row r="3">
      <c r="A3">
        <f>'Калькулятор'!J18</f>
        <v/>
      </c>
      <c r="B3">
        <f>'Калькулятор'!R18</f>
        <v/>
      </c>
      <c r="C3">
        <f>'Калькулятор'!Q18</f>
        <v/>
      </c>
      <c r="D3">
        <f>'Калькулятор'!N18</f>
        <v/>
      </c>
      <c r="E3">
        <f>'Калькулятор'!T18</f>
        <v/>
      </c>
      <c r="F3">
        <f>'Калькулятор'!X18</f>
        <v/>
      </c>
      <c r="G3">
        <f>'Калькулятор'!AA18</f>
        <v/>
      </c>
    </row>
    <row r="4">
      <c r="A4">
        <f>'Калькулятор'!J19</f>
        <v/>
      </c>
      <c r="B4">
        <f>'Калькулятор'!R19</f>
        <v/>
      </c>
      <c r="C4">
        <f>'Калькулятор'!Q19</f>
        <v/>
      </c>
      <c r="D4">
        <f>'Калькулятор'!N19</f>
        <v/>
      </c>
      <c r="E4">
        <f>'Калькулятор'!T19</f>
        <v/>
      </c>
      <c r="F4">
        <f>'Калькулятор'!X19</f>
        <v/>
      </c>
      <c r="G4">
        <f>'Калькулятор'!AA19</f>
        <v/>
      </c>
    </row>
    <row r="5">
      <c r="A5">
        <f>'Калькулятор'!J20</f>
        <v/>
      </c>
      <c r="B5">
        <f>'Калькулятор'!R20</f>
        <v/>
      </c>
      <c r="C5">
        <f>'Калькулятор'!Q20</f>
        <v/>
      </c>
      <c r="D5">
        <f>'Калькулятор'!N20</f>
        <v/>
      </c>
      <c r="E5">
        <f>'Калькулятор'!T20</f>
        <v/>
      </c>
      <c r="F5">
        <f>'Калькулятор'!X20</f>
        <v/>
      </c>
      <c r="G5">
        <f>'Калькулятор'!AA20</f>
        <v/>
      </c>
    </row>
    <row r="6">
      <c r="A6">
        <f>'Калькулятор'!J21</f>
        <v/>
      </c>
      <c r="B6">
        <f>'Калькулятор'!R21</f>
        <v/>
      </c>
      <c r="C6">
        <f>'Калькулятор'!Q21</f>
        <v/>
      </c>
      <c r="D6">
        <f>'Калькулятор'!N21</f>
        <v/>
      </c>
      <c r="E6">
        <f>'Калькулятор'!T21</f>
        <v/>
      </c>
      <c r="F6">
        <f>'Калькулятор'!X21</f>
        <v/>
      </c>
      <c r="G6">
        <f>'Калькулятор'!AA21</f>
        <v/>
      </c>
    </row>
    <row r="7">
      <c r="A7">
        <f>'Калькулятор'!J22</f>
        <v/>
      </c>
      <c r="B7">
        <f>'Калькулятор'!R22</f>
        <v/>
      </c>
      <c r="C7">
        <f>'Калькулятор'!Q22</f>
        <v/>
      </c>
      <c r="D7">
        <f>'Калькулятор'!N22</f>
        <v/>
      </c>
      <c r="E7">
        <f>'Калькулятор'!T22</f>
        <v/>
      </c>
      <c r="F7">
        <f>'Калькулятор'!X22</f>
        <v/>
      </c>
      <c r="G7">
        <f>'Калькулятор'!AA22</f>
        <v/>
      </c>
    </row>
    <row r="10">
      <c r="A10" t="inlineStr">
        <is>
          <t>Максимальная нагрузка %</t>
        </is>
      </c>
      <c r="B10">
        <f>MAX(B3:B7)</f>
        <v/>
      </c>
    </row>
    <row r="11">
      <c r="A11" t="inlineStr">
        <is>
          <t>Максимальная маржа $</t>
        </is>
      </c>
      <c r="B11">
        <f>MAX(C3:C7)</f>
        <v/>
      </c>
    </row>
    <row r="12">
      <c r="A12" t="inlineStr">
        <is>
          <t>Максимальный объем</t>
        </is>
      </c>
      <c r="B12">
        <f>MAX(D3:D7)</f>
        <v/>
      </c>
    </row>
    <row r="13">
      <c r="A13" t="inlineStr">
        <is>
          <t>Максимальная просадка</t>
        </is>
      </c>
      <c r="B13">
        <f>MAX(E3:E7)</f>
        <v/>
      </c>
    </row>
    <row r="14">
      <c r="A14" t="inlineStr">
        <is>
          <t>Худший уровень</t>
        </is>
      </c>
      <c r="B14">
        <f>INDEX(A3:A7,MATCH(MAX(B3:B7),B3:B7,0))</f>
        <v/>
      </c>
    </row>
    <row r="15">
      <c r="A15" t="inlineStr">
        <is>
          <t>Уровень Margin Call</t>
        </is>
      </c>
      <c r="B15">
        <f>'Калькулятор'!K9</f>
        <v/>
      </c>
    </row>
    <row r="16">
      <c r="A16" t="inlineStr">
        <is>
          <t>Уровень StopOut</t>
        </is>
      </c>
      <c r="B16">
        <f>'Калькулятор'!K8</f>
        <v/>
      </c>
    </row>
    <row r="17">
      <c r="A17" t="inlineStr">
        <is>
          <t>Безопасный рекомендуемый баланс</t>
        </is>
      </c>
      <c r="B17">
        <f>MAX(C3:C7)/0.3</f>
        <v/>
      </c>
    </row>
    <row r="18">
      <c r="A18" t="inlineStr">
        <is>
          <t>Рекомендуемое плечо</t>
        </is>
      </c>
      <c r="B18">
        <f>'Калькулятор'!K3</f>
        <v/>
      </c>
    </row>
    <row r="19">
      <c r="A19" t="inlineStr">
        <is>
          <t>Рекомендуемый минимальный депозит</t>
        </is>
      </c>
      <c r="B19">
        <f>MAX(C3:C7)+MAX(E3:E7)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Тест</t>
        </is>
      </c>
      <c r="B1" s="2" t="inlineStr">
        <is>
          <t>Факт</t>
        </is>
      </c>
      <c r="C1" s="2" t="inlineStr">
        <is>
          <t>Ожидание</t>
        </is>
      </c>
      <c r="D1" s="2" t="inlineStr">
        <is>
          <t>Результат</t>
        </is>
      </c>
    </row>
    <row r="2">
      <c r="A2" t="inlineStr">
        <is>
          <t>База Main 165</t>
        </is>
      </c>
      <c r="B2">
        <f>'Калькулятор'!B44</f>
        <v/>
      </c>
      <c r="C2" t="n">
        <v>165</v>
      </c>
      <c r="D2">
        <f>IF(ABS(B2-C2)&lt;0.000001,"PASS","FAIL")</f>
        <v/>
      </c>
    </row>
    <row r="3">
      <c r="A3" t="inlineStr">
        <is>
          <t>База Opp 175</t>
        </is>
      </c>
      <c r="B3">
        <f>'Калькулятор'!B45</f>
        <v/>
      </c>
      <c r="C3" t="n">
        <v>175</v>
      </c>
      <c r="D3">
        <f>IF(ABS(B3-C3)&lt;0.000001,"PASS","FAIL")</f>
        <v/>
      </c>
    </row>
    <row r="4">
      <c r="A4" t="inlineStr">
        <is>
          <t>База Skew 10</t>
        </is>
      </c>
      <c r="B4">
        <f>'Калькулятор'!B46</f>
        <v/>
      </c>
      <c r="C4" t="n">
        <v>10</v>
      </c>
      <c r="D4">
        <f>IF(ABS(B4-C4)&lt;0.000001,"PASS","FAIL")</f>
        <v/>
      </c>
    </row>
    <row r="5">
      <c r="A5" t="inlineStr">
        <is>
          <t>Close 60</t>
        </is>
      </c>
      <c r="B5">
        <f>'Калькулятор'!N26</f>
        <v/>
      </c>
      <c r="C5" t="n">
        <v>60</v>
      </c>
      <c r="D5">
        <f>IF(ABS(B5-C5)&lt;0.000001,"PASS","FAIL")</f>
        <v/>
      </c>
    </row>
    <row r="6">
      <c r="A6" t="inlineStr">
        <is>
          <t>Close 30</t>
        </is>
      </c>
      <c r="B6">
        <f>'Калькулятор'!N27</f>
        <v/>
      </c>
      <c r="C6" t="n">
        <v>30</v>
      </c>
      <c r="D6">
        <f>IF(ABS(B6-C6)&lt;0.000001,"PASS","FAIL")</f>
        <v/>
      </c>
    </row>
    <row r="7">
      <c r="A7" t="inlineStr">
        <is>
          <t>Close 0</t>
        </is>
      </c>
      <c r="B7">
        <f>'Калькулятор'!N28</f>
        <v/>
      </c>
      <c r="C7" t="n">
        <v>0</v>
      </c>
      <c r="D7">
        <f>IF(ABS(B7-C7)&lt;0.000001,"PASS","FAIL")</f>
        <v/>
      </c>
    </row>
    <row r="8">
      <c r="A8" t="inlineStr">
        <is>
          <t>Сумма Big</t>
        </is>
      </c>
      <c r="B8">
        <f>'Калькулятор'!B64</f>
        <v/>
      </c>
      <c r="C8">
        <f>'Калькулятор'!$B$2*1.55</f>
        <v/>
      </c>
      <c r="D8">
        <f>IF(ABS(B8-C8)&lt;0.000001,"PASS","FAIL")</f>
        <v/>
      </c>
    </row>
    <row r="9">
      <c r="A9" t="inlineStr">
        <is>
          <t>Сумма Small</t>
        </is>
      </c>
      <c r="B9">
        <f>'Калькулятор'!B65</f>
        <v/>
      </c>
      <c r="C9">
        <f>'Калькулятор'!$B$2*0.75</f>
        <v/>
      </c>
      <c r="D9">
        <f>IF(ABS(B9-C9)&lt;0.000001,"PASS","FAIL")</f>
        <v/>
      </c>
    </row>
    <row r="10">
      <c r="A10" t="inlineStr">
        <is>
          <t>Сумма Close</t>
        </is>
      </c>
      <c r="B10">
        <f>'Калькулятор'!B66</f>
        <v/>
      </c>
      <c r="C10">
        <f>'Калькулятор'!$B$2*0.90</f>
        <v/>
      </c>
      <c r="D10">
        <f>IF(ABS(B10-C10)&lt;0.000001,"PASS","FAIL")</f>
        <v/>
      </c>
    </row>
    <row r="11">
      <c r="A11" t="inlineStr">
        <is>
          <t>Финальный Rounded Main</t>
        </is>
      </c>
      <c r="B11">
        <f>'Калькулятор'!B70</f>
        <v/>
      </c>
      <c r="C11">
        <f>'Калькулятор'!$B$2*1.65</f>
        <v/>
      </c>
      <c r="D11">
        <f>IF(ABS(B11-C11)&lt;0.000001,"PASS","FAIL")</f>
        <v/>
      </c>
    </row>
    <row r="12">
      <c r="A12" t="inlineStr">
        <is>
          <t>Финальный Rounded Opp</t>
        </is>
      </c>
      <c r="B12">
        <f>'Калькулятор'!B71</f>
        <v/>
      </c>
      <c r="C12">
        <f>'Калькулятор'!$B$2*1.75</f>
        <v/>
      </c>
      <c r="D12">
        <f>IF(ABS(B12-C12)&lt;0.000001,"PASS","FAIL")</f>
        <v/>
      </c>
    </row>
    <row r="13">
      <c r="A13" t="inlineStr">
        <is>
          <t>Финальный Rounded Skew</t>
        </is>
      </c>
      <c r="B13">
        <f>'Калькулятор'!B72</f>
        <v/>
      </c>
      <c r="C13">
        <f>'Калькулятор'!$B$2*0.10</f>
        <v/>
      </c>
      <c r="D13">
        <f>IF(ABS(B13-C13)&lt;0.000001,"PASS","FAIL")</f>
        <v/>
      </c>
    </row>
    <row r="14">
      <c r="A14" t="inlineStr">
        <is>
          <t>Максимальная маржа</t>
        </is>
      </c>
      <c r="B14">
        <f>'Калькулятор'!B73</f>
        <v/>
      </c>
      <c r="C14">
        <f>'Калькулятор'!$B$2*3740</f>
        <v/>
      </c>
      <c r="D14">
        <f>IF(ABS(B14-C14)&lt;0.000001,"PASS","FAIL")</f>
        <v/>
      </c>
    </row>
    <row r="15">
      <c r="A15" t="inlineStr">
        <is>
          <t>Максимальная нагрузка %</t>
        </is>
      </c>
      <c r="B15">
        <f>'Калькулятор'!B75</f>
        <v/>
      </c>
      <c r="C15">
        <f>'Калькулятор'!$B$2*37.4</f>
        <v/>
      </c>
      <c r="D15">
        <f>IF(ABS(B15-C15)&lt;0.000001,"PASS","FAIL")</f>
        <v/>
      </c>
    </row>
    <row r="16">
      <c r="A16" t="inlineStr">
        <is>
          <t>Риск-анализ синхронизирован</t>
        </is>
      </c>
      <c r="B16">
        <f>IF(AND(ABS('РИСК_АНАЛИЗ'!B7-'Калькулятор'!R22)&lt;0.000001,ABS('РИСК_АНАЛИЗ'!C7-'Калькулятор'!Q22)&lt;0.000001,ABS('РИСК_АНАЛИЗ'!D7-'Калькулятор'!N22)&lt;0.000001,ABS('РИСК_АНАЛИЗ'!E7-'Калькулятор'!T22)&lt;0.000001,ABS('РИСК_АНАЛИЗ'!F7-'Калькулятор'!X22)&lt;0.000001,'РИСК_АНАЛИЗ'!G7='Калькулятор'!AA22),"YES","NO")</f>
        <v/>
      </c>
      <c r="C16" t="inlineStr">
        <is>
          <t>YES</t>
        </is>
      </c>
      <c r="D16">
        <f>IF(B16=C16,"PASS","FAIL")</f>
        <v/>
      </c>
    </row>
    <row r="17">
      <c r="A17" t="inlineStr">
        <is>
          <t>Human Summary есть</t>
        </is>
      </c>
      <c r="B17">
        <f>'Калькулятор'!A55</f>
        <v/>
      </c>
      <c r="C17" t="inlineStr">
        <is>
          <t>ИТОГОВЫЙ ЧЕЛОВЕЧЕСКИЙ РАСЧЁТ ВСЕХ УРОВНЕЙ</t>
        </is>
      </c>
      <c r="D17">
        <f>IF(B17=C17,"PASS","FAIL")</f>
        <v/>
      </c>
    </row>
    <row r="18">
      <c r="A18" t="inlineStr">
        <is>
          <t>Human Comment есть</t>
        </is>
      </c>
      <c r="B18">
        <f>'Калькулятор'!U57</f>
        <v/>
      </c>
      <c r="D18">
        <f>IF(LEN(B18)&gt;0,"PASS","FAIL")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MANUAL_RU.md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См. README.md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2026-05-23T21:46:52Z</dcterms:created>
  <dcterms:modified xsi:type="dcterms:W3CDTF">2026-05-23T21:47:48Z</dcterms:modified>
</cp:coreProperties>
</file>