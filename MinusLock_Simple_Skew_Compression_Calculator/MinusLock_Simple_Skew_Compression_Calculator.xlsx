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HumanSummary" sheetId="2" state="visible" r:id="rId2"/>
    <sheet name="Tests" sheetId="3" state="visible" r:id="rId3"/>
    <sheet name="Manual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R26">
        <f>SUM($B$26:B26)</f>
        <v/>
      </c>
      <c r="S26">
        <f>SUM($C$26:C26)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ROUND(Y26,6)&lt;ROUND($B$2*D26/100,6)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R27">
        <f>SUM($B$26:B27)</f>
        <v/>
      </c>
      <c r="S27">
        <f>SUM($C$26:C27)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ROUND(Y27,6)&lt;ROUND($B$2*D27/100,6)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R28">
        <f>SUM($B$26:B28)</f>
        <v/>
      </c>
      <c r="S28">
        <f>SUM($C$26:C28)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ROUND(Y28,6)&lt;ROUND($B$2*D28/100,6)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R29">
        <f>SUM($B$26:B29)</f>
        <v/>
      </c>
      <c r="S29">
        <f>SUM($C$26:C29)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ROUND(Y29,6)&lt;ROUND($B$2*D29/100,6)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R30">
        <f>SUM($B$26:B30)</f>
        <v/>
      </c>
      <c r="S30">
        <f>SUM($C$26:C30)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ROUND(Y30,6)&lt;ROUND($B$2*D30/100,6)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R35">
        <f>SUM($B$35:B35)</f>
        <v/>
      </c>
      <c r="S35">
        <f>SUM($C$35:C35)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ROUND(Y35,6)&lt;ROUND($B$2*D35/100,6)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R36">
        <f>SUM($B$35:B36)</f>
        <v/>
      </c>
      <c r="S36">
        <f>SUM($C$35:C36)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ROUND(Y36,6)&lt;ROUND($B$2*D36/100,6)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R37">
        <f>SUM($B$35:B37)</f>
        <v/>
      </c>
      <c r="S37">
        <f>SUM($C$35:C37)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ROUND(Y37,6)&lt;ROUND($B$2*D37/100,6)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R38">
        <f>SUM($B$35:B38)</f>
        <v/>
      </c>
      <c r="S38">
        <f>SUM($C$35:C38)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ROUND(Y38,6)&lt;ROUND($B$2*D38/100,6)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R39">
        <f>SUM($B$35:B39)</f>
        <v/>
      </c>
      <c r="S39">
        <f>SUM($C$35:C39)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ROUND(Y39,6)&lt;ROUND($B$2*D39/100,6)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  <row r="55">
      <c r="A55" s="1" t="inlineStr">
        <is>
          <t>HUMAN-READABLE LEVEL SUMMARY</t>
        </is>
      </c>
    </row>
    <row r="56">
      <c r="A56" s="2" t="inlineStr">
        <is>
          <t>Level</t>
        </is>
      </c>
      <c r="B56" s="2" t="inlineStr">
        <is>
          <t>Direction</t>
        </is>
      </c>
      <c r="C56" s="2" t="inlineStr">
        <is>
          <t>Action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Action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Close Action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Start Remaining %</t>
        </is>
      </c>
      <c r="M56" s="2" t="inlineStr">
        <is>
          <t>Start Remaining Lot</t>
        </is>
      </c>
      <c r="N56" s="2" t="inlineStr">
        <is>
          <t>Total Main %</t>
        </is>
      </c>
      <c r="O56" s="2" t="inlineStr">
        <is>
          <t>Total 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Status</t>
        </is>
      </c>
      <c r="U56" s="2" t="inlineStr">
        <is>
          <t>Human Comment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"Level "&amp;A57&amp;": "&amp;IF($B$6="DOWN","price goes DOWN. ","price goes UP. ")&amp;C57&amp;" "&amp;ROUND(E57,2)&amp;" lot, "&amp;F57&amp;" "&amp;ROUND(H57,2)&amp;" lot, "&amp;I57&amp;" "&amp;ROUND(K57,2)&amp;" lot. "&amp;"Start remains "&amp;ROUND(M57,2)&amp;" lot. "&amp;"Total Main = "&amp;N57&amp;"%, "&amp;"Total Opposite = "&amp;O57&amp;"%, "&amp;"Skew = "&amp;P57&amp;"%, "&amp;"Status = 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"Level "&amp;A58&amp;": "&amp;IF($B$6="DOWN","price goes DOWN. ","price goes UP. ")&amp;C58&amp;" "&amp;ROUND(E58,2)&amp;" lot, "&amp;F58&amp;" "&amp;ROUND(H58,2)&amp;" lot, "&amp;I58&amp;" "&amp;ROUND(K58,2)&amp;" lot. "&amp;"Start remains "&amp;ROUND(M58,2)&amp;" lot. "&amp;"Total Main = "&amp;N58&amp;"%, "&amp;"Total Opposite = "&amp;O58&amp;"%, "&amp;"Skew = "&amp;P58&amp;"%, "&amp;"Status = 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"Level "&amp;A59&amp;": "&amp;IF($B$6="DOWN","price goes DOWN. ","price goes UP. ")&amp;C59&amp;" "&amp;ROUND(E59,2)&amp;" lot, "&amp;F59&amp;" "&amp;ROUND(H59,2)&amp;" lot, "&amp;I59&amp;" "&amp;ROUND(K59,2)&amp;" lot. "&amp;"Start remains "&amp;ROUND(M59,2)&amp;" lot. "&amp;"Total Main = "&amp;N59&amp;"%, "&amp;"Total Opposite = "&amp;O59&amp;"%, "&amp;"Skew = "&amp;P59&amp;"%, "&amp;"Status = 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"Level "&amp;A60&amp;": "&amp;IF($B$6="DOWN","price goes DOWN. ","price goes UP. ")&amp;C60&amp;" "&amp;ROUND(E60,2)&amp;" lot, "&amp;F60&amp;" "&amp;ROUND(H60,2)&amp;" lot, "&amp;I60&amp;" "&amp;ROUND(K60,2)&amp;" lot. "&amp;"Start remains "&amp;ROUND(M60,2)&amp;" lot. "&amp;"Total Main = "&amp;N60&amp;"%, "&amp;"Total Opposite = "&amp;O60&amp;"%, "&amp;"Skew = "&amp;P60&amp;"%, "&amp;"Status = 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"Level "&amp;A61&amp;": "&amp;IF($B$6="DOWN","price goes DOWN. ","price goes UP. ")&amp;C61&amp;" "&amp;ROUND(E61,2)&amp;" lot, "&amp;F61&amp;" "&amp;ROUND(H61,2)&amp;" lot, "&amp;I61&amp;" "&amp;ROUND(K61,2)&amp;" lot. "&amp;"Start remains "&amp;ROUND(M61,2)&amp;" lot. "&amp;"Total Main = "&amp;N61&amp;"%, "&amp;"Total Opposite = "&amp;O61&amp;"%, "&amp;"Skew = "&amp;P61&amp;"%, "&amp;"Status = "&amp;T61&amp;"."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ИТОГОВЫЙ ЧЕЛОВЕЧЕСКИЙ РАСЧЁТ ВСЕХ УРОВНЕЙ</t>
        </is>
      </c>
    </row>
    <row r="2">
      <c r="A2" s="2" t="inlineStr">
        <is>
          <t>Level</t>
        </is>
      </c>
      <c r="B2" s="2" t="inlineStr">
        <is>
          <t>Direction</t>
        </is>
      </c>
      <c r="C2" s="2" t="inlineStr">
        <is>
          <t>Action Big</t>
        </is>
      </c>
      <c r="D2" s="2" t="inlineStr">
        <is>
          <t>Big %</t>
        </is>
      </c>
      <c r="E2" s="2" t="inlineStr">
        <is>
          <t>Big Lot</t>
        </is>
      </c>
      <c r="F2" s="2" t="inlineStr">
        <is>
          <t>Action Small</t>
        </is>
      </c>
      <c r="G2" s="2" t="inlineStr">
        <is>
          <t>Small %</t>
        </is>
      </c>
      <c r="H2" s="2" t="inlineStr">
        <is>
          <t>Small Lot</t>
        </is>
      </c>
      <c r="I2" s="2" t="inlineStr">
        <is>
          <t>Close Action</t>
        </is>
      </c>
      <c r="J2" s="2" t="inlineStr">
        <is>
          <t>Close %</t>
        </is>
      </c>
      <c r="K2" s="2" t="inlineStr">
        <is>
          <t>Close Lot</t>
        </is>
      </c>
      <c r="L2" s="2" t="inlineStr">
        <is>
          <t>Start Remaining %</t>
        </is>
      </c>
      <c r="M2" s="2" t="inlineStr">
        <is>
          <t>Start Remaining Lot</t>
        </is>
      </c>
      <c r="N2" s="2" t="inlineStr">
        <is>
          <t>Total Main %</t>
        </is>
      </c>
      <c r="O2" s="2" t="inlineStr">
        <is>
          <t>Total Opposite %</t>
        </is>
      </c>
      <c r="P2" s="2" t="inlineStr">
        <is>
          <t>Skew %</t>
        </is>
      </c>
      <c r="Q2" s="2" t="inlineStr">
        <is>
          <t>Rounded Main Lot</t>
        </is>
      </c>
      <c r="R2" s="2" t="inlineStr">
        <is>
          <t>Rounded Opp Lot</t>
        </is>
      </c>
      <c r="S2" s="2" t="inlineStr">
        <is>
          <t>Rounded Skew Lot</t>
        </is>
      </c>
      <c r="T2" s="2" t="inlineStr">
        <is>
          <t>Status</t>
        </is>
      </c>
      <c r="U2" s="2" t="inlineStr">
        <is>
          <t>Human Comment</t>
        </is>
      </c>
    </row>
    <row r="3">
      <c r="A3">
        <f>Calculator!A57</f>
        <v/>
      </c>
      <c r="B3">
        <f>Calculator!B57</f>
        <v/>
      </c>
      <c r="C3">
        <f>Calculator!C57</f>
        <v/>
      </c>
      <c r="D3">
        <f>Calculator!D57</f>
        <v/>
      </c>
      <c r="E3">
        <f>Calculator!E57</f>
        <v/>
      </c>
      <c r="F3">
        <f>Calculator!F57</f>
        <v/>
      </c>
      <c r="G3">
        <f>Calculator!G57</f>
        <v/>
      </c>
      <c r="H3">
        <f>Calculator!H57</f>
        <v/>
      </c>
      <c r="I3">
        <f>Calculator!I57</f>
        <v/>
      </c>
      <c r="J3">
        <f>Calculator!J57</f>
        <v/>
      </c>
      <c r="K3">
        <f>Calculator!K57</f>
        <v/>
      </c>
      <c r="L3">
        <f>Calculator!L57</f>
        <v/>
      </c>
      <c r="M3">
        <f>Calculator!M57</f>
        <v/>
      </c>
      <c r="N3">
        <f>Calculator!N57</f>
        <v/>
      </c>
      <c r="O3">
        <f>Calculator!O57</f>
        <v/>
      </c>
      <c r="P3">
        <f>Calculator!P57</f>
        <v/>
      </c>
      <c r="Q3">
        <f>Calculator!Q57</f>
        <v/>
      </c>
      <c r="R3">
        <f>Calculator!R57</f>
        <v/>
      </c>
      <c r="S3">
        <f>Calculator!S57</f>
        <v/>
      </c>
      <c r="T3">
        <f>Calculator!T57</f>
        <v/>
      </c>
      <c r="U3">
        <f>Calculator!U57</f>
        <v/>
      </c>
    </row>
    <row r="4">
      <c r="A4">
        <f>Calculator!A58</f>
        <v/>
      </c>
      <c r="B4">
        <f>Calculator!B58</f>
        <v/>
      </c>
      <c r="C4">
        <f>Calculator!C58</f>
        <v/>
      </c>
      <c r="D4">
        <f>Calculator!D58</f>
        <v/>
      </c>
      <c r="E4">
        <f>Calculator!E58</f>
        <v/>
      </c>
      <c r="F4">
        <f>Calculator!F58</f>
        <v/>
      </c>
      <c r="G4">
        <f>Calculator!G58</f>
        <v/>
      </c>
      <c r="H4">
        <f>Calculator!H58</f>
        <v/>
      </c>
      <c r="I4">
        <f>Calculator!I58</f>
        <v/>
      </c>
      <c r="J4">
        <f>Calculator!J58</f>
        <v/>
      </c>
      <c r="K4">
        <f>Calculator!K58</f>
        <v/>
      </c>
      <c r="L4">
        <f>Calculator!L58</f>
        <v/>
      </c>
      <c r="M4">
        <f>Calculator!M58</f>
        <v/>
      </c>
      <c r="N4">
        <f>Calculator!N58</f>
        <v/>
      </c>
      <c r="O4">
        <f>Calculator!O58</f>
        <v/>
      </c>
      <c r="P4">
        <f>Calculator!P58</f>
        <v/>
      </c>
      <c r="Q4">
        <f>Calculator!Q58</f>
        <v/>
      </c>
      <c r="R4">
        <f>Calculator!R58</f>
        <v/>
      </c>
      <c r="S4">
        <f>Calculator!S58</f>
        <v/>
      </c>
      <c r="T4">
        <f>Calculator!T58</f>
        <v/>
      </c>
      <c r="U4">
        <f>Calculator!U58</f>
        <v/>
      </c>
    </row>
    <row r="5">
      <c r="A5">
        <f>Calculator!A59</f>
        <v/>
      </c>
      <c r="B5">
        <f>Calculator!B59</f>
        <v/>
      </c>
      <c r="C5">
        <f>Calculator!C59</f>
        <v/>
      </c>
      <c r="D5">
        <f>Calculator!D59</f>
        <v/>
      </c>
      <c r="E5">
        <f>Calculator!E59</f>
        <v/>
      </c>
      <c r="F5">
        <f>Calculator!F59</f>
        <v/>
      </c>
      <c r="G5">
        <f>Calculator!G59</f>
        <v/>
      </c>
      <c r="H5">
        <f>Calculator!H59</f>
        <v/>
      </c>
      <c r="I5">
        <f>Calculator!I59</f>
        <v/>
      </c>
      <c r="J5">
        <f>Calculator!J59</f>
        <v/>
      </c>
      <c r="K5">
        <f>Calculator!K59</f>
        <v/>
      </c>
      <c r="L5">
        <f>Calculator!L59</f>
        <v/>
      </c>
      <c r="M5">
        <f>Calculator!M59</f>
        <v/>
      </c>
      <c r="N5">
        <f>Calculator!N59</f>
        <v/>
      </c>
      <c r="O5">
        <f>Calculator!O59</f>
        <v/>
      </c>
      <c r="P5">
        <f>Calculator!P59</f>
        <v/>
      </c>
      <c r="Q5">
        <f>Calculator!Q59</f>
        <v/>
      </c>
      <c r="R5">
        <f>Calculator!R59</f>
        <v/>
      </c>
      <c r="S5">
        <f>Calculator!S59</f>
        <v/>
      </c>
      <c r="T5">
        <f>Calculator!T59</f>
        <v/>
      </c>
      <c r="U5">
        <f>Calculator!U59</f>
        <v/>
      </c>
    </row>
    <row r="6">
      <c r="A6">
        <f>Calculator!A60</f>
        <v/>
      </c>
      <c r="B6">
        <f>Calculator!B60</f>
        <v/>
      </c>
      <c r="C6">
        <f>Calculator!C60</f>
        <v/>
      </c>
      <c r="D6">
        <f>Calculator!D60</f>
        <v/>
      </c>
      <c r="E6">
        <f>Calculator!E60</f>
        <v/>
      </c>
      <c r="F6">
        <f>Calculator!F60</f>
        <v/>
      </c>
      <c r="G6">
        <f>Calculator!G60</f>
        <v/>
      </c>
      <c r="H6">
        <f>Calculator!H60</f>
        <v/>
      </c>
      <c r="I6">
        <f>Calculator!I60</f>
        <v/>
      </c>
      <c r="J6">
        <f>Calculator!J60</f>
        <v/>
      </c>
      <c r="K6">
        <f>Calculator!K60</f>
        <v/>
      </c>
      <c r="L6">
        <f>Calculator!L60</f>
        <v/>
      </c>
      <c r="M6">
        <f>Calculator!M60</f>
        <v/>
      </c>
      <c r="N6">
        <f>Calculator!N60</f>
        <v/>
      </c>
      <c r="O6">
        <f>Calculator!O60</f>
        <v/>
      </c>
      <c r="P6">
        <f>Calculator!P60</f>
        <v/>
      </c>
      <c r="Q6">
        <f>Calculator!Q60</f>
        <v/>
      </c>
      <c r="R6">
        <f>Calculator!R60</f>
        <v/>
      </c>
      <c r="S6">
        <f>Calculator!S60</f>
        <v/>
      </c>
      <c r="T6">
        <f>Calculator!T60</f>
        <v/>
      </c>
      <c r="U6">
        <f>Calculator!U60</f>
        <v/>
      </c>
    </row>
    <row r="7">
      <c r="A7">
        <f>Calculator!A61</f>
        <v/>
      </c>
      <c r="B7">
        <f>Calculator!B61</f>
        <v/>
      </c>
      <c r="C7">
        <f>Calculator!C61</f>
        <v/>
      </c>
      <c r="D7">
        <f>Calculator!D61</f>
        <v/>
      </c>
      <c r="E7">
        <f>Calculator!E61</f>
        <v/>
      </c>
      <c r="F7">
        <f>Calculator!F61</f>
        <v/>
      </c>
      <c r="G7">
        <f>Calculator!G61</f>
        <v/>
      </c>
      <c r="H7">
        <f>Calculator!H61</f>
        <v/>
      </c>
      <c r="I7">
        <f>Calculator!I61</f>
        <v/>
      </c>
      <c r="J7">
        <f>Calculator!J61</f>
        <v/>
      </c>
      <c r="K7">
        <f>Calculator!K61</f>
        <v/>
      </c>
      <c r="L7">
        <f>Calculator!L61</f>
        <v/>
      </c>
      <c r="M7">
        <f>Calculator!M61</f>
        <v/>
      </c>
      <c r="N7">
        <f>Calculator!N61</f>
        <v/>
      </c>
      <c r="O7">
        <f>Calculator!O61</f>
        <v/>
      </c>
      <c r="P7">
        <f>Calculator!P61</f>
        <v/>
      </c>
      <c r="Q7">
        <f>Calculator!Q61</f>
        <v/>
      </c>
      <c r="R7">
        <f>Calculator!R61</f>
        <v/>
      </c>
      <c r="S7">
        <f>Calculator!S61</f>
        <v/>
      </c>
      <c r="T7">
        <f>Calculator!T61</f>
        <v/>
      </c>
      <c r="U7">
        <f>Calculator!U61</f>
        <v/>
      </c>
    </row>
    <row r="10">
      <c r="A10" s="1" t="inlineStr">
        <is>
          <t>HUMAN TOTALS</t>
        </is>
      </c>
    </row>
    <row r="11">
      <c r="A11" t="inlineStr">
        <is>
          <t>Sum Big Lots</t>
        </is>
      </c>
      <c r="B11">
        <f>SUM(E3:E7)</f>
        <v/>
      </c>
    </row>
    <row r="12">
      <c r="A12" t="inlineStr">
        <is>
          <t>Sum Small Lots</t>
        </is>
      </c>
      <c r="B12">
        <f>SUM(H3:H7)</f>
        <v/>
      </c>
    </row>
    <row r="13">
      <c r="A13" t="inlineStr">
        <is>
          <t>Sum Close Lots</t>
        </is>
      </c>
      <c r="B13">
        <f>SUM(K3:K7)</f>
        <v/>
      </c>
    </row>
    <row r="14">
      <c r="A14" t="inlineStr">
        <is>
          <t>Final Start Remaining Lot</t>
        </is>
      </c>
      <c r="B14">
        <f>M7</f>
        <v/>
      </c>
    </row>
    <row r="15">
      <c r="A15" t="inlineStr">
        <is>
          <t>Final Total Main %</t>
        </is>
      </c>
      <c r="B15">
        <f>N7</f>
        <v/>
      </c>
    </row>
    <row r="16">
      <c r="A16" t="inlineStr">
        <is>
          <t>Final Total Opposite %</t>
        </is>
      </c>
      <c r="B16">
        <f>O7</f>
        <v/>
      </c>
    </row>
    <row r="17">
      <c r="A17" t="inlineStr">
        <is>
          <t>Final Skew %</t>
        </is>
      </c>
      <c r="B17">
        <f>P7</f>
        <v/>
      </c>
    </row>
    <row r="18">
      <c r="A18" t="inlineStr">
        <is>
          <t>Final Rounded Main Lot</t>
        </is>
      </c>
      <c r="B18">
        <f>Q7</f>
        <v/>
      </c>
    </row>
    <row r="19">
      <c r="A19" t="inlineStr">
        <is>
          <t>Final Rounded Opp Lot</t>
        </is>
      </c>
      <c r="B19">
        <f>R7</f>
        <v/>
      </c>
    </row>
    <row r="20">
      <c r="A20" t="inlineStr">
        <is>
          <t>Final Rounded Skew Lot</t>
        </is>
      </c>
      <c r="B20">
        <f>S7</f>
        <v/>
      </c>
    </row>
    <row r="21">
      <c r="A21" t="inlineStr">
        <is>
          <t>Final Status</t>
        </is>
      </c>
      <c r="B21">
        <f>T7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Human Sum Big Lots</t>
        </is>
      </c>
      <c r="B12">
        <f>HumanSummary!B11</f>
        <v/>
      </c>
      <c r="C12" t="n">
        <v>1.55</v>
      </c>
      <c r="D12">
        <f>IF(ABS(B12-C12)&lt;0.000001,"PASS","FAIL")</f>
        <v/>
      </c>
    </row>
    <row r="13">
      <c r="A13" t="inlineStr">
        <is>
          <t>Human Sum Small Lots</t>
        </is>
      </c>
      <c r="B13">
        <f>HumanSummary!B12</f>
        <v/>
      </c>
      <c r="C13" t="n">
        <v>0.75</v>
      </c>
      <c r="D13">
        <f>IF(ABS(B13-C13)&lt;0.000001,"PASS","FAIL")</f>
        <v/>
      </c>
    </row>
    <row r="14">
      <c r="A14" t="inlineStr">
        <is>
          <t>Human Sum Close Lots</t>
        </is>
      </c>
      <c r="B14">
        <f>HumanSummary!B13</f>
        <v/>
      </c>
      <c r="C14" t="n">
        <v>0.9</v>
      </c>
      <c r="D14">
        <f>IF(ABS(B14-C14)&lt;0.000001,"PASS","FAIL")</f>
        <v/>
      </c>
    </row>
    <row r="15">
      <c r="A15" t="inlineStr">
        <is>
          <t>Human Final Start Remaining Lot</t>
        </is>
      </c>
      <c r="B15">
        <f>HumanSummary!B14</f>
        <v/>
      </c>
      <c r="C15" t="n">
        <v>0.1</v>
      </c>
      <c r="D15">
        <f>IF(ABS(B15-C15)&lt;0.000001,"PASS","FAIL")</f>
        <v/>
      </c>
    </row>
    <row r="16">
      <c r="A16" t="inlineStr">
        <is>
          <t>Human Final Status</t>
        </is>
      </c>
      <c r="B16">
        <f>HumanSummary!B21</f>
        <v/>
      </c>
      <c r="C16" t="inlineStr">
        <is>
          <t>OK</t>
        </is>
      </c>
      <c r="D16">
        <f>IF(B16=C16,"PASS","FAIL")</f>
        <v/>
      </c>
    </row>
    <row r="17">
      <c r="A17" t="inlineStr">
        <is>
          <t>Human Level 1 Big Action</t>
        </is>
      </c>
      <c r="B17">
        <f>HumanSummary!C3</f>
        <v/>
      </c>
      <c r="C17" t="inlineStr">
        <is>
          <t>Open Big BUY</t>
        </is>
      </c>
      <c r="D17">
        <f>IF(B17=C17,"PASS","FAIL")</f>
        <v/>
      </c>
    </row>
    <row r="18">
      <c r="A18" t="inlineStr">
        <is>
          <t>Human Level 1 Small Action</t>
        </is>
      </c>
      <c r="B18">
        <f>HumanSummary!F3</f>
        <v/>
      </c>
      <c r="C18" t="inlineStr">
        <is>
          <t>Open Small SELL</t>
        </is>
      </c>
      <c r="D18">
        <f>IF(B18=C18,"PASS","FAIL")</f>
        <v/>
      </c>
    </row>
    <row r="19">
      <c r="A19" t="inlineStr">
        <is>
          <t>Human Level 1 Close Action</t>
        </is>
      </c>
      <c r="B19">
        <f>HumanSummary!I3</f>
        <v/>
      </c>
      <c r="C19" t="inlineStr">
        <is>
          <t>Close Start BUY</t>
        </is>
      </c>
      <c r="D19">
        <f>IF(B19=C19,"PASS","FAIL")</f>
        <v/>
      </c>
    </row>
    <row r="20">
      <c r="A20" t="inlineStr">
        <is>
          <t>Human UP Big Action</t>
        </is>
      </c>
      <c r="B20">
        <f>IF(Calculator!B6="UP",HumanSummary!C3,"SKIP")</f>
        <v/>
      </c>
      <c r="C20" t="inlineStr">
        <is>
          <t>Open Big SELL</t>
        </is>
      </c>
      <c r="D20">
        <f>IF(B20=C20,"PASS","FAIL")</f>
        <v/>
      </c>
    </row>
    <row r="21">
      <c r="A21" t="inlineStr">
        <is>
          <t>Summary Final System Status</t>
        </is>
      </c>
      <c r="B21">
        <f>Calculator!B52</f>
        <v/>
      </c>
      <c r="C21" t="inlineStr">
        <is>
          <t>OK</t>
        </is>
      </c>
      <c r="D21">
        <f>IF(B21=C21,"PASS","FAIL")</f>
        <v/>
      </c>
    </row>
    <row r="22">
      <c r="A22" t="inlineStr">
        <is>
          <t>Human Comment L1 is text</t>
        </is>
      </c>
      <c r="B22">
        <f>IF(LEN(HumanSummary!U3)&gt;0,"PASS","FAIL")</f>
        <v/>
      </c>
      <c r="C22" t="inlineStr">
        <is>
          <t>PASS</t>
        </is>
      </c>
      <c r="D22">
        <f>IF(B22=C22,"PASS","FAIL")</f>
        <v/>
      </c>
    </row>
    <row r="23">
      <c r="A23" t="inlineStr">
        <is>
          <t>Human Comment L1 no #VALUE</t>
        </is>
      </c>
      <c r="B23">
        <f>IF(ISNUMBER(SEARCH("#VALUE",HumanSummary!U3)),"FAIL","PASS")</f>
        <v/>
      </c>
      <c r="C23" t="inlineStr">
        <is>
          <t>PASS</t>
        </is>
      </c>
      <c r="D23">
        <f>IF(B23=C23,"PASS","FAIL")</f>
        <v/>
      </c>
    </row>
    <row r="24">
      <c r="A24" t="inlineStr">
        <is>
          <t>Human Comment L1 no #ИМЯ</t>
        </is>
      </c>
      <c r="B24">
        <f>IF(ISNUMBER(SEARCH("#ИМЯ",HumanSummary!U3)),"FAIL","PASS")</f>
        <v/>
      </c>
      <c r="C24" t="inlineStr">
        <is>
          <t>PASS</t>
        </is>
      </c>
      <c r="D24">
        <f>IF(B24=C24,"PASS","FAIL")</f>
        <v/>
      </c>
    </row>
    <row r="25">
      <c r="A25" t="inlineStr">
        <is>
          <t>Human Comment L1 has Open Big BUY</t>
        </is>
      </c>
      <c r="B25">
        <f>IF(ISNUMBER(SEARCH("Open Big BUY",HumanSummary!U3)),"PASS","FAIL")</f>
        <v/>
      </c>
      <c r="C25" t="inlineStr">
        <is>
          <t>PASS</t>
        </is>
      </c>
      <c r="D25">
        <f>IF(B25=C25,"PASS","FAIL")</f>
        <v/>
      </c>
    </row>
    <row r="26">
      <c r="A26" t="inlineStr">
        <is>
          <t>Human Comment L1 has Close Start BUY</t>
        </is>
      </c>
      <c r="B26">
        <f>IF(ISNUMBER(SEARCH("Close Start BUY",HumanSummary!U3)),"PASS","FAIL")</f>
        <v/>
      </c>
      <c r="C26" t="inlineStr">
        <is>
          <t>PASS</t>
        </is>
      </c>
      <c r="D26">
        <f>IF(B26=C26,"PASS","FAIL")</f>
        <v/>
      </c>
    </row>
    <row r="27">
      <c r="A27" t="inlineStr">
        <is>
          <t>Human Comment L1 has Status</t>
        </is>
      </c>
      <c r="B27">
        <f>IF(ISNUMBER(SEARCH("Status =",HumanSummary!U3)),"PASS","FAIL")</f>
        <v/>
      </c>
      <c r="C27" t="inlineStr">
        <is>
          <t>PASS</t>
        </is>
      </c>
      <c r="D27">
        <f>IF(B27=C27,"PASS","FAIL")</f>
        <v/>
      </c>
    </row>
    <row r="28">
      <c r="A28" t="inlineStr">
        <is>
          <t>Human Comment L5 is text</t>
        </is>
      </c>
      <c r="B28">
        <f>IF(LEN(HumanSummary!U7)&gt;0,"PASS","FAIL")</f>
        <v/>
      </c>
      <c r="C28" t="inlineStr">
        <is>
          <t>PASS</t>
        </is>
      </c>
      <c r="D28">
        <f>IF(B28=C28,"PASS","FAIL")</f>
        <v/>
      </c>
    </row>
    <row r="29">
      <c r="A29" t="inlineStr">
        <is>
          <t>Human Comment L5 no error</t>
        </is>
      </c>
      <c r="B29">
        <f>IF(OR(ISNUMBER(SEARCH("#VALUE",HumanSummary!U7)),ISNUMBER(SEARCH("#ИМЯ",HumanSummary!U7)),ISNUMBER(SEARCH("#NAME",HumanSummary!U7))),"FAIL","PASS")</f>
        <v/>
      </c>
      <c r="C29" t="inlineStr">
        <is>
          <t>PASS</t>
        </is>
      </c>
      <c r="D29">
        <f>IF(B29=C29,"PASS","FAIL")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Смотреть Human Summary: Big=основная rescue-позиция, Small=встречная защитная, Close=частичное закрытие стартовой позиции.</t>
        </is>
      </c>
    </row>
    <row r="9">
      <c r="A9" t="inlineStr">
        <is>
          <t>8. Start Remaining = остаток стартовой позиции, Total Main/Opp = баланс сторон, Skew = защитный перевес.</t>
        </is>
      </c>
    </row>
    <row r="10">
      <c r="A10" t="inlineStr">
        <is>
          <t>9. Если Status = OK — сетка безопасна по математике.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Skew — защитный перевес Opposite над Main.</t>
        </is>
      </c>
    </row>
    <row r="9">
      <c r="A9" t="inlineStr">
        <is>
          <t>Как читать Human Summary: Big/Small/Close показывают действия по уровню; Start Remaining — остаток стартовой позиции; Status отражает безопасность уровня.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2026-05-21T09:46:49Z</dcterms:created>
  <dcterms:modified xsi:type="dcterms:W3CDTF">2026-05-21T09:46:49Z</dcterms:modified>
</cp:coreProperties>
</file>