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объёма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J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J2" t="inlineStr">
        <is>
          <t>Баланс</t>
        </is>
      </c>
      <c r="K2" t="n">
        <v>10000</v>
      </c>
    </row>
    <row r="3">
      <c r="A3" t="inlineStr">
        <is>
          <t>ШагПункты</t>
        </is>
      </c>
      <c r="B3" t="n">
        <v>100</v>
      </c>
      <c r="J3" t="inlineStr">
        <is>
          <t>Плечо</t>
        </is>
      </c>
      <c r="K3" t="n">
        <v>100</v>
      </c>
    </row>
    <row r="4">
      <c r="A4" t="inlineStr">
        <is>
          <t>МаксУровни</t>
        </is>
      </c>
      <c r="B4" t="n">
        <v>5</v>
      </c>
      <c r="J4" t="inlineStr">
        <is>
          <t>РазмерКонтракта</t>
        </is>
      </c>
      <c r="K4" t="n">
        <v>100000</v>
      </c>
    </row>
    <row r="5">
      <c r="A5" t="inlineStr">
        <is>
          <t>ШагЛота</t>
        </is>
      </c>
      <c r="B5" t="n">
        <v>0.01</v>
      </c>
      <c r="J5" t="inlineStr">
        <is>
          <t>ЦенаИнструмента</t>
        </is>
      </c>
      <c r="K5" t="n">
        <v>1.1</v>
      </c>
    </row>
    <row r="6">
      <c r="A6" t="inlineStr">
        <is>
          <t>Направление</t>
        </is>
      </c>
      <c r="B6" t="inlineStr">
        <is>
          <t>DOWN</t>
        </is>
      </c>
      <c r="J6" t="inlineStr">
        <is>
          <t>СтоимостьПунктаНа1Лот</t>
        </is>
      </c>
      <c r="K6" t="n">
        <v>10</v>
      </c>
    </row>
    <row r="7">
      <c r="A7" t="inlineStr">
        <is>
          <t>Округлять</t>
        </is>
      </c>
      <c r="B7" t="b">
        <v>1</v>
      </c>
      <c r="J7" t="inlineStr">
        <is>
          <t>МаксДвижениеПротив(пункты)</t>
        </is>
      </c>
      <c r="K7" t="n">
        <v>500</v>
      </c>
    </row>
    <row r="8">
      <c r="A8" t="inlineStr">
        <is>
          <t>РежимBig</t>
        </is>
      </c>
      <c r="B8" t="inlineStr">
        <is>
          <t>ВНИЗ</t>
        </is>
      </c>
      <c r="J8" t="inlineStr">
        <is>
          <t>УровеньStopOut%</t>
        </is>
      </c>
      <c r="K8" t="n">
        <v>50</v>
      </c>
    </row>
    <row r="9">
      <c r="A9" t="inlineStr">
        <is>
          <t>РежимSmall</t>
        </is>
      </c>
      <c r="B9" t="inlineStr">
        <is>
          <t>ВВЕРХ</t>
        </is>
      </c>
      <c r="J9" t="inlineStr">
        <is>
          <t>УровеньMarginCall%</t>
        </is>
      </c>
      <c r="K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J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J17" s="2" t="inlineStr">
        <is>
          <t>Уровень</t>
        </is>
      </c>
      <c r="K17" s="2" t="inlineStr">
        <is>
          <t>Направление</t>
        </is>
      </c>
      <c r="L17" s="2" t="inlineStr">
        <is>
          <t>Общий Main Lot</t>
        </is>
      </c>
      <c r="M17" s="2" t="inlineStr">
        <is>
          <t>Общий Opposite Lot</t>
        </is>
      </c>
      <c r="N17" s="2" t="inlineStr">
        <is>
          <t>Общий открытый объём</t>
        </is>
      </c>
      <c r="O17" s="2" t="inlineStr">
        <is>
          <t>Чистый перекос (Net Lot)</t>
        </is>
      </c>
      <c r="P17" s="2" t="inlineStr">
        <is>
          <t>Маржа на 1 лот</t>
        </is>
      </c>
      <c r="Q17" s="2" t="inlineStr">
        <is>
          <t>Требуемая маржа</t>
        </is>
      </c>
      <c r="R17" s="2" t="inlineStr">
        <is>
          <t>Нагрузка на баланс %</t>
        </is>
      </c>
      <c r="S17" s="2" t="inlineStr">
        <is>
          <t>Максимальное движение против системы</t>
        </is>
      </c>
      <c r="T17" s="2" t="inlineStr">
        <is>
          <t>Плавающая просадка $</t>
        </is>
      </c>
      <c r="U17" s="2" t="inlineStr">
        <is>
          <t>Баланс после просадки</t>
        </is>
      </c>
      <c r="V17" s="2" t="inlineStr">
        <is>
          <t>Equity после просадки</t>
        </is>
      </c>
      <c r="W17" s="2" t="inlineStr">
        <is>
          <t>Свободная маржа</t>
        </is>
      </c>
      <c r="X17" s="2" t="inlineStr">
        <is>
          <t>Margin Level %</t>
        </is>
      </c>
      <c r="Y17" s="2" t="inlineStr">
        <is>
          <t>Риск Margin Call</t>
        </is>
      </c>
      <c r="Z17" s="2" t="inlineStr">
        <is>
          <t>Риск StopOut</t>
        </is>
      </c>
      <c r="AA17" s="2" t="inlineStr">
        <is>
          <t>Статус риска</t>
        </is>
      </c>
      <c r="AB17" s="2" t="inlineStr">
        <is>
          <t>Человеческий комментарий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  <c r="J18" t="n">
        <v>1</v>
      </c>
      <c r="K18">
        <f>$B$6</f>
        <v/>
      </c>
      <c r="L18">
        <f>IF($B$6="DOWN",W26,W35)</f>
        <v/>
      </c>
      <c r="M18">
        <f>IF($B$6="DOWN",X26,X35)</f>
        <v/>
      </c>
      <c r="N18">
        <f>L18+M18</f>
        <v/>
      </c>
      <c r="O18">
        <f>ABS(L18-M18)</f>
        <v/>
      </c>
      <c r="P18">
        <f>$K$4*$K$5/$K$3</f>
        <v/>
      </c>
      <c r="Q18">
        <f>N18*P18</f>
        <v/>
      </c>
      <c r="R18">
        <f>Q18/$K$2*100</f>
        <v/>
      </c>
      <c r="S18">
        <f>$K$7</f>
        <v/>
      </c>
      <c r="T18">
        <f>O18*$K$6*$K$7</f>
        <v/>
      </c>
      <c r="U18">
        <f>$K$2-T18</f>
        <v/>
      </c>
      <c r="V18">
        <f>U18</f>
        <v/>
      </c>
      <c r="W18">
        <f>V18-Q18</f>
        <v/>
      </c>
      <c r="X18">
        <f>IF(Q18=0,0,V18/Q18*100)</f>
        <v/>
      </c>
      <c r="Y18">
        <f>IF(X18&lt;=$K$9,"РИСК MARGIN CALL","OK")</f>
        <v/>
      </c>
      <c r="Z18">
        <f>IF(X18&lt;=$K$8,"РИСК STOPOUT","OK")</f>
        <v/>
      </c>
      <c r="AA18">
        <f>IF(R18&lt;30,"OK",IF(R18&lt;50,"WARNING",IF(R18&lt;70,"DANGER","CRITICAL")))</f>
        <v/>
      </c>
      <c r="AB18">
        <f>"Уровень "&amp;J18&amp;". Маржа="&amp;ROUND(Q18,2)&amp;"$. Нагрузка="&amp;ROUND(R18,1)&amp;"%. Просадка="&amp;ROUND(T18,2)&amp;"$. Статус="&amp;AA18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E19" t="inlineStr"/>
      <c r="J19" t="n">
        <v>2</v>
      </c>
      <c r="K19">
        <f>$B$6</f>
        <v/>
      </c>
      <c r="L19">
        <f>IF($B$6="DOWN",W27,W36)</f>
        <v/>
      </c>
      <c r="M19">
        <f>IF($B$6="DOWN",X27,X36)</f>
        <v/>
      </c>
      <c r="N19">
        <f>L19+M19</f>
        <v/>
      </c>
      <c r="O19">
        <f>ABS(L19-M19)</f>
        <v/>
      </c>
      <c r="P19">
        <f>$K$4*$K$5/$K$3</f>
        <v/>
      </c>
      <c r="Q19">
        <f>N19*P19</f>
        <v/>
      </c>
      <c r="R19">
        <f>Q19/$K$2*100</f>
        <v/>
      </c>
      <c r="S19">
        <f>$K$7</f>
        <v/>
      </c>
      <c r="T19">
        <f>O19*$K$6*$K$7</f>
        <v/>
      </c>
      <c r="U19">
        <f>$K$2-T19</f>
        <v/>
      </c>
      <c r="V19">
        <f>U19</f>
        <v/>
      </c>
      <c r="W19">
        <f>V19-Q19</f>
        <v/>
      </c>
      <c r="X19">
        <f>IF(Q19=0,0,V19/Q19*100)</f>
        <v/>
      </c>
      <c r="Y19">
        <f>IF(X19&lt;=$K$9,"РИСК MARGIN CALL","OK")</f>
        <v/>
      </c>
      <c r="Z19">
        <f>IF(X19&lt;=$K$8,"РИСК STOPOUT","OK")</f>
        <v/>
      </c>
      <c r="AA19">
        <f>IF(R19&lt;30,"OK",IF(R19&lt;50,"WARNING",IF(R19&lt;70,"DANGER","CRITICAL")))</f>
        <v/>
      </c>
      <c r="AB19">
        <f>"Уровень "&amp;J19&amp;". Маржа="&amp;ROUND(Q19,2)&amp;"$. Нагрузка="&amp;ROUND(R19,1)&amp;"%. Просадка="&amp;ROUND(T19,2)&amp;"$. Статус="&amp;AA19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E20" t="inlineStr"/>
      <c r="J20" t="n">
        <v>3</v>
      </c>
      <c r="K20">
        <f>$B$6</f>
        <v/>
      </c>
      <c r="L20">
        <f>IF($B$6="DOWN",W28,W37)</f>
        <v/>
      </c>
      <c r="M20">
        <f>IF($B$6="DOWN",X28,X37)</f>
        <v/>
      </c>
      <c r="N20">
        <f>L20+M20</f>
        <v/>
      </c>
      <c r="O20">
        <f>ABS(L20-M20)</f>
        <v/>
      </c>
      <c r="P20">
        <f>$K$4*$K$5/$K$3</f>
        <v/>
      </c>
      <c r="Q20">
        <f>N20*P20</f>
        <v/>
      </c>
      <c r="R20">
        <f>Q20/$K$2*100</f>
        <v/>
      </c>
      <c r="S20">
        <f>$K$7</f>
        <v/>
      </c>
      <c r="T20">
        <f>O20*$K$6*$K$7</f>
        <v/>
      </c>
      <c r="U20">
        <f>$K$2-T20</f>
        <v/>
      </c>
      <c r="V20">
        <f>U20</f>
        <v/>
      </c>
      <c r="W20">
        <f>V20-Q20</f>
        <v/>
      </c>
      <c r="X20">
        <f>IF(Q20=0,0,V20/Q20*100)</f>
        <v/>
      </c>
      <c r="Y20">
        <f>IF(X20&lt;=$K$9,"РИСК MARGIN CALL","OK")</f>
        <v/>
      </c>
      <c r="Z20">
        <f>IF(X20&lt;=$K$8,"РИСК STOPOUT","OK")</f>
        <v/>
      </c>
      <c r="AA20">
        <f>IF(R20&lt;30,"OK",IF(R20&lt;50,"WARNING",IF(R20&lt;70,"DANGER","CRITICAL")))</f>
        <v/>
      </c>
      <c r="AB20">
        <f>"Уровень "&amp;J20&amp;". Маржа="&amp;ROUND(Q20,2)&amp;"$. Нагрузка="&amp;ROUND(R20,1)&amp;"%. Просадка="&amp;ROUND(T20,2)&amp;"$. Статус="&amp;AA20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E21" t="inlineStr"/>
      <c r="J21" t="n">
        <v>4</v>
      </c>
      <c r="K21">
        <f>$B$6</f>
        <v/>
      </c>
      <c r="L21">
        <f>IF($B$6="DOWN",W29,W38)</f>
        <v/>
      </c>
      <c r="M21">
        <f>IF($B$6="DOWN",X29,X38)</f>
        <v/>
      </c>
      <c r="N21">
        <f>L21+M21</f>
        <v/>
      </c>
      <c r="O21">
        <f>ABS(L21-M21)</f>
        <v/>
      </c>
      <c r="P21">
        <f>$K$4*$K$5/$K$3</f>
        <v/>
      </c>
      <c r="Q21">
        <f>N21*P21</f>
        <v/>
      </c>
      <c r="R21">
        <f>Q21/$K$2*100</f>
        <v/>
      </c>
      <c r="S21">
        <f>$K$7</f>
        <v/>
      </c>
      <c r="T21">
        <f>O21*$K$6*$K$7</f>
        <v/>
      </c>
      <c r="U21">
        <f>$K$2-T21</f>
        <v/>
      </c>
      <c r="V21">
        <f>U21</f>
        <v/>
      </c>
      <c r="W21">
        <f>V21-Q21</f>
        <v/>
      </c>
      <c r="X21">
        <f>IF(Q21=0,0,V21/Q21*100)</f>
        <v/>
      </c>
      <c r="Y21">
        <f>IF(X21&lt;=$K$9,"РИСК MARGIN CALL","OK")</f>
        <v/>
      </c>
      <c r="Z21">
        <f>IF(X21&lt;=$K$8,"РИСК STOPOUT","OK")</f>
        <v/>
      </c>
      <c r="AA21">
        <f>IF(R21&lt;30,"OK",IF(R21&lt;50,"WARNING",IF(R21&lt;70,"DANGER","CRITICAL")))</f>
        <v/>
      </c>
      <c r="AB21">
        <f>"Уровень "&amp;J21&amp;". Маржа="&amp;ROUND(Q21,2)&amp;"$. Нагрузка="&amp;ROUND(R21,1)&amp;"%. Просадка="&amp;ROUND(T21,2)&amp;"$. Статус="&amp;AA21</f>
        <v/>
      </c>
    </row>
    <row r="22">
      <c r="A22" t="n">
        <v>5</v>
      </c>
      <c r="B22" t="n">
        <v>5</v>
      </c>
      <c r="C22" t="n">
        <v>5</v>
      </c>
      <c r="D22" t="n">
        <v>10</v>
      </c>
      <c r="E22" t="inlineStr"/>
      <c r="J22" t="n">
        <v>5</v>
      </c>
      <c r="K22">
        <f>$B$6</f>
        <v/>
      </c>
      <c r="L22">
        <f>IF($B$6="DOWN",W30,W39)</f>
        <v/>
      </c>
      <c r="M22">
        <f>IF($B$6="DOWN",X30,X39)</f>
        <v/>
      </c>
      <c r="N22">
        <f>L22+M22</f>
        <v/>
      </c>
      <c r="O22">
        <f>ABS(L22-M22)</f>
        <v/>
      </c>
      <c r="P22">
        <f>$K$4*$K$5/$K$3</f>
        <v/>
      </c>
      <c r="Q22">
        <f>N22*P22</f>
        <v/>
      </c>
      <c r="R22">
        <f>Q22/$K$2*100</f>
        <v/>
      </c>
      <c r="S22">
        <f>$K$7</f>
        <v/>
      </c>
      <c r="T22">
        <f>O22*$K$6*$K$7</f>
        <v/>
      </c>
      <c r="U22">
        <f>$K$2-T22</f>
        <v/>
      </c>
      <c r="V22">
        <f>U22</f>
        <v/>
      </c>
      <c r="W22">
        <f>V22-Q22</f>
        <v/>
      </c>
      <c r="X22">
        <f>IF(Q22=0,0,V22/Q22*100)</f>
        <v/>
      </c>
      <c r="Y22">
        <f>IF(X22&lt;=$K$9,"РИСК MARGIN CALL","OK")</f>
        <v/>
      </c>
      <c r="Z22">
        <f>IF(X22&lt;=$K$8,"РИСК STOPOUT","OK")</f>
        <v/>
      </c>
      <c r="AA22">
        <f>IF(R22&lt;30,"OK",IF(R22&lt;50,"WARNING",IF(R22&lt;70,"DANGER","CRITICAL")))</f>
        <v/>
      </c>
      <c r="AB22">
        <f>"Уровень "&amp;J22&amp;". Маржа="&amp;ROUND(Q22,2)&amp;"$. Нагрузка="&amp;ROUND(R22,1)&amp;"%. Просадка="&amp;ROUND(T22,2)&amp;"$. Статус="&amp;AA22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>
        <f>IF(B6="DOWN",T30,T39)</f>
        <v/>
      </c>
    </row>
    <row r="45">
      <c r="A45" t="inlineStr">
        <is>
          <t>ИтогOpp %</t>
        </is>
      </c>
      <c r="B45">
        <f>IF(B6="DOWN",U30,U39)</f>
        <v/>
      </c>
    </row>
    <row r="46">
      <c r="A46" t="inlineStr">
        <is>
          <t>ИтогSkew %</t>
        </is>
      </c>
      <c r="B46">
        <f>IF(B6="DOWN",V30,V39)</f>
        <v/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>
        <f>IF(B6="DOWN",W30,W39)</f>
        <v/>
      </c>
    </row>
    <row r="49">
      <c r="A49" t="inlineStr">
        <is>
          <t>ИтогОкруглOpp</t>
        </is>
      </c>
      <c r="B49">
        <f>IF(B6="DOWN",X30,X39)</f>
        <v/>
      </c>
    </row>
    <row r="50">
      <c r="A50" t="inlineStr">
        <is>
          <t>ИтогОкруглSkew</t>
        </is>
      </c>
      <c r="B50">
        <f>IF(B6="DOWN",Y30,Y39)</f>
        <v/>
      </c>
    </row>
    <row r="51">
      <c r="A51" t="inlineStr">
        <is>
          <t>ИтогСтатус</t>
        </is>
      </c>
      <c r="B51">
        <f>IF(B6="DOWN",Z30,Z39)</f>
        <v/>
      </c>
    </row>
    <row r="55">
      <c r="A55" s="1" t="inlineStr">
        <is>
          <t>ИТОГОВЫЙ ЧЕЛОВЕЧЕСКИЙ РАСЧЁТ ВСЕХ УРОВНЕЙ</t>
        </is>
      </c>
    </row>
    <row r="56">
      <c r="A56" s="2" t="inlineStr">
        <is>
          <t>Уровень</t>
        </is>
      </c>
      <c r="B56" s="2" t="inlineStr">
        <is>
          <t>Направление</t>
        </is>
      </c>
      <c r="C56" s="2" t="inlineStr">
        <is>
          <t>Действие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Действие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Действие Close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Остаток старта %</t>
        </is>
      </c>
      <c r="M56" s="2" t="inlineStr">
        <is>
          <t>Остаток старта Lot</t>
        </is>
      </c>
      <c r="N56" s="2" t="inlineStr">
        <is>
          <t>Main %</t>
        </is>
      </c>
      <c r="O56" s="2" t="inlineStr">
        <is>
          <t>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Статус</t>
        </is>
      </c>
      <c r="U56" s="2" t="inlineStr">
        <is>
          <t>Человеческий комментарий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"Уровень "&amp;A57&amp;". "&amp;IF($B$6="DOWN","Цена идет вниз. ","Цена идет вверх. ")&amp;C57&amp;" "&amp;ROUND(E57,2)&amp;" лота. "&amp;F57&amp;" "&amp;ROUND(H57,2)&amp;" лота. "&amp;I57&amp;" "&amp;ROUND(K57,2)&amp;" лота. Остаток "&amp;ROUND(M57,2)&amp;" лота. Main="&amp;N57&amp;"%, Opp="&amp;O57&amp;"%, Skew="&amp;P57&amp;"%, Статус="&amp;T57&amp;"."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"Уровень "&amp;A58&amp;". "&amp;IF($B$6="DOWN","Цена идет вниз. ","Цена идет вверх. ")&amp;C58&amp;" "&amp;ROUND(E58,2)&amp;" лота. "&amp;F58&amp;" "&amp;ROUND(H58,2)&amp;" лота. "&amp;I58&amp;" "&amp;ROUND(K58,2)&amp;" лота. Остаток "&amp;ROUND(M58,2)&amp;" лота. Main="&amp;N58&amp;"%, Opp="&amp;O58&amp;"%, Skew="&amp;P58&amp;"%, Статус="&amp;T58&amp;"."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"Уровень "&amp;A59&amp;". "&amp;IF($B$6="DOWN","Цена идет вниз. ","Цена идет вверх. ")&amp;C59&amp;" "&amp;ROUND(E59,2)&amp;" лота. "&amp;F59&amp;" "&amp;ROUND(H59,2)&amp;" лота. "&amp;I59&amp;" "&amp;ROUND(K59,2)&amp;" лота. Остаток "&amp;ROUND(M59,2)&amp;" лота. Main="&amp;N59&amp;"%, Opp="&amp;O59&amp;"%, Skew="&amp;P59&amp;"%, Статус="&amp;T59&amp;"."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"Уровень "&amp;A60&amp;". "&amp;IF($B$6="DOWN","Цена идет вниз. ","Цена идет вверх. ")&amp;C60&amp;" "&amp;ROUND(E60,2)&amp;" лота. "&amp;F60&amp;" "&amp;ROUND(H60,2)&amp;" лота. "&amp;I60&amp;" "&amp;ROUND(K60,2)&amp;" лота. Остаток "&amp;ROUND(M60,2)&amp;" лота. Main="&amp;N60&amp;"%, Opp="&amp;O60&amp;"%, Skew="&amp;P60&amp;"%, Статус="&amp;T60&amp;"."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"Уровень "&amp;A61&amp;". "&amp;IF($B$6="DOWN","Цена идет вниз. ","Цена идет вверх. ")&amp;C61&amp;" "&amp;ROUND(E61,2)&amp;" лота. "&amp;F61&amp;" "&amp;ROUND(H61,2)&amp;" лота. "&amp;I61&amp;" "&amp;ROUND(K61,2)&amp;" лота. Остаток "&amp;ROUND(M61,2)&amp;" лота. Main="&amp;N61&amp;"%, Opp="&amp;O61&amp;"%, Skew="&amp;P61&amp;"%, Статус="&amp;T61&amp;"."</f>
        <v/>
      </c>
    </row>
    <row r="63">
      <c r="A63" s="1" t="inlineStr">
        <is>
          <t>ИТОГОВЫЕ ЧЕЛОВЕЧЕСКИЕ ИТОГИ</t>
        </is>
      </c>
    </row>
    <row r="64">
      <c r="A64" t="inlineStr">
        <is>
          <t>Сумма Big Lots</t>
        </is>
      </c>
      <c r="B64">
        <f>SUM(E57:E61)</f>
        <v/>
      </c>
    </row>
    <row r="65">
      <c r="A65" t="inlineStr">
        <is>
          <t>Сумма Small Lots</t>
        </is>
      </c>
      <c r="B65">
        <f>SUM(H57:H61)</f>
        <v/>
      </c>
    </row>
    <row r="66">
      <c r="A66" t="inlineStr">
        <is>
          <t>Сумма Close Lots</t>
        </is>
      </c>
      <c r="B66">
        <f>SUM(K57:K61)</f>
        <v/>
      </c>
    </row>
    <row r="67">
      <c r="A67" t="inlineStr">
        <is>
          <t>Финальный Main %</t>
        </is>
      </c>
      <c r="B67">
        <f>N61</f>
        <v/>
      </c>
    </row>
    <row r="68">
      <c r="A68" t="inlineStr">
        <is>
          <t>Финальный Opp %</t>
        </is>
      </c>
      <c r="B68">
        <f>O61</f>
        <v/>
      </c>
    </row>
    <row r="69">
      <c r="A69" t="inlineStr">
        <is>
          <t>Финальный Skew %</t>
        </is>
      </c>
      <c r="B69">
        <f>P61</f>
        <v/>
      </c>
    </row>
    <row r="70">
      <c r="A70" t="inlineStr">
        <is>
          <t>Финальный Rounded Main</t>
        </is>
      </c>
      <c r="B70">
        <f>Q61</f>
        <v/>
      </c>
    </row>
    <row r="71">
      <c r="A71" t="inlineStr">
        <is>
          <t>Финальный Rounded Opp</t>
        </is>
      </c>
      <c r="B71">
        <f>R61</f>
        <v/>
      </c>
    </row>
    <row r="72">
      <c r="A72" t="inlineStr">
        <is>
          <t>Финальный Rounded Skew</t>
        </is>
      </c>
      <c r="B72">
        <f>S61</f>
        <v/>
      </c>
    </row>
    <row r="73">
      <c r="A73" t="inlineStr">
        <is>
          <t>Максимальная маржа</t>
        </is>
      </c>
      <c r="B73">
        <f>MAX(Q18:Q22)</f>
        <v/>
      </c>
    </row>
    <row r="74">
      <c r="A74" t="inlineStr">
        <is>
          <t>Максимальная просадка</t>
        </is>
      </c>
      <c r="B74">
        <f>MAX(T18:T22)</f>
        <v/>
      </c>
    </row>
    <row r="75">
      <c r="A75" t="inlineStr">
        <is>
          <t>Максимальная нагрузка %</t>
        </is>
      </c>
      <c r="B75">
        <f>MAX(R18:R22)</f>
        <v/>
      </c>
    </row>
    <row r="76">
      <c r="A76" t="inlineStr">
        <is>
          <t>Худший уровень риска</t>
        </is>
      </c>
      <c r="B76">
        <f>INDEX(J18:J22,MATCH(MAX(R18:R22),R18:R22,0))</f>
        <v/>
      </c>
    </row>
    <row r="77">
      <c r="A77" t="inlineStr">
        <is>
          <t>Финальный статус системы</t>
        </is>
      </c>
      <c r="B77">
        <f>B51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>
        <f>'Калькулятор'!J18</f>
        <v/>
      </c>
      <c r="B3">
        <f>'Калькулятор'!R18</f>
        <v/>
      </c>
      <c r="C3">
        <f>'Калькулятор'!Q18</f>
        <v/>
      </c>
      <c r="D3">
        <f>'Калькулятор'!N18</f>
        <v/>
      </c>
      <c r="E3">
        <f>'Калькулятор'!T18</f>
        <v/>
      </c>
      <c r="F3">
        <f>'Калькулятор'!X18</f>
        <v/>
      </c>
      <c r="G3">
        <f>'Калькулятор'!AA18</f>
        <v/>
      </c>
    </row>
    <row r="4">
      <c r="A4">
        <f>'Калькулятор'!J19</f>
        <v/>
      </c>
      <c r="B4">
        <f>'Калькулятор'!R19</f>
        <v/>
      </c>
      <c r="C4">
        <f>'Калькулятор'!Q19</f>
        <v/>
      </c>
      <c r="D4">
        <f>'Калькулятор'!N19</f>
        <v/>
      </c>
      <c r="E4">
        <f>'Калькулятор'!T19</f>
        <v/>
      </c>
      <c r="F4">
        <f>'Калькулятор'!X19</f>
        <v/>
      </c>
      <c r="G4">
        <f>'Калькулятор'!AA19</f>
        <v/>
      </c>
    </row>
    <row r="5">
      <c r="A5">
        <f>'Калькулятор'!J20</f>
        <v/>
      </c>
      <c r="B5">
        <f>'Калькулятор'!R20</f>
        <v/>
      </c>
      <c r="C5">
        <f>'Калькулятор'!Q20</f>
        <v/>
      </c>
      <c r="D5">
        <f>'Калькулятор'!N20</f>
        <v/>
      </c>
      <c r="E5">
        <f>'Калькулятор'!T20</f>
        <v/>
      </c>
      <c r="F5">
        <f>'Калькулятор'!X20</f>
        <v/>
      </c>
      <c r="G5">
        <f>'Калькулятор'!AA20</f>
        <v/>
      </c>
    </row>
    <row r="6">
      <c r="A6">
        <f>'Калькулятор'!J21</f>
        <v/>
      </c>
      <c r="B6">
        <f>'Калькулятор'!R21</f>
        <v/>
      </c>
      <c r="C6">
        <f>'Калькулятор'!Q21</f>
        <v/>
      </c>
      <c r="D6">
        <f>'Калькулятор'!N21</f>
        <v/>
      </c>
      <c r="E6">
        <f>'Калькулятор'!T21</f>
        <v/>
      </c>
      <c r="F6">
        <f>'Калькулятор'!X21</f>
        <v/>
      </c>
      <c r="G6">
        <f>'Калькулятор'!AA21</f>
        <v/>
      </c>
    </row>
    <row r="7">
      <c r="A7">
        <f>'Калькулятор'!J22</f>
        <v/>
      </c>
      <c r="B7">
        <f>'Калькулятор'!R22</f>
        <v/>
      </c>
      <c r="C7">
        <f>'Калькулятор'!Q22</f>
        <v/>
      </c>
      <c r="D7">
        <f>'Калькулятор'!N22</f>
        <v/>
      </c>
      <c r="E7">
        <f>'Калькулятор'!T22</f>
        <v/>
      </c>
      <c r="F7">
        <f>'Калькулятор'!X22</f>
        <v/>
      </c>
      <c r="G7">
        <f>'Калькулятор'!AA22</f>
        <v/>
      </c>
    </row>
    <row r="10">
      <c r="A10" t="inlineStr">
        <is>
          <t>Максимальная нагрузка %</t>
        </is>
      </c>
      <c r="B10">
        <f>MAX(B3:B7)</f>
        <v/>
      </c>
    </row>
    <row r="11">
      <c r="A11" t="inlineStr">
        <is>
          <t>Максимальная маржа $</t>
        </is>
      </c>
      <c r="B11">
        <f>MAX(C3:C7)</f>
        <v/>
      </c>
    </row>
    <row r="12">
      <c r="A12" t="inlineStr">
        <is>
          <t>Максимальный объем</t>
        </is>
      </c>
      <c r="B12">
        <f>MAX(D3:D7)</f>
        <v/>
      </c>
    </row>
    <row r="13">
      <c r="A13" t="inlineStr">
        <is>
          <t>Максимальная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Уровень Margin Call</t>
        </is>
      </c>
      <c r="B15">
        <f>'Калькулятор'!K9</f>
        <v/>
      </c>
    </row>
    <row r="16">
      <c r="A16" t="inlineStr">
        <is>
          <t>Уровень StopOut</t>
        </is>
      </c>
      <c r="B16">
        <f>'Калькулятор'!K8</f>
        <v/>
      </c>
    </row>
    <row r="17">
      <c r="A17" t="inlineStr">
        <is>
          <t>Безопасный рекомендуемый баланс</t>
        </is>
      </c>
      <c r="B17">
        <f>MAX(C3:C7)/0.3</f>
        <v/>
      </c>
    </row>
    <row r="18">
      <c r="A18" t="inlineStr">
        <is>
          <t>Рекомендуемое плечо</t>
        </is>
      </c>
      <c r="B18">
        <f>'Калькулятор'!K3</f>
        <v/>
      </c>
    </row>
    <row r="19">
      <c r="A19" t="inlineStr">
        <is>
          <t>Рекомендуемый минимальный депозит</t>
        </is>
      </c>
      <c r="B19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База Main 165</t>
        </is>
      </c>
      <c r="B2">
        <f>'Калькулятор'!B44</f>
        <v/>
      </c>
      <c r="C2" t="n">
        <v>165</v>
      </c>
      <c r="D2">
        <f>IF(ABS(B2-C2)&lt;0.000001,"PASS","FAIL")</f>
        <v/>
      </c>
    </row>
    <row r="3">
      <c r="A3" t="inlineStr">
        <is>
          <t>База Opp 175</t>
        </is>
      </c>
      <c r="B3">
        <f>'Калькулятор'!B45</f>
        <v/>
      </c>
      <c r="C3" t="n">
        <v>175</v>
      </c>
      <c r="D3">
        <f>IF(ABS(B3-C3)&lt;0.000001,"PASS","FAIL")</f>
        <v/>
      </c>
    </row>
    <row r="4">
      <c r="A4" t="inlineStr">
        <is>
          <t>База Skew 10</t>
        </is>
      </c>
      <c r="B4">
        <f>'Калькулятор'!B46</f>
        <v/>
      </c>
      <c r="C4" t="n">
        <v>10</v>
      </c>
      <c r="D4">
        <f>IF(ABS(B4-C4)&lt;0.000001,"PASS","FAIL")</f>
        <v/>
      </c>
    </row>
    <row r="5">
      <c r="A5" t="inlineStr">
        <is>
          <t>Close 60</t>
        </is>
      </c>
      <c r="B5">
        <f>'Калькулятор'!N26</f>
        <v/>
      </c>
      <c r="C5" t="n">
        <v>60</v>
      </c>
      <c r="D5">
        <f>IF(ABS(B5-C5)&lt;0.000001,"PASS","FAIL")</f>
        <v/>
      </c>
    </row>
    <row r="6">
      <c r="A6" t="inlineStr">
        <is>
          <t>Close 30</t>
        </is>
      </c>
      <c r="B6">
        <f>'Калькулятор'!N27</f>
        <v/>
      </c>
      <c r="C6" t="n">
        <v>30</v>
      </c>
      <c r="D6">
        <f>IF(ABS(B6-C6)&lt;0.000001,"PASS","FAIL")</f>
        <v/>
      </c>
    </row>
    <row r="7">
      <c r="A7" t="inlineStr">
        <is>
          <t>Close 0</t>
        </is>
      </c>
      <c r="B7">
        <f>'Калькулятор'!N28</f>
        <v/>
      </c>
      <c r="C7" t="n">
        <v>0</v>
      </c>
      <c r="D7">
        <f>IF(ABS(B7-C7)&lt;0.000001,"PASS","FAIL")</f>
        <v/>
      </c>
    </row>
    <row r="8">
      <c r="A8" t="inlineStr">
        <is>
          <t>Есть Human Summary</t>
        </is>
      </c>
      <c r="B8">
        <f>'Калькулятор'!A55</f>
        <v/>
      </c>
      <c r="C8" t="inlineStr">
        <is>
          <t>ИТОГОВЫЙ ЧЕЛОВЕЧЕСКИЙ РАСЧЁТ ВСЕХ УРОВНЕЙ</t>
        </is>
      </c>
      <c r="D8">
        <f>IF(B8=C8,"PASS","FAIL")</f>
        <v/>
      </c>
    </row>
    <row r="9">
      <c r="A9" t="inlineStr">
        <is>
          <t>Есть Human Comment</t>
        </is>
      </c>
      <c r="B9">
        <f>'Калькулятор'!U57</f>
        <v/>
      </c>
      <c r="C9" t="inlineStr"/>
      <c r="D9">
        <f>IF(LEN(B9)&gt;0,"PASS","FAIL")</f>
        <v/>
      </c>
    </row>
    <row r="10">
      <c r="A10" t="inlineStr">
        <is>
          <t>Сумма Big</t>
        </is>
      </c>
      <c r="B10">
        <f>'Калькулятор'!B64</f>
        <v/>
      </c>
      <c r="C10" t="n">
        <v>1.55</v>
      </c>
      <c r="D10">
        <f>IF(ABS(B10-C10)&lt;0.000001,"PASS","FAIL")</f>
        <v/>
      </c>
    </row>
    <row r="11">
      <c r="A11" t="inlineStr">
        <is>
          <t>Сумма Small</t>
        </is>
      </c>
      <c r="B11">
        <f>'Калькулятор'!B65</f>
        <v/>
      </c>
      <c r="C11" t="n">
        <v>0.75</v>
      </c>
      <c r="D11">
        <f>IF(ABS(B11-C11)&lt;0.000001,"PASS","FAIL")</f>
        <v/>
      </c>
    </row>
    <row r="12">
      <c r="A12" t="inlineStr">
        <is>
          <t>Сумма Close</t>
        </is>
      </c>
      <c r="B12">
        <f>'Калькулятор'!B66</f>
        <v/>
      </c>
      <c r="C12" t="n">
        <v>0.9</v>
      </c>
      <c r="D12">
        <f>IF(ABS(B12-C12)&lt;0.000001,"PASS","FAIL")</f>
        <v/>
      </c>
    </row>
    <row r="13">
      <c r="A13" t="inlineStr">
        <is>
          <t>Маржа формула</t>
        </is>
      </c>
      <c r="B13">
        <f>'Калькулятор'!Q18</f>
        <v/>
      </c>
      <c r="C13" t="inlineStr"/>
      <c r="D13">
        <f>IF(LEN(B13)&gt;0,"PASS","FAIL")</f>
        <v/>
      </c>
    </row>
    <row r="14">
      <c r="A14" t="inlineStr">
        <is>
          <t>Просадка формула</t>
        </is>
      </c>
      <c r="B14">
        <f>'Калькулятор'!T18</f>
        <v/>
      </c>
      <c r="C14" t="inlineStr"/>
      <c r="D14">
        <f>IF(LEN(B14)&gt;0,"PASS","FAIL")</f>
        <v/>
      </c>
    </row>
    <row r="15">
      <c r="A15" t="inlineStr">
        <is>
          <t>Margin Level формула</t>
        </is>
      </c>
      <c r="B15">
        <f>'Калькулятор'!X18</f>
        <v/>
      </c>
      <c r="C15" t="inlineStr"/>
      <c r="D15">
        <f>IF(LEN(B15)&gt;0,"PASS","FAIL")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2026-05-21T13:38:06Z</dcterms:created>
  <dcterms:modified xsi:type="dcterms:W3CDTF">2026-05-21T13:38:06Z</dcterms:modified>
</cp:coreProperties>
</file>