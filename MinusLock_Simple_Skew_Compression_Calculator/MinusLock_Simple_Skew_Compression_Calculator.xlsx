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  <sheet name="HumanSummary" sheetId="2" state="visible" r:id="rId2"/>
    <sheet name="Tests" sheetId="3" state="visible" r:id="rId3"/>
    <sheet name="Manual" sheetId="4" state="visible" r:id="rId4"/>
    <sheet name="READM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PARAMETERS</t>
        </is>
      </c>
      <c r="E1" s="1" t="inlineStr">
        <is>
          <t>STATUS / CHECKS</t>
        </is>
      </c>
    </row>
    <row r="2">
      <c r="A2" t="inlineStr">
        <is>
          <t>StartLot</t>
        </is>
      </c>
      <c r="B2" t="n">
        <v>1</v>
      </c>
      <c r="C2" t="inlineStr">
        <is>
          <t>стартовый лот</t>
        </is>
      </c>
      <c r="E2" t="inlineStr">
        <is>
          <t>StartLot</t>
        </is>
      </c>
      <c r="F2">
        <f>IF(B2&lt;=0,"ERROR: Invalid StartLot","OK")</f>
        <v/>
      </c>
    </row>
    <row r="3">
      <c r="A3" t="inlineStr">
        <is>
          <t>StepPoints</t>
        </is>
      </c>
      <c r="B3" t="n">
        <v>100</v>
      </c>
      <c r="C3" t="inlineStr">
        <is>
          <t>шаг сетки в пунктах</t>
        </is>
      </c>
      <c r="E3" t="inlineStr">
        <is>
          <t>LotStep</t>
        </is>
      </c>
      <c r="F3">
        <f>IF(B5&lt;=0,"ERROR: Invalid LotStep","OK")</f>
        <v/>
      </c>
    </row>
    <row r="4">
      <c r="A4" t="inlineStr">
        <is>
          <t>MaxLevels</t>
        </is>
      </c>
      <c r="B4" t="n">
        <v>5</v>
      </c>
      <c r="C4" t="inlineStr">
        <is>
          <t>максимум уровней</t>
        </is>
      </c>
      <c r="E4" t="inlineStr">
        <is>
          <t>MaxLevels</t>
        </is>
      </c>
      <c r="F4">
        <f>IF(B4&lt;1,"ERROR: Invalid MaxLevels","OK")</f>
        <v/>
      </c>
    </row>
    <row r="5">
      <c r="A5" t="inlineStr">
        <is>
          <t>LotStep</t>
        </is>
      </c>
      <c r="B5" t="n">
        <v>0.01</v>
      </c>
      <c r="C5" t="inlineStr">
        <is>
          <t>шаг лота брокера</t>
        </is>
      </c>
      <c r="E5" t="inlineStr">
        <is>
          <t>Direction</t>
        </is>
      </c>
      <c r="F5">
        <f>IF(OR(B6="DOWN",B6="UP"),"OK","ERROR: Invalid Direction")</f>
        <v/>
      </c>
    </row>
    <row r="6">
      <c r="A6" t="inlineStr">
        <is>
          <t>Direction</t>
        </is>
      </c>
      <c r="B6" t="inlineStr">
        <is>
          <t>DOWN</t>
        </is>
      </c>
      <c r="C6" t="inlineStr">
        <is>
          <t>выбранный сценарий DOWN/UP</t>
        </is>
      </c>
      <c r="E6" t="inlineStr">
        <is>
          <t>StepPoints</t>
        </is>
      </c>
      <c r="F6">
        <f>IF(B3&lt;=0,"ERROR: Invalid StepPoints","OK")</f>
        <v/>
      </c>
    </row>
    <row r="7">
      <c r="A7" t="inlineStr">
        <is>
          <t>UseRounding</t>
        </is>
      </c>
      <c r="B7" t="b">
        <v>1</v>
      </c>
      <c r="C7" t="inlineStr">
        <is>
          <t>использовать округление</t>
        </is>
      </c>
      <c r="E7" t="inlineStr">
        <is>
          <t>PointValue</t>
        </is>
      </c>
      <c r="F7">
        <f>IF(B11&lt;=0,"ERROR: Invalid PointValue","OK")</f>
        <v/>
      </c>
    </row>
    <row r="8">
      <c r="A8" t="inlineStr">
        <is>
          <t>BigRoundMode</t>
        </is>
      </c>
      <c r="B8" t="inlineStr">
        <is>
          <t>DOWN</t>
        </is>
      </c>
      <c r="C8" t="inlineStr">
        <is>
          <t>Big округлять вниз</t>
        </is>
      </c>
      <c r="E8" t="inlineStr">
        <is>
          <t>Spread</t>
        </is>
      </c>
      <c r="F8">
        <f>IF(B12&lt;0,"ERROR: Invalid Spread","OK")</f>
        <v/>
      </c>
    </row>
    <row r="9">
      <c r="A9" t="inlineStr">
        <is>
          <t>SmallRoundMode</t>
        </is>
      </c>
      <c r="B9" t="inlineStr">
        <is>
          <t>UP</t>
        </is>
      </c>
      <c r="C9" t="inlineStr">
        <is>
          <t>Small округлять вверх</t>
        </is>
      </c>
      <c r="E9" t="inlineStr">
        <is>
          <t>Commission</t>
        </is>
      </c>
      <c r="F9">
        <f>IF(B13&lt;0,"ERROR: Invalid Commission","OK")</f>
        <v/>
      </c>
    </row>
    <row r="10">
      <c r="A10" t="inlineStr">
        <is>
          <t>CloseRoundMode</t>
        </is>
      </c>
      <c r="B10" t="inlineStr">
        <is>
          <t>SAFE</t>
        </is>
      </c>
      <c r="C10" t="inlineStr">
        <is>
          <t>защитное округление Close</t>
        </is>
      </c>
    </row>
    <row r="11">
      <c r="A11" t="inlineStr">
        <is>
          <t>PointValue</t>
        </is>
      </c>
      <c r="B11" t="n">
        <v>1</v>
      </c>
      <c r="C11" t="inlineStr">
        <is>
          <t>стоимость пункта</t>
        </is>
      </c>
    </row>
    <row r="12">
      <c r="A12" t="inlineStr">
        <is>
          <t>Spread</t>
        </is>
      </c>
      <c r="B12" t="n">
        <v>0</v>
      </c>
      <c r="C12" t="inlineStr">
        <is>
          <t>спред</t>
        </is>
      </c>
    </row>
    <row r="13">
      <c r="A13" t="inlineStr">
        <is>
          <t>Commission</t>
        </is>
      </c>
      <c r="B13" t="n">
        <v>0</v>
      </c>
      <c r="C13" t="inlineStr">
        <is>
          <t>комиссия</t>
        </is>
      </c>
    </row>
    <row r="16">
      <c r="A16" s="1" t="inlineStr">
        <is>
          <t>LEVEL GRID</t>
        </is>
      </c>
    </row>
    <row r="17">
      <c r="A17" s="2" t="inlineStr">
        <is>
          <t>Level</t>
        </is>
      </c>
      <c r="B17" s="2" t="inlineStr">
        <is>
          <t>Big %</t>
        </is>
      </c>
      <c r="C17" s="2" t="inlineStr">
        <is>
          <t>Small %</t>
        </is>
      </c>
      <c r="D17" s="2" t="inlineStr">
        <is>
          <t>TargetSkew %</t>
        </is>
      </c>
      <c r="E17" s="2" t="inlineStr">
        <is>
          <t>ManualClose %</t>
        </is>
      </c>
    </row>
    <row r="18">
      <c r="A18" t="n">
        <v>1</v>
      </c>
      <c r="B18" t="n">
        <v>90</v>
      </c>
      <c r="C18" t="n">
        <v>30</v>
      </c>
      <c r="D18" t="n">
        <v>0</v>
      </c>
      <c r="E18" t="inlineStr"/>
    </row>
    <row r="19">
      <c r="A19" t="n">
        <v>2</v>
      </c>
      <c r="B19" t="n">
        <v>30</v>
      </c>
      <c r="C19" t="n">
        <v>15</v>
      </c>
      <c r="D19" t="n">
        <v>15</v>
      </c>
      <c r="E19" t="inlineStr"/>
    </row>
    <row r="20">
      <c r="A20" t="n">
        <v>3</v>
      </c>
      <c r="B20" t="n">
        <v>20</v>
      </c>
      <c r="C20" t="n">
        <v>15</v>
      </c>
      <c r="D20" t="n">
        <v>10</v>
      </c>
      <c r="E20" t="inlineStr"/>
    </row>
    <row r="21">
      <c r="A21" t="n">
        <v>4</v>
      </c>
      <c r="B21" t="n">
        <v>10</v>
      </c>
      <c r="C21" t="n">
        <v>10</v>
      </c>
      <c r="D21" t="n">
        <v>10</v>
      </c>
      <c r="E21" t="inlineStr"/>
    </row>
    <row r="22">
      <c r="A22" t="n">
        <v>5</v>
      </c>
      <c r="B22" t="n">
        <v>5</v>
      </c>
      <c r="C22" t="n">
        <v>5</v>
      </c>
      <c r="D22" t="n">
        <v>10</v>
      </c>
      <c r="E22" t="inlineStr"/>
    </row>
    <row r="24">
      <c r="A24" s="1" t="inlineStr">
        <is>
          <t>DOWN CALCULATION</t>
        </is>
      </c>
    </row>
    <row r="25">
      <c r="A25" s="2" t="inlineStr">
        <is>
          <t>Level</t>
        </is>
      </c>
      <c r="B25" s="2" t="inlineStr">
        <is>
          <t>Big %</t>
        </is>
      </c>
      <c r="C25" s="2" t="inlineStr">
        <is>
          <t>Small %</t>
        </is>
      </c>
      <c r="D25" s="2" t="inlineStr">
        <is>
          <t>TargetSkew %</t>
        </is>
      </c>
      <c r="E25" s="2" t="inlineStr">
        <is>
          <t>ManualClose %</t>
        </is>
      </c>
      <c r="F25" s="2" t="inlineStr">
        <is>
          <t>Big Lot Raw</t>
        </is>
      </c>
      <c r="G25" s="2" t="inlineStr">
        <is>
          <t>Big Lot Rounded</t>
        </is>
      </c>
      <c r="H25" s="2" t="inlineStr">
        <is>
          <t>Small Lot Raw</t>
        </is>
      </c>
      <c r="I25" s="2" t="inlineStr">
        <is>
          <t>Small Lot Rounded</t>
        </is>
      </c>
      <c r="J25" s="2" t="inlineStr">
        <is>
          <t>Start Before %</t>
        </is>
      </c>
      <c r="K25" s="2" t="inlineStr">
        <is>
          <t>Total Main Before %</t>
        </is>
      </c>
      <c r="L25" s="2" t="inlineStr">
        <is>
          <t>Total Opp After %</t>
        </is>
      </c>
      <c r="M25" s="2" t="inlineStr">
        <is>
          <t>Auto Close %</t>
        </is>
      </c>
      <c r="N25" s="2" t="inlineStr">
        <is>
          <t>Final Close %</t>
        </is>
      </c>
      <c r="O25" s="2" t="inlineStr">
        <is>
          <t>Close Lot Raw</t>
        </is>
      </c>
      <c r="P25" s="2" t="inlineStr">
        <is>
          <t>Close Lot Rounded</t>
        </is>
      </c>
      <c r="Q25" s="2" t="inlineStr">
        <is>
          <t>Start After %</t>
        </is>
      </c>
      <c r="R25" s="2" t="inlineStr">
        <is>
          <t>Sum Big %</t>
        </is>
      </c>
      <c r="S25" s="2" t="inlineStr">
        <is>
          <t>Sum Small %</t>
        </is>
      </c>
      <c r="T25" s="2" t="inlineStr">
        <is>
          <t>Total Main %</t>
        </is>
      </c>
      <c r="U25" s="2" t="inlineStr">
        <is>
          <t>Total Opp %</t>
        </is>
      </c>
      <c r="V25" s="2" t="inlineStr">
        <is>
          <t>Skew %</t>
        </is>
      </c>
      <c r="W25" s="2" t="inlineStr">
        <is>
          <t>Rounded Total Main Lot</t>
        </is>
      </c>
      <c r="X25" s="2" t="inlineStr">
        <is>
          <t>Rounded Total Opp Lot</t>
        </is>
      </c>
      <c r="Y25" s="2" t="inlineStr">
        <is>
          <t>Rounded Skew Lot</t>
        </is>
      </c>
      <c r="Z25" s="2" t="inlineStr">
        <is>
          <t>Status</t>
        </is>
      </c>
    </row>
    <row r="26">
      <c r="A26">
        <f>A18</f>
        <v/>
      </c>
      <c r="B26">
        <f>B18</f>
        <v/>
      </c>
      <c r="C26">
        <f>C18</f>
        <v/>
      </c>
      <c r="D26">
        <f>D18</f>
        <v/>
      </c>
      <c r="E26">
        <f>IF(E18="","",E18)</f>
        <v/>
      </c>
      <c r="F26">
        <f>$B$2*B26/100</f>
        <v/>
      </c>
      <c r="G26">
        <f>IF($B$7,FLOOR(F26,$B$5),F26)</f>
        <v/>
      </c>
      <c r="H26">
        <f>$B$2*C26/100</f>
        <v/>
      </c>
      <c r="I26">
        <f>IF($B$7,CEILING(H26,$B$5),H26)</f>
        <v/>
      </c>
      <c r="J26">
        <f>100</f>
        <v/>
      </c>
      <c r="K26">
        <f>J26+R26</f>
        <v/>
      </c>
      <c r="L26">
        <f>100+S26</f>
        <v/>
      </c>
      <c r="M26">
        <f>MIN(J26,MAX(0,K26-L26+D26))</f>
        <v/>
      </c>
      <c r="N26">
        <f>MIN(J26,IF(E26="",M26,E26))</f>
        <v/>
      </c>
      <c r="O26">
        <f>$B$2*N26/100</f>
        <v/>
      </c>
      <c r="P26">
        <f>MIN($B$2*J26/100,IF($B$7,CEILING(O26,$B$5),O26))</f>
        <v/>
      </c>
      <c r="Q26">
        <f>J26-N26</f>
        <v/>
      </c>
      <c r="R26">
        <f>SUM($B$26:B26)</f>
        <v/>
      </c>
      <c r="S26">
        <f>SUM($C$26:C26)</f>
        <v/>
      </c>
      <c r="T26">
        <f>Q26+R26</f>
        <v/>
      </c>
      <c r="U26">
        <f>100+S26</f>
        <v/>
      </c>
      <c r="V26">
        <f>U26-T26</f>
        <v/>
      </c>
      <c r="W26">
        <f>$B$2*Q26/100+SUM($G$26:G26)</f>
        <v/>
      </c>
      <c r="X26">
        <f>$B$2+SUM($I$26:I26)</f>
        <v/>
      </c>
      <c r="Y26">
        <f>X26-W26</f>
        <v/>
      </c>
      <c r="Z26">
        <f>IF(OR($B$2&lt;=0,$B$5&lt;=0,$B$4&lt;1,NOT(OR($B$6="DOWN",$B$6="UP"))),"ERROR",IF(B26&lt;C26,"ERROR",IF(AND(E26&lt;&gt;"",E26&gt;J26),"ERROR",IF(T26&gt;U26,"ERROR",IF(W26&gt;X26,"ERROR",IF(AND(B26&gt;0,G26=0),"ERROR",IF(AND(C26&gt;0,I26=0),"ERROR",IF(AND(D26&gt;0,ROUND(Y26,6)&lt;ROUND($B$2*D26/100,6)),"WARNING","OK"))))))))</f>
        <v/>
      </c>
    </row>
    <row r="27">
      <c r="A27">
        <f>A19</f>
        <v/>
      </c>
      <c r="B27">
        <f>B19</f>
        <v/>
      </c>
      <c r="C27">
        <f>C19</f>
        <v/>
      </c>
      <c r="D27">
        <f>D19</f>
        <v/>
      </c>
      <c r="E27">
        <f>IF(E19="","",E19)</f>
        <v/>
      </c>
      <c r="F27">
        <f>$B$2*B27/100</f>
        <v/>
      </c>
      <c r="G27">
        <f>IF($B$7,FLOOR(F27,$B$5),F27)</f>
        <v/>
      </c>
      <c r="H27">
        <f>$B$2*C27/100</f>
        <v/>
      </c>
      <c r="I27">
        <f>IF($B$7,CEILING(H27,$B$5),H27)</f>
        <v/>
      </c>
      <c r="J27">
        <f>Q26</f>
        <v/>
      </c>
      <c r="K27">
        <f>J27+R27</f>
        <v/>
      </c>
      <c r="L27">
        <f>100+S27</f>
        <v/>
      </c>
      <c r="M27">
        <f>MIN(J27,MAX(0,K27-L27+D27))</f>
        <v/>
      </c>
      <c r="N27">
        <f>MIN(J27,IF(E27="",M27,E27))</f>
        <v/>
      </c>
      <c r="O27">
        <f>$B$2*N27/100</f>
        <v/>
      </c>
      <c r="P27">
        <f>MIN($B$2*J27/100,IF($B$7,CEILING(O27,$B$5),O27))</f>
        <v/>
      </c>
      <c r="Q27">
        <f>J27-N27</f>
        <v/>
      </c>
      <c r="R27">
        <f>SUM($B$26:B27)</f>
        <v/>
      </c>
      <c r="S27">
        <f>SUM($C$26:C27)</f>
        <v/>
      </c>
      <c r="T27">
        <f>Q27+R27</f>
        <v/>
      </c>
      <c r="U27">
        <f>100+S27</f>
        <v/>
      </c>
      <c r="V27">
        <f>U27-T27</f>
        <v/>
      </c>
      <c r="W27">
        <f>$B$2*Q27/100+SUM($G$26:G27)</f>
        <v/>
      </c>
      <c r="X27">
        <f>$B$2+SUM($I$26:I27)</f>
        <v/>
      </c>
      <c r="Y27">
        <f>X27-W27</f>
        <v/>
      </c>
      <c r="Z27">
        <f>IF(OR($B$2&lt;=0,$B$5&lt;=0,$B$4&lt;1,NOT(OR($B$6="DOWN",$B$6="UP"))),"ERROR",IF(B27&lt;C27,"ERROR",IF(AND(E27&lt;&gt;"",E27&gt;J27),"ERROR",IF(T27&gt;U27,"ERROR",IF(W27&gt;X27,"ERROR",IF(AND(B27&gt;0,G27=0),"ERROR",IF(AND(C27&gt;0,I27=0),"ERROR",IF(AND(D27&gt;0,ROUND(Y27,6)&lt;ROUND($B$2*D27/100,6)),"WARNING","OK"))))))))</f>
        <v/>
      </c>
    </row>
    <row r="28">
      <c r="A28">
        <f>A20</f>
        <v/>
      </c>
      <c r="B28">
        <f>B20</f>
        <v/>
      </c>
      <c r="C28">
        <f>C20</f>
        <v/>
      </c>
      <c r="D28">
        <f>D20</f>
        <v/>
      </c>
      <c r="E28">
        <f>IF(E20="","",E20)</f>
        <v/>
      </c>
      <c r="F28">
        <f>$B$2*B28/100</f>
        <v/>
      </c>
      <c r="G28">
        <f>IF($B$7,FLOOR(F28,$B$5),F28)</f>
        <v/>
      </c>
      <c r="H28">
        <f>$B$2*C28/100</f>
        <v/>
      </c>
      <c r="I28">
        <f>IF($B$7,CEILING(H28,$B$5),H28)</f>
        <v/>
      </c>
      <c r="J28">
        <f>Q27</f>
        <v/>
      </c>
      <c r="K28">
        <f>J28+R28</f>
        <v/>
      </c>
      <c r="L28">
        <f>100+S28</f>
        <v/>
      </c>
      <c r="M28">
        <f>MIN(J28,MAX(0,K28-L28+D28))</f>
        <v/>
      </c>
      <c r="N28">
        <f>MIN(J28,IF(E28="",M28,E28))</f>
        <v/>
      </c>
      <c r="O28">
        <f>$B$2*N28/100</f>
        <v/>
      </c>
      <c r="P28">
        <f>MIN($B$2*J28/100,IF($B$7,CEILING(O28,$B$5),O28))</f>
        <v/>
      </c>
      <c r="Q28">
        <f>J28-N28</f>
        <v/>
      </c>
      <c r="R28">
        <f>SUM($B$26:B28)</f>
        <v/>
      </c>
      <c r="S28">
        <f>SUM($C$26:C28)</f>
        <v/>
      </c>
      <c r="T28">
        <f>Q28+R28</f>
        <v/>
      </c>
      <c r="U28">
        <f>100+S28</f>
        <v/>
      </c>
      <c r="V28">
        <f>U28-T28</f>
        <v/>
      </c>
      <c r="W28">
        <f>$B$2*Q28/100+SUM($G$26:G28)</f>
        <v/>
      </c>
      <c r="X28">
        <f>$B$2+SUM($I$26:I28)</f>
        <v/>
      </c>
      <c r="Y28">
        <f>X28-W28</f>
        <v/>
      </c>
      <c r="Z28">
        <f>IF(OR($B$2&lt;=0,$B$5&lt;=0,$B$4&lt;1,NOT(OR($B$6="DOWN",$B$6="UP"))),"ERROR",IF(B28&lt;C28,"ERROR",IF(AND(E28&lt;&gt;"",E28&gt;J28),"ERROR",IF(T28&gt;U28,"ERROR",IF(W28&gt;X28,"ERROR",IF(AND(B28&gt;0,G28=0),"ERROR",IF(AND(C28&gt;0,I28=0),"ERROR",IF(AND(D28&gt;0,ROUND(Y28,6)&lt;ROUND($B$2*D28/100,6)),"WARNING","OK"))))))))</f>
        <v/>
      </c>
    </row>
    <row r="29">
      <c r="A29">
        <f>A21</f>
        <v/>
      </c>
      <c r="B29">
        <f>B21</f>
        <v/>
      </c>
      <c r="C29">
        <f>C21</f>
        <v/>
      </c>
      <c r="D29">
        <f>D21</f>
        <v/>
      </c>
      <c r="E29">
        <f>IF(E21="","",E21)</f>
        <v/>
      </c>
      <c r="F29">
        <f>$B$2*B29/100</f>
        <v/>
      </c>
      <c r="G29">
        <f>IF($B$7,FLOOR(F29,$B$5),F29)</f>
        <v/>
      </c>
      <c r="H29">
        <f>$B$2*C29/100</f>
        <v/>
      </c>
      <c r="I29">
        <f>IF($B$7,CEILING(H29,$B$5),H29)</f>
        <v/>
      </c>
      <c r="J29">
        <f>Q28</f>
        <v/>
      </c>
      <c r="K29">
        <f>J29+R29</f>
        <v/>
      </c>
      <c r="L29">
        <f>100+S29</f>
        <v/>
      </c>
      <c r="M29">
        <f>MIN(J29,MAX(0,K29-L29+D29))</f>
        <v/>
      </c>
      <c r="N29">
        <f>MIN(J29,IF(E29="",M29,E29))</f>
        <v/>
      </c>
      <c r="O29">
        <f>$B$2*N29/100</f>
        <v/>
      </c>
      <c r="P29">
        <f>MIN($B$2*J29/100,IF($B$7,CEILING(O29,$B$5),O29))</f>
        <v/>
      </c>
      <c r="Q29">
        <f>J29-N29</f>
        <v/>
      </c>
      <c r="R29">
        <f>SUM($B$26:B29)</f>
        <v/>
      </c>
      <c r="S29">
        <f>SUM($C$26:C29)</f>
        <v/>
      </c>
      <c r="T29">
        <f>Q29+R29</f>
        <v/>
      </c>
      <c r="U29">
        <f>100+S29</f>
        <v/>
      </c>
      <c r="V29">
        <f>U29-T29</f>
        <v/>
      </c>
      <c r="W29">
        <f>$B$2*Q29/100+SUM($G$26:G29)</f>
        <v/>
      </c>
      <c r="X29">
        <f>$B$2+SUM($I$26:I29)</f>
        <v/>
      </c>
      <c r="Y29">
        <f>X29-W29</f>
        <v/>
      </c>
      <c r="Z29">
        <f>IF(OR($B$2&lt;=0,$B$5&lt;=0,$B$4&lt;1,NOT(OR($B$6="DOWN",$B$6="UP"))),"ERROR",IF(B29&lt;C29,"ERROR",IF(AND(E29&lt;&gt;"",E29&gt;J29),"ERROR",IF(T29&gt;U29,"ERROR",IF(W29&gt;X29,"ERROR",IF(AND(B29&gt;0,G29=0),"ERROR",IF(AND(C29&gt;0,I29=0),"ERROR",IF(AND(D29&gt;0,ROUND(Y29,6)&lt;ROUND($B$2*D29/100,6)),"WARNING","OK"))))))))</f>
        <v/>
      </c>
    </row>
    <row r="30">
      <c r="A30">
        <f>A22</f>
        <v/>
      </c>
      <c r="B30">
        <f>B22</f>
        <v/>
      </c>
      <c r="C30">
        <f>C22</f>
        <v/>
      </c>
      <c r="D30">
        <f>D22</f>
        <v/>
      </c>
      <c r="E30">
        <f>IF(E22="","",E22)</f>
        <v/>
      </c>
      <c r="F30">
        <f>$B$2*B30/100</f>
        <v/>
      </c>
      <c r="G30">
        <f>IF($B$7,FLOOR(F30,$B$5),F30)</f>
        <v/>
      </c>
      <c r="H30">
        <f>$B$2*C30/100</f>
        <v/>
      </c>
      <c r="I30">
        <f>IF($B$7,CEILING(H30,$B$5),H30)</f>
        <v/>
      </c>
      <c r="J30">
        <f>Q29</f>
        <v/>
      </c>
      <c r="K30">
        <f>J30+R30</f>
        <v/>
      </c>
      <c r="L30">
        <f>100+S30</f>
        <v/>
      </c>
      <c r="M30">
        <f>MIN(J30,MAX(0,K30-L30+D30))</f>
        <v/>
      </c>
      <c r="N30">
        <f>MIN(J30,IF(E30="",M30,E30))</f>
        <v/>
      </c>
      <c r="O30">
        <f>$B$2*N30/100</f>
        <v/>
      </c>
      <c r="P30">
        <f>MIN($B$2*J30/100,IF($B$7,CEILING(O30,$B$5),O30))</f>
        <v/>
      </c>
      <c r="Q30">
        <f>J30-N30</f>
        <v/>
      </c>
      <c r="R30">
        <f>SUM($B$26:B30)</f>
        <v/>
      </c>
      <c r="S30">
        <f>SUM($C$26:C30)</f>
        <v/>
      </c>
      <c r="T30">
        <f>Q30+R30</f>
        <v/>
      </c>
      <c r="U30">
        <f>100+S30</f>
        <v/>
      </c>
      <c r="V30">
        <f>U30-T30</f>
        <v/>
      </c>
      <c r="W30">
        <f>$B$2*Q30/100+SUM($G$26:G30)</f>
        <v/>
      </c>
      <c r="X30">
        <f>$B$2+SUM($I$26:I30)</f>
        <v/>
      </c>
      <c r="Y30">
        <f>X30-W30</f>
        <v/>
      </c>
      <c r="Z30">
        <f>IF(OR($B$2&lt;=0,$B$5&lt;=0,$B$4&lt;1,NOT(OR($B$6="DOWN",$B$6="UP"))),"ERROR",IF(B30&lt;C30,"ERROR",IF(AND(E30&lt;&gt;"",E30&gt;J30),"ERROR",IF(T30&gt;U30,"ERROR",IF(W30&gt;X30,"ERROR",IF(AND(B30&gt;0,G30=0),"ERROR",IF(AND(C30&gt;0,I30=0),"ERROR",IF(AND(D30&gt;0,ROUND(Y30,6)&lt;ROUND($B$2*D30/100,6)),"WARNING","OK"))))))))</f>
        <v/>
      </c>
    </row>
    <row r="33">
      <c r="A33" s="1" t="inlineStr">
        <is>
          <t>UP CALCULATION</t>
        </is>
      </c>
    </row>
    <row r="34">
      <c r="A34" s="2" t="inlineStr">
        <is>
          <t>Level</t>
        </is>
      </c>
      <c r="B34" s="2" t="inlineStr">
        <is>
          <t>Big %</t>
        </is>
      </c>
      <c r="C34" s="2" t="inlineStr">
        <is>
          <t>Small %</t>
        </is>
      </c>
      <c r="D34" s="2" t="inlineStr">
        <is>
          <t>TargetSkew %</t>
        </is>
      </c>
      <c r="E34" s="2" t="inlineStr">
        <is>
          <t>ManualClose %</t>
        </is>
      </c>
      <c r="F34" s="2" t="inlineStr">
        <is>
          <t>Big Lot Raw</t>
        </is>
      </c>
      <c r="G34" s="2" t="inlineStr">
        <is>
          <t>Big Lot Rounded</t>
        </is>
      </c>
      <c r="H34" s="2" t="inlineStr">
        <is>
          <t>Small Lot Raw</t>
        </is>
      </c>
      <c r="I34" s="2" t="inlineStr">
        <is>
          <t>Small Lot Rounded</t>
        </is>
      </c>
      <c r="J34" s="2" t="inlineStr">
        <is>
          <t>Start Before %</t>
        </is>
      </c>
      <c r="K34" s="2" t="inlineStr">
        <is>
          <t>Total Main Before %</t>
        </is>
      </c>
      <c r="L34" s="2" t="inlineStr">
        <is>
          <t>Total Opp After %</t>
        </is>
      </c>
      <c r="M34" s="2" t="inlineStr">
        <is>
          <t>Auto Close %</t>
        </is>
      </c>
      <c r="N34" s="2" t="inlineStr">
        <is>
          <t>Final Close %</t>
        </is>
      </c>
      <c r="O34" s="2" t="inlineStr">
        <is>
          <t>Close Lot Raw</t>
        </is>
      </c>
      <c r="P34" s="2" t="inlineStr">
        <is>
          <t>Close Lot Rounded</t>
        </is>
      </c>
      <c r="Q34" s="2" t="inlineStr">
        <is>
          <t>Start After %</t>
        </is>
      </c>
      <c r="R34" s="2" t="inlineStr">
        <is>
          <t>Sum Big %</t>
        </is>
      </c>
      <c r="S34" s="2" t="inlineStr">
        <is>
          <t>Sum Small %</t>
        </is>
      </c>
      <c r="T34" s="2" t="inlineStr">
        <is>
          <t>Total Main %</t>
        </is>
      </c>
      <c r="U34" s="2" t="inlineStr">
        <is>
          <t>Total Opp %</t>
        </is>
      </c>
      <c r="V34" s="2" t="inlineStr">
        <is>
          <t>Skew %</t>
        </is>
      </c>
      <c r="W34" s="2" t="inlineStr">
        <is>
          <t>Rounded Total Main Lot</t>
        </is>
      </c>
      <c r="X34" s="2" t="inlineStr">
        <is>
          <t>Rounded Total Opp Lot</t>
        </is>
      </c>
      <c r="Y34" s="2" t="inlineStr">
        <is>
          <t>Rounded Skew Lot</t>
        </is>
      </c>
      <c r="Z34" s="2" t="inlineStr">
        <is>
          <t>Status</t>
        </is>
      </c>
    </row>
    <row r="35">
      <c r="A35">
        <f>A18</f>
        <v/>
      </c>
      <c r="B35">
        <f>B18</f>
        <v/>
      </c>
      <c r="C35">
        <f>C18</f>
        <v/>
      </c>
      <c r="D35">
        <f>D18</f>
        <v/>
      </c>
      <c r="E35">
        <f>IF(E18="","",E18)</f>
        <v/>
      </c>
      <c r="F35">
        <f>$B$2*B35/100</f>
        <v/>
      </c>
      <c r="G35">
        <f>IF($B$7,FLOOR(F35,$B$5),F35)</f>
        <v/>
      </c>
      <c r="H35">
        <f>$B$2*C35/100</f>
        <v/>
      </c>
      <c r="I35">
        <f>IF($B$7,CEILING(H35,$B$5),H35)</f>
        <v/>
      </c>
      <c r="J35">
        <f>100</f>
        <v/>
      </c>
      <c r="K35">
        <f>J35+R35</f>
        <v/>
      </c>
      <c r="L35">
        <f>100+S35</f>
        <v/>
      </c>
      <c r="M35">
        <f>MIN(J35,MAX(0,K35-L35+D35))</f>
        <v/>
      </c>
      <c r="N35">
        <f>MIN(J35,IF(E35="",M35,E35))</f>
        <v/>
      </c>
      <c r="O35">
        <f>$B$2*N35/100</f>
        <v/>
      </c>
      <c r="P35">
        <f>MIN($B$2*J35/100,IF($B$7,CEILING(O35,$B$5),O35))</f>
        <v/>
      </c>
      <c r="Q35">
        <f>J35-N35</f>
        <v/>
      </c>
      <c r="R35">
        <f>SUM($B$35:B35)</f>
        <v/>
      </c>
      <c r="S35">
        <f>SUM($C$35:C35)</f>
        <v/>
      </c>
      <c r="T35">
        <f>Q35+R35</f>
        <v/>
      </c>
      <c r="U35">
        <f>100+S35</f>
        <v/>
      </c>
      <c r="V35">
        <f>U35-T35</f>
        <v/>
      </c>
      <c r="W35">
        <f>$B$2*Q35/100+SUM($G$35:G35)</f>
        <v/>
      </c>
      <c r="X35">
        <f>$B$2+SUM($I$35:I35)</f>
        <v/>
      </c>
      <c r="Y35">
        <f>X35-W35</f>
        <v/>
      </c>
      <c r="Z35">
        <f>IF(OR($B$2&lt;=0,$B$5&lt;=0,$B$4&lt;1,NOT(OR($B$6="DOWN",$B$6="UP"))),"ERROR",IF(B35&lt;C35,"ERROR",IF(AND(E35&lt;&gt;"",E35&gt;J35),"ERROR",IF(T35&gt;U35,"ERROR",IF(W35&gt;X35,"ERROR",IF(AND(B35&gt;0,G35=0),"ERROR",IF(AND(C35&gt;0,I35=0),"ERROR",IF(AND(D35&gt;0,ROUND(Y35,6)&lt;ROUND($B$2*D35/100,6)),"WARNING","OK"))))))))</f>
        <v/>
      </c>
    </row>
    <row r="36">
      <c r="A36">
        <f>A19</f>
        <v/>
      </c>
      <c r="B36">
        <f>B19</f>
        <v/>
      </c>
      <c r="C36">
        <f>C19</f>
        <v/>
      </c>
      <c r="D36">
        <f>D19</f>
        <v/>
      </c>
      <c r="E36">
        <f>IF(E19="","",E19)</f>
        <v/>
      </c>
      <c r="F36">
        <f>$B$2*B36/100</f>
        <v/>
      </c>
      <c r="G36">
        <f>IF($B$7,FLOOR(F36,$B$5),F36)</f>
        <v/>
      </c>
      <c r="H36">
        <f>$B$2*C36/100</f>
        <v/>
      </c>
      <c r="I36">
        <f>IF($B$7,CEILING(H36,$B$5),H36)</f>
        <v/>
      </c>
      <c r="J36">
        <f>Q35</f>
        <v/>
      </c>
      <c r="K36">
        <f>J36+R36</f>
        <v/>
      </c>
      <c r="L36">
        <f>100+S36</f>
        <v/>
      </c>
      <c r="M36">
        <f>MIN(J36,MAX(0,K36-L36+D36))</f>
        <v/>
      </c>
      <c r="N36">
        <f>MIN(J36,IF(E36="",M36,E36))</f>
        <v/>
      </c>
      <c r="O36">
        <f>$B$2*N36/100</f>
        <v/>
      </c>
      <c r="P36">
        <f>MIN($B$2*J36/100,IF($B$7,CEILING(O36,$B$5),O36))</f>
        <v/>
      </c>
      <c r="Q36">
        <f>J36-N36</f>
        <v/>
      </c>
      <c r="R36">
        <f>SUM($B$35:B36)</f>
        <v/>
      </c>
      <c r="S36">
        <f>SUM($C$35:C36)</f>
        <v/>
      </c>
      <c r="T36">
        <f>Q36+R36</f>
        <v/>
      </c>
      <c r="U36">
        <f>100+S36</f>
        <v/>
      </c>
      <c r="V36">
        <f>U36-T36</f>
        <v/>
      </c>
      <c r="W36">
        <f>$B$2*Q36/100+SUM($G$35:G36)</f>
        <v/>
      </c>
      <c r="X36">
        <f>$B$2+SUM($I$35:I36)</f>
        <v/>
      </c>
      <c r="Y36">
        <f>X36-W36</f>
        <v/>
      </c>
      <c r="Z36">
        <f>IF(OR($B$2&lt;=0,$B$5&lt;=0,$B$4&lt;1,NOT(OR($B$6="DOWN",$B$6="UP"))),"ERROR",IF(B36&lt;C36,"ERROR",IF(AND(E36&lt;&gt;"",E36&gt;J36),"ERROR",IF(T36&gt;U36,"ERROR",IF(W36&gt;X36,"ERROR",IF(AND(B36&gt;0,G36=0),"ERROR",IF(AND(C36&gt;0,I36=0),"ERROR",IF(AND(D36&gt;0,ROUND(Y36,6)&lt;ROUND($B$2*D36/100,6)),"WARNING","OK"))))))))</f>
        <v/>
      </c>
    </row>
    <row r="37">
      <c r="A37">
        <f>A20</f>
        <v/>
      </c>
      <c r="B37">
        <f>B20</f>
        <v/>
      </c>
      <c r="C37">
        <f>C20</f>
        <v/>
      </c>
      <c r="D37">
        <f>D20</f>
        <v/>
      </c>
      <c r="E37">
        <f>IF(E20="","",E20)</f>
        <v/>
      </c>
      <c r="F37">
        <f>$B$2*B37/100</f>
        <v/>
      </c>
      <c r="G37">
        <f>IF($B$7,FLOOR(F37,$B$5),F37)</f>
        <v/>
      </c>
      <c r="H37">
        <f>$B$2*C37/100</f>
        <v/>
      </c>
      <c r="I37">
        <f>IF($B$7,CEILING(H37,$B$5),H37)</f>
        <v/>
      </c>
      <c r="J37">
        <f>Q36</f>
        <v/>
      </c>
      <c r="K37">
        <f>J37+R37</f>
        <v/>
      </c>
      <c r="L37">
        <f>100+S37</f>
        <v/>
      </c>
      <c r="M37">
        <f>MIN(J37,MAX(0,K37-L37+D37))</f>
        <v/>
      </c>
      <c r="N37">
        <f>MIN(J37,IF(E37="",M37,E37))</f>
        <v/>
      </c>
      <c r="O37">
        <f>$B$2*N37/100</f>
        <v/>
      </c>
      <c r="P37">
        <f>MIN($B$2*J37/100,IF($B$7,CEILING(O37,$B$5),O37))</f>
        <v/>
      </c>
      <c r="Q37">
        <f>J37-N37</f>
        <v/>
      </c>
      <c r="R37">
        <f>SUM($B$35:B37)</f>
        <v/>
      </c>
      <c r="S37">
        <f>SUM($C$35:C37)</f>
        <v/>
      </c>
      <c r="T37">
        <f>Q37+R37</f>
        <v/>
      </c>
      <c r="U37">
        <f>100+S37</f>
        <v/>
      </c>
      <c r="V37">
        <f>U37-T37</f>
        <v/>
      </c>
      <c r="W37">
        <f>$B$2*Q37/100+SUM($G$35:G37)</f>
        <v/>
      </c>
      <c r="X37">
        <f>$B$2+SUM($I$35:I37)</f>
        <v/>
      </c>
      <c r="Y37">
        <f>X37-W37</f>
        <v/>
      </c>
      <c r="Z37">
        <f>IF(OR($B$2&lt;=0,$B$5&lt;=0,$B$4&lt;1,NOT(OR($B$6="DOWN",$B$6="UP"))),"ERROR",IF(B37&lt;C37,"ERROR",IF(AND(E37&lt;&gt;"",E37&gt;J37),"ERROR",IF(T37&gt;U37,"ERROR",IF(W37&gt;X37,"ERROR",IF(AND(B37&gt;0,G37=0),"ERROR",IF(AND(C37&gt;0,I37=0),"ERROR",IF(AND(D37&gt;0,ROUND(Y37,6)&lt;ROUND($B$2*D37/100,6)),"WARNING","OK"))))))))</f>
        <v/>
      </c>
    </row>
    <row r="38">
      <c r="A38">
        <f>A21</f>
        <v/>
      </c>
      <c r="B38">
        <f>B21</f>
        <v/>
      </c>
      <c r="C38">
        <f>C21</f>
        <v/>
      </c>
      <c r="D38">
        <f>D21</f>
        <v/>
      </c>
      <c r="E38">
        <f>IF(E21="","",E21)</f>
        <v/>
      </c>
      <c r="F38">
        <f>$B$2*B38/100</f>
        <v/>
      </c>
      <c r="G38">
        <f>IF($B$7,FLOOR(F38,$B$5),F38)</f>
        <v/>
      </c>
      <c r="H38">
        <f>$B$2*C38/100</f>
        <v/>
      </c>
      <c r="I38">
        <f>IF($B$7,CEILING(H38,$B$5),H38)</f>
        <v/>
      </c>
      <c r="J38">
        <f>Q37</f>
        <v/>
      </c>
      <c r="K38">
        <f>J38+R38</f>
        <v/>
      </c>
      <c r="L38">
        <f>100+S38</f>
        <v/>
      </c>
      <c r="M38">
        <f>MIN(J38,MAX(0,K38-L38+D38))</f>
        <v/>
      </c>
      <c r="N38">
        <f>MIN(J38,IF(E38="",M38,E38))</f>
        <v/>
      </c>
      <c r="O38">
        <f>$B$2*N38/100</f>
        <v/>
      </c>
      <c r="P38">
        <f>MIN($B$2*J38/100,IF($B$7,CEILING(O38,$B$5),O38))</f>
        <v/>
      </c>
      <c r="Q38">
        <f>J38-N38</f>
        <v/>
      </c>
      <c r="R38">
        <f>SUM($B$35:B38)</f>
        <v/>
      </c>
      <c r="S38">
        <f>SUM($C$35:C38)</f>
        <v/>
      </c>
      <c r="T38">
        <f>Q38+R38</f>
        <v/>
      </c>
      <c r="U38">
        <f>100+S38</f>
        <v/>
      </c>
      <c r="V38">
        <f>U38-T38</f>
        <v/>
      </c>
      <c r="W38">
        <f>$B$2*Q38/100+SUM($G$35:G38)</f>
        <v/>
      </c>
      <c r="X38">
        <f>$B$2+SUM($I$35:I38)</f>
        <v/>
      </c>
      <c r="Y38">
        <f>X38-W38</f>
        <v/>
      </c>
      <c r="Z38">
        <f>IF(OR($B$2&lt;=0,$B$5&lt;=0,$B$4&lt;1,NOT(OR($B$6="DOWN",$B$6="UP"))),"ERROR",IF(B38&lt;C38,"ERROR",IF(AND(E38&lt;&gt;"",E38&gt;J38),"ERROR",IF(T38&gt;U38,"ERROR",IF(W38&gt;X38,"ERROR",IF(AND(B38&gt;0,G38=0),"ERROR",IF(AND(C38&gt;0,I38=0),"ERROR",IF(AND(D38&gt;0,ROUND(Y38,6)&lt;ROUND($B$2*D38/100,6)),"WARNING","OK"))))))))</f>
        <v/>
      </c>
    </row>
    <row r="39">
      <c r="A39">
        <f>A22</f>
        <v/>
      </c>
      <c r="B39">
        <f>B22</f>
        <v/>
      </c>
      <c r="C39">
        <f>C22</f>
        <v/>
      </c>
      <c r="D39">
        <f>D22</f>
        <v/>
      </c>
      <c r="E39">
        <f>IF(E22="","",E22)</f>
        <v/>
      </c>
      <c r="F39">
        <f>$B$2*B39/100</f>
        <v/>
      </c>
      <c r="G39">
        <f>IF($B$7,FLOOR(F39,$B$5),F39)</f>
        <v/>
      </c>
      <c r="H39">
        <f>$B$2*C39/100</f>
        <v/>
      </c>
      <c r="I39">
        <f>IF($B$7,CEILING(H39,$B$5),H39)</f>
        <v/>
      </c>
      <c r="J39">
        <f>Q38</f>
        <v/>
      </c>
      <c r="K39">
        <f>J39+R39</f>
        <v/>
      </c>
      <c r="L39">
        <f>100+S39</f>
        <v/>
      </c>
      <c r="M39">
        <f>MIN(J39,MAX(0,K39-L39+D39))</f>
        <v/>
      </c>
      <c r="N39">
        <f>MIN(J39,IF(E39="",M39,E39))</f>
        <v/>
      </c>
      <c r="O39">
        <f>$B$2*N39/100</f>
        <v/>
      </c>
      <c r="P39">
        <f>MIN($B$2*J39/100,IF($B$7,CEILING(O39,$B$5),O39))</f>
        <v/>
      </c>
      <c r="Q39">
        <f>J39-N39</f>
        <v/>
      </c>
      <c r="R39">
        <f>SUM($B$35:B39)</f>
        <v/>
      </c>
      <c r="S39">
        <f>SUM($C$35:C39)</f>
        <v/>
      </c>
      <c r="T39">
        <f>Q39+R39</f>
        <v/>
      </c>
      <c r="U39">
        <f>100+S39</f>
        <v/>
      </c>
      <c r="V39">
        <f>U39-T39</f>
        <v/>
      </c>
      <c r="W39">
        <f>$B$2*Q39/100+SUM($G$35:G39)</f>
        <v/>
      </c>
      <c r="X39">
        <f>$B$2+SUM($I$35:I39)</f>
        <v/>
      </c>
      <c r="Y39">
        <f>X39-W39</f>
        <v/>
      </c>
      <c r="Z39">
        <f>IF(OR($B$2&lt;=0,$B$5&lt;=0,$B$4&lt;1,NOT(OR($B$6="DOWN",$B$6="UP"))),"ERROR",IF(B39&lt;C39,"ERROR",IF(AND(E39&lt;&gt;"",E39&gt;J39),"ERROR",IF(T39&gt;U39,"ERROR",IF(W39&gt;X39,"ERROR",IF(AND(B39&gt;0,G39=0),"ERROR",IF(AND(C39&gt;0,I39=0),"ERROR",IF(AND(D39&gt;0,ROUND(Y39,6)&lt;ROUND($B$2*D39/100,6)),"WARNING","OK"))))))))</f>
        <v/>
      </c>
    </row>
    <row r="42">
      <c r="A42" s="1" t="inlineStr">
        <is>
          <t>SUMMARY</t>
        </is>
      </c>
    </row>
    <row r="43">
      <c r="A43" t="inlineStr">
        <is>
          <t>Selected Direction</t>
        </is>
      </c>
      <c r="B43">
        <f>B6</f>
        <v/>
      </c>
    </row>
    <row r="44">
      <c r="A44" t="inlineStr">
        <is>
          <t>Final Total Main %</t>
        </is>
      </c>
      <c r="B44">
        <f>IF(B6="DOWN",T30,T39)</f>
        <v/>
      </c>
    </row>
    <row r="45">
      <c r="A45" t="inlineStr">
        <is>
          <t>Final Total Opposite %</t>
        </is>
      </c>
      <c r="B45">
        <f>IF(B6="DOWN",U30,U39)</f>
        <v/>
      </c>
    </row>
    <row r="46">
      <c r="A46" t="inlineStr">
        <is>
          <t>Final Skew %</t>
        </is>
      </c>
      <c r="B46">
        <f>IF(B6="DOWN",V30,V39)</f>
        <v/>
      </c>
    </row>
    <row r="47">
      <c r="A47" t="inlineStr">
        <is>
          <t>Final Start Remaining %</t>
        </is>
      </c>
      <c r="B47">
        <f>IF(B6="DOWN",Q30,Q39)</f>
        <v/>
      </c>
    </row>
    <row r="48">
      <c r="A48" t="inlineStr">
        <is>
          <t>Final Rounded Main Lot</t>
        </is>
      </c>
      <c r="B48">
        <f>IF(B6="DOWN",W30,W39)</f>
        <v/>
      </c>
    </row>
    <row r="49">
      <c r="A49" t="inlineStr">
        <is>
          <t>Final Rounded Opp Lot</t>
        </is>
      </c>
      <c r="B49">
        <f>IF(B6="DOWN",X30,X39)</f>
        <v/>
      </c>
    </row>
    <row r="50">
      <c r="A50" t="inlineStr">
        <is>
          <t>Final Rounded Skew Lot</t>
        </is>
      </c>
      <c r="B50">
        <f>IF(B6="DOWN",Y30,Y39)</f>
        <v/>
      </c>
    </row>
    <row r="51">
      <c r="A51" t="inlineStr">
        <is>
          <t>Final Rounded Status</t>
        </is>
      </c>
      <c r="B51">
        <f>IF(B6="DOWN",Z30,Z39)</f>
        <v/>
      </c>
    </row>
    <row r="52">
      <c r="A52" t="inlineStr">
        <is>
          <t>Final System Status</t>
        </is>
      </c>
      <c r="B52">
        <f>IF(B6="DOWN",IF(COUNTIF(Z26:Z30,"ERROR")&gt;0,"ERROR",IF(COUNTIF(Z26:Z30,"WARNING")&gt;0,"WARNING","OK")),IF(COUNTIF(Z35:Z39,"ERROR")&gt;0,"ERROR",IF(COUNTIF(Z35:Z39,"WARNING")&gt;0,"WARNING","OK")))</f>
        <v/>
      </c>
    </row>
    <row r="55">
      <c r="A55" s="1" t="inlineStr">
        <is>
          <t>HUMAN-READABLE LEVEL SUMMARY</t>
        </is>
      </c>
    </row>
    <row r="56">
      <c r="A56" s="2" t="inlineStr">
        <is>
          <t>Level</t>
        </is>
      </c>
      <c r="B56" s="2" t="inlineStr">
        <is>
          <t>Direction</t>
        </is>
      </c>
      <c r="C56" s="2" t="inlineStr">
        <is>
          <t>Action Big</t>
        </is>
      </c>
      <c r="D56" s="2" t="inlineStr">
        <is>
          <t>Big %</t>
        </is>
      </c>
      <c r="E56" s="2" t="inlineStr">
        <is>
          <t>Big Lot</t>
        </is>
      </c>
      <c r="F56" s="2" t="inlineStr">
        <is>
          <t>Action Small</t>
        </is>
      </c>
      <c r="G56" s="2" t="inlineStr">
        <is>
          <t>Small %</t>
        </is>
      </c>
      <c r="H56" s="2" t="inlineStr">
        <is>
          <t>Small Lot</t>
        </is>
      </c>
      <c r="I56" s="2" t="inlineStr">
        <is>
          <t>Close Action</t>
        </is>
      </c>
      <c r="J56" s="2" t="inlineStr">
        <is>
          <t>Close %</t>
        </is>
      </c>
      <c r="K56" s="2" t="inlineStr">
        <is>
          <t>Close Lot</t>
        </is>
      </c>
      <c r="L56" s="2" t="inlineStr">
        <is>
          <t>Start Remaining %</t>
        </is>
      </c>
      <c r="M56" s="2" t="inlineStr">
        <is>
          <t>Start Remaining Lot</t>
        </is>
      </c>
      <c r="N56" s="2" t="inlineStr">
        <is>
          <t>Total Main %</t>
        </is>
      </c>
      <c r="O56" s="2" t="inlineStr">
        <is>
          <t>Total Opposite %</t>
        </is>
      </c>
      <c r="P56" s="2" t="inlineStr">
        <is>
          <t>Skew %</t>
        </is>
      </c>
      <c r="Q56" s="2" t="inlineStr">
        <is>
          <t>Rounded Main Lot</t>
        </is>
      </c>
      <c r="R56" s="2" t="inlineStr">
        <is>
          <t>Rounded Opp Lot</t>
        </is>
      </c>
      <c r="S56" s="2" t="inlineStr">
        <is>
          <t>Rounded Skew Lot</t>
        </is>
      </c>
      <c r="T56" s="2" t="inlineStr">
        <is>
          <t>Status</t>
        </is>
      </c>
      <c r="U56" s="2" t="inlineStr">
        <is>
          <t>Human Comment</t>
        </is>
      </c>
    </row>
    <row r="57">
      <c r="A57">
        <f>A18</f>
        <v/>
      </c>
      <c r="B57">
        <f>$B$6</f>
        <v/>
      </c>
      <c r="C57">
        <f>IF($B$6="DOWN","Open Big BUY","Open Big SELL")</f>
        <v/>
      </c>
      <c r="D57">
        <f>IF($B$6="DOWN",B18,B18)</f>
        <v/>
      </c>
      <c r="E57">
        <f>IF($B$6="DOWN",G18,G27)</f>
        <v/>
      </c>
      <c r="F57">
        <f>IF($B$6="DOWN","Open Small SELL","Open Small BUY")</f>
        <v/>
      </c>
      <c r="G57">
        <f>IF($B$6="DOWN",C18,C18)</f>
        <v/>
      </c>
      <c r="H57">
        <f>IF($B$6="DOWN",I18,I27)</f>
        <v/>
      </c>
      <c r="I57">
        <f>IF($B$6="DOWN","Close Start BUY","Close Start SELL")</f>
        <v/>
      </c>
      <c r="J57">
        <f>IF($B$6="DOWN",N18,N27)</f>
        <v/>
      </c>
      <c r="K57">
        <f>IF($B$6="DOWN",P18,P27)</f>
        <v/>
      </c>
      <c r="L57">
        <f>IF($B$6="DOWN",Q18,Q27)</f>
        <v/>
      </c>
      <c r="M57">
        <f>$B$2*L57/100</f>
        <v/>
      </c>
      <c r="N57">
        <f>IF($B$6="DOWN",T18,T27)</f>
        <v/>
      </c>
      <c r="O57">
        <f>IF($B$6="DOWN",U18,U27)</f>
        <v/>
      </c>
      <c r="P57">
        <f>IF($B$6="DOWN",V18,V27)</f>
        <v/>
      </c>
      <c r="Q57">
        <f>IF($B$6="DOWN",W18,W27)</f>
        <v/>
      </c>
      <c r="R57">
        <f>IF($B$6="DOWN",X18,X27)</f>
        <v/>
      </c>
      <c r="S57">
        <f>IF($B$6="DOWN",Y18,Y27)</f>
        <v/>
      </c>
      <c r="T57">
        <f>IF($B$6="DOWN",Z18,Z27)</f>
        <v/>
      </c>
      <c r="U57">
        <f>CONCAT("Level ",A57,": ",IF($B$6="DOWN","цена идёт вниз","цена идёт вверх"),". ",C57," ",TEXT(E57,"0.00")," lot, ",F57," ",TEXT(H57,"0.00")," lot, ",I57," ",TEXT(K57,"0.00")," lot. Start remaining ",TEXT(M57,"0.00")," lot. Status=",T57)</f>
        <v/>
      </c>
    </row>
    <row r="58">
      <c r="A58">
        <f>A19</f>
        <v/>
      </c>
      <c r="B58">
        <f>$B$6</f>
        <v/>
      </c>
      <c r="C58">
        <f>IF($B$6="DOWN","Open Big BUY","Open Big SELL")</f>
        <v/>
      </c>
      <c r="D58">
        <f>IF($B$6="DOWN",B19,B19)</f>
        <v/>
      </c>
      <c r="E58">
        <f>IF($B$6="DOWN",G19,G28)</f>
        <v/>
      </c>
      <c r="F58">
        <f>IF($B$6="DOWN","Open Small SELL","Open Small BUY")</f>
        <v/>
      </c>
      <c r="G58">
        <f>IF($B$6="DOWN",C19,C19)</f>
        <v/>
      </c>
      <c r="H58">
        <f>IF($B$6="DOWN",I19,I28)</f>
        <v/>
      </c>
      <c r="I58">
        <f>IF($B$6="DOWN","Close Start BUY","Close Start SELL")</f>
        <v/>
      </c>
      <c r="J58">
        <f>IF($B$6="DOWN",N19,N28)</f>
        <v/>
      </c>
      <c r="K58">
        <f>IF($B$6="DOWN",P19,P28)</f>
        <v/>
      </c>
      <c r="L58">
        <f>IF($B$6="DOWN",Q19,Q28)</f>
        <v/>
      </c>
      <c r="M58">
        <f>$B$2*L58/100</f>
        <v/>
      </c>
      <c r="N58">
        <f>IF($B$6="DOWN",T19,T28)</f>
        <v/>
      </c>
      <c r="O58">
        <f>IF($B$6="DOWN",U19,U28)</f>
        <v/>
      </c>
      <c r="P58">
        <f>IF($B$6="DOWN",V19,V28)</f>
        <v/>
      </c>
      <c r="Q58">
        <f>IF($B$6="DOWN",W19,W28)</f>
        <v/>
      </c>
      <c r="R58">
        <f>IF($B$6="DOWN",X19,X28)</f>
        <v/>
      </c>
      <c r="S58">
        <f>IF($B$6="DOWN",Y19,Y28)</f>
        <v/>
      </c>
      <c r="T58">
        <f>IF($B$6="DOWN",Z19,Z28)</f>
        <v/>
      </c>
      <c r="U58">
        <f>CONCAT("Level ",A58,": ",IF($B$6="DOWN","цена идёт вниз","цена идёт вверх"),". ",C58," ",TEXT(E58,"0.00")," lot, ",F58," ",TEXT(H58,"0.00")," lot, ",I58," ",TEXT(K58,"0.00")," lot. Start remaining ",TEXT(M58,"0.00")," lot. Status=",T58)</f>
        <v/>
      </c>
    </row>
    <row r="59">
      <c r="A59">
        <f>A20</f>
        <v/>
      </c>
      <c r="B59">
        <f>$B$6</f>
        <v/>
      </c>
      <c r="C59">
        <f>IF($B$6="DOWN","Open Big BUY","Open Big SELL")</f>
        <v/>
      </c>
      <c r="D59">
        <f>IF($B$6="DOWN",B20,B20)</f>
        <v/>
      </c>
      <c r="E59">
        <f>IF($B$6="DOWN",G20,G29)</f>
        <v/>
      </c>
      <c r="F59">
        <f>IF($B$6="DOWN","Open Small SELL","Open Small BUY")</f>
        <v/>
      </c>
      <c r="G59">
        <f>IF($B$6="DOWN",C20,C20)</f>
        <v/>
      </c>
      <c r="H59">
        <f>IF($B$6="DOWN",I20,I29)</f>
        <v/>
      </c>
      <c r="I59">
        <f>IF($B$6="DOWN","Close Start BUY","Close Start SELL")</f>
        <v/>
      </c>
      <c r="J59">
        <f>IF($B$6="DOWN",N20,N29)</f>
        <v/>
      </c>
      <c r="K59">
        <f>IF($B$6="DOWN",P20,P29)</f>
        <v/>
      </c>
      <c r="L59">
        <f>IF($B$6="DOWN",Q20,Q29)</f>
        <v/>
      </c>
      <c r="M59">
        <f>$B$2*L59/100</f>
        <v/>
      </c>
      <c r="N59">
        <f>IF($B$6="DOWN",T20,T29)</f>
        <v/>
      </c>
      <c r="O59">
        <f>IF($B$6="DOWN",U20,U29)</f>
        <v/>
      </c>
      <c r="P59">
        <f>IF($B$6="DOWN",V20,V29)</f>
        <v/>
      </c>
      <c r="Q59">
        <f>IF($B$6="DOWN",W20,W29)</f>
        <v/>
      </c>
      <c r="R59">
        <f>IF($B$6="DOWN",X20,X29)</f>
        <v/>
      </c>
      <c r="S59">
        <f>IF($B$6="DOWN",Y20,Y29)</f>
        <v/>
      </c>
      <c r="T59">
        <f>IF($B$6="DOWN",Z20,Z29)</f>
        <v/>
      </c>
      <c r="U59">
        <f>CONCAT("Level ",A59,": ",IF($B$6="DOWN","цена идёт вниз","цена идёт вверх"),". ",C59," ",TEXT(E59,"0.00")," lot, ",F59," ",TEXT(H59,"0.00")," lot, ",I59," ",TEXT(K59,"0.00")," lot. Start remaining ",TEXT(M59,"0.00")," lot. Status=",T59)</f>
        <v/>
      </c>
    </row>
    <row r="60">
      <c r="A60">
        <f>A21</f>
        <v/>
      </c>
      <c r="B60">
        <f>$B$6</f>
        <v/>
      </c>
      <c r="C60">
        <f>IF($B$6="DOWN","Open Big BUY","Open Big SELL")</f>
        <v/>
      </c>
      <c r="D60">
        <f>IF($B$6="DOWN",B21,B21)</f>
        <v/>
      </c>
      <c r="E60">
        <f>IF($B$6="DOWN",G21,G30)</f>
        <v/>
      </c>
      <c r="F60">
        <f>IF($B$6="DOWN","Open Small SELL","Open Small BUY")</f>
        <v/>
      </c>
      <c r="G60">
        <f>IF($B$6="DOWN",C21,C21)</f>
        <v/>
      </c>
      <c r="H60">
        <f>IF($B$6="DOWN",I21,I30)</f>
        <v/>
      </c>
      <c r="I60">
        <f>IF($B$6="DOWN","Close Start BUY","Close Start SELL")</f>
        <v/>
      </c>
      <c r="J60">
        <f>IF($B$6="DOWN",N21,N30)</f>
        <v/>
      </c>
      <c r="K60">
        <f>IF($B$6="DOWN",P21,P30)</f>
        <v/>
      </c>
      <c r="L60">
        <f>IF($B$6="DOWN",Q21,Q30)</f>
        <v/>
      </c>
      <c r="M60">
        <f>$B$2*L60/100</f>
        <v/>
      </c>
      <c r="N60">
        <f>IF($B$6="DOWN",T21,T30)</f>
        <v/>
      </c>
      <c r="O60">
        <f>IF($B$6="DOWN",U21,U30)</f>
        <v/>
      </c>
      <c r="P60">
        <f>IF($B$6="DOWN",V21,V30)</f>
        <v/>
      </c>
      <c r="Q60">
        <f>IF($B$6="DOWN",W21,W30)</f>
        <v/>
      </c>
      <c r="R60">
        <f>IF($B$6="DOWN",X21,X30)</f>
        <v/>
      </c>
      <c r="S60">
        <f>IF($B$6="DOWN",Y21,Y30)</f>
        <v/>
      </c>
      <c r="T60">
        <f>IF($B$6="DOWN",Z21,Z30)</f>
        <v/>
      </c>
      <c r="U60">
        <f>CONCAT("Level ",A60,": ",IF($B$6="DOWN","цена идёт вниз","цена идёт вверх"),". ",C60," ",TEXT(E60,"0.00")," lot, ",F60," ",TEXT(H60,"0.00")," lot, ",I60," ",TEXT(K60,"0.00")," lot. Start remaining ",TEXT(M60,"0.00")," lot. Status=",T60)</f>
        <v/>
      </c>
    </row>
    <row r="61">
      <c r="A61">
        <f>A22</f>
        <v/>
      </c>
      <c r="B61">
        <f>$B$6</f>
        <v/>
      </c>
      <c r="C61">
        <f>IF($B$6="DOWN","Open Big BUY","Open Big SELL")</f>
        <v/>
      </c>
      <c r="D61">
        <f>IF($B$6="DOWN",B22,B22)</f>
        <v/>
      </c>
      <c r="E61">
        <f>IF($B$6="DOWN",G22,G31)</f>
        <v/>
      </c>
      <c r="F61">
        <f>IF($B$6="DOWN","Open Small SELL","Open Small BUY")</f>
        <v/>
      </c>
      <c r="G61">
        <f>IF($B$6="DOWN",C22,C22)</f>
        <v/>
      </c>
      <c r="H61">
        <f>IF($B$6="DOWN",I22,I31)</f>
        <v/>
      </c>
      <c r="I61">
        <f>IF($B$6="DOWN","Close Start BUY","Close Start SELL")</f>
        <v/>
      </c>
      <c r="J61">
        <f>IF($B$6="DOWN",N22,N31)</f>
        <v/>
      </c>
      <c r="K61">
        <f>IF($B$6="DOWN",P22,P31)</f>
        <v/>
      </c>
      <c r="L61">
        <f>IF($B$6="DOWN",Q22,Q31)</f>
        <v/>
      </c>
      <c r="M61">
        <f>$B$2*L61/100</f>
        <v/>
      </c>
      <c r="N61">
        <f>IF($B$6="DOWN",T22,T31)</f>
        <v/>
      </c>
      <c r="O61">
        <f>IF($B$6="DOWN",U22,U31)</f>
        <v/>
      </c>
      <c r="P61">
        <f>IF($B$6="DOWN",V22,V31)</f>
        <v/>
      </c>
      <c r="Q61">
        <f>IF($B$6="DOWN",W22,W31)</f>
        <v/>
      </c>
      <c r="R61">
        <f>IF($B$6="DOWN",X22,X31)</f>
        <v/>
      </c>
      <c r="S61">
        <f>IF($B$6="DOWN",Y22,Y31)</f>
        <v/>
      </c>
      <c r="T61">
        <f>IF($B$6="DOWN",Z22,Z31)</f>
        <v/>
      </c>
      <c r="U61">
        <f>CONCAT("Level ",A61,": ",IF($B$6="DOWN","цена идёт вниз","цена идёт вверх"),". ",C61," ",TEXT(E61,"0.00")," lot, ",F61," ",TEXT(H61,"0.00")," lot, ",I61," ",TEXT(K61,"0.00")," lot. Start remaining ",TEXT(M61,"0.00")," lot. Status=",T61)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ИТОГОВЫЙ ЧЕЛОВЕЧЕСКИЙ РАСЧЁТ ВСЕХ УРОВНЕЙ</t>
        </is>
      </c>
    </row>
    <row r="2">
      <c r="A2" s="2" t="inlineStr">
        <is>
          <t>Level</t>
        </is>
      </c>
      <c r="B2" s="2" t="inlineStr">
        <is>
          <t>Direction</t>
        </is>
      </c>
      <c r="C2" s="2" t="inlineStr">
        <is>
          <t>Action Big</t>
        </is>
      </c>
      <c r="D2" s="2" t="inlineStr">
        <is>
          <t>Big %</t>
        </is>
      </c>
      <c r="E2" s="2" t="inlineStr">
        <is>
          <t>Big Lot</t>
        </is>
      </c>
      <c r="F2" s="2" t="inlineStr">
        <is>
          <t>Action Small</t>
        </is>
      </c>
      <c r="G2" s="2" t="inlineStr">
        <is>
          <t>Small %</t>
        </is>
      </c>
      <c r="H2" s="2" t="inlineStr">
        <is>
          <t>Small Lot</t>
        </is>
      </c>
      <c r="I2" s="2" t="inlineStr">
        <is>
          <t>Close Action</t>
        </is>
      </c>
      <c r="J2" s="2" t="inlineStr">
        <is>
          <t>Close %</t>
        </is>
      </c>
      <c r="K2" s="2" t="inlineStr">
        <is>
          <t>Close Lot</t>
        </is>
      </c>
      <c r="L2" s="2" t="inlineStr">
        <is>
          <t>Start Remaining %</t>
        </is>
      </c>
      <c r="M2" s="2" t="inlineStr">
        <is>
          <t>Start Remaining Lot</t>
        </is>
      </c>
      <c r="N2" s="2" t="inlineStr">
        <is>
          <t>Total Main %</t>
        </is>
      </c>
      <c r="O2" s="2" t="inlineStr">
        <is>
          <t>Total Opposite %</t>
        </is>
      </c>
      <c r="P2" s="2" t="inlineStr">
        <is>
          <t>Skew %</t>
        </is>
      </c>
      <c r="Q2" s="2" t="inlineStr">
        <is>
          <t>Rounded Main Lot</t>
        </is>
      </c>
      <c r="R2" s="2" t="inlineStr">
        <is>
          <t>Rounded Opp Lot</t>
        </is>
      </c>
      <c r="S2" s="2" t="inlineStr">
        <is>
          <t>Rounded Skew Lot</t>
        </is>
      </c>
      <c r="T2" s="2" t="inlineStr">
        <is>
          <t>Status</t>
        </is>
      </c>
      <c r="U2" s="2" t="inlineStr">
        <is>
          <t>Human Comment</t>
        </is>
      </c>
    </row>
    <row r="3">
      <c r="A3">
        <f>Calculator!A57</f>
        <v/>
      </c>
      <c r="B3">
        <f>Calculator!B57</f>
        <v/>
      </c>
      <c r="C3">
        <f>Calculator!C57</f>
        <v/>
      </c>
      <c r="D3">
        <f>Calculator!D57</f>
        <v/>
      </c>
      <c r="E3">
        <f>Calculator!E57</f>
        <v/>
      </c>
      <c r="F3">
        <f>Calculator!F57</f>
        <v/>
      </c>
      <c r="G3">
        <f>Calculator!G57</f>
        <v/>
      </c>
      <c r="H3">
        <f>Calculator!H57</f>
        <v/>
      </c>
      <c r="I3">
        <f>Calculator!I57</f>
        <v/>
      </c>
      <c r="J3">
        <f>Calculator!J57</f>
        <v/>
      </c>
      <c r="K3">
        <f>Calculator!K57</f>
        <v/>
      </c>
      <c r="L3">
        <f>Calculator!L57</f>
        <v/>
      </c>
      <c r="M3">
        <f>Calculator!M57</f>
        <v/>
      </c>
      <c r="N3">
        <f>Calculator!N57</f>
        <v/>
      </c>
      <c r="O3">
        <f>Calculator!O57</f>
        <v/>
      </c>
      <c r="P3">
        <f>Calculator!P57</f>
        <v/>
      </c>
      <c r="Q3">
        <f>Calculator!Q57</f>
        <v/>
      </c>
      <c r="R3">
        <f>Calculator!R57</f>
        <v/>
      </c>
      <c r="S3">
        <f>Calculator!S57</f>
        <v/>
      </c>
      <c r="T3">
        <f>Calculator!T57</f>
        <v/>
      </c>
      <c r="U3">
        <f>Calculator!U57</f>
        <v/>
      </c>
    </row>
    <row r="4">
      <c r="A4">
        <f>Calculator!A58</f>
        <v/>
      </c>
      <c r="B4">
        <f>Calculator!B58</f>
        <v/>
      </c>
      <c r="C4">
        <f>Calculator!C58</f>
        <v/>
      </c>
      <c r="D4">
        <f>Calculator!D58</f>
        <v/>
      </c>
      <c r="E4">
        <f>Calculator!E58</f>
        <v/>
      </c>
      <c r="F4">
        <f>Calculator!F58</f>
        <v/>
      </c>
      <c r="G4">
        <f>Calculator!G58</f>
        <v/>
      </c>
      <c r="H4">
        <f>Calculator!H58</f>
        <v/>
      </c>
      <c r="I4">
        <f>Calculator!I58</f>
        <v/>
      </c>
      <c r="J4">
        <f>Calculator!J58</f>
        <v/>
      </c>
      <c r="K4">
        <f>Calculator!K58</f>
        <v/>
      </c>
      <c r="L4">
        <f>Calculator!L58</f>
        <v/>
      </c>
      <c r="M4">
        <f>Calculator!M58</f>
        <v/>
      </c>
      <c r="N4">
        <f>Calculator!N58</f>
        <v/>
      </c>
      <c r="O4">
        <f>Calculator!O58</f>
        <v/>
      </c>
      <c r="P4">
        <f>Calculator!P58</f>
        <v/>
      </c>
      <c r="Q4">
        <f>Calculator!Q58</f>
        <v/>
      </c>
      <c r="R4">
        <f>Calculator!R58</f>
        <v/>
      </c>
      <c r="S4">
        <f>Calculator!S58</f>
        <v/>
      </c>
      <c r="T4">
        <f>Calculator!T58</f>
        <v/>
      </c>
      <c r="U4">
        <f>Calculator!U58</f>
        <v/>
      </c>
    </row>
    <row r="5">
      <c r="A5">
        <f>Calculator!A59</f>
        <v/>
      </c>
      <c r="B5">
        <f>Calculator!B59</f>
        <v/>
      </c>
      <c r="C5">
        <f>Calculator!C59</f>
        <v/>
      </c>
      <c r="D5">
        <f>Calculator!D59</f>
        <v/>
      </c>
      <c r="E5">
        <f>Calculator!E59</f>
        <v/>
      </c>
      <c r="F5">
        <f>Calculator!F59</f>
        <v/>
      </c>
      <c r="G5">
        <f>Calculator!G59</f>
        <v/>
      </c>
      <c r="H5">
        <f>Calculator!H59</f>
        <v/>
      </c>
      <c r="I5">
        <f>Calculator!I59</f>
        <v/>
      </c>
      <c r="J5">
        <f>Calculator!J59</f>
        <v/>
      </c>
      <c r="K5">
        <f>Calculator!K59</f>
        <v/>
      </c>
      <c r="L5">
        <f>Calculator!L59</f>
        <v/>
      </c>
      <c r="M5">
        <f>Calculator!M59</f>
        <v/>
      </c>
      <c r="N5">
        <f>Calculator!N59</f>
        <v/>
      </c>
      <c r="O5">
        <f>Calculator!O59</f>
        <v/>
      </c>
      <c r="P5">
        <f>Calculator!P59</f>
        <v/>
      </c>
      <c r="Q5">
        <f>Calculator!Q59</f>
        <v/>
      </c>
      <c r="R5">
        <f>Calculator!R59</f>
        <v/>
      </c>
      <c r="S5">
        <f>Calculator!S59</f>
        <v/>
      </c>
      <c r="T5">
        <f>Calculator!T59</f>
        <v/>
      </c>
      <c r="U5">
        <f>Calculator!U59</f>
        <v/>
      </c>
    </row>
    <row r="6">
      <c r="A6">
        <f>Calculator!A60</f>
        <v/>
      </c>
      <c r="B6">
        <f>Calculator!B60</f>
        <v/>
      </c>
      <c r="C6">
        <f>Calculator!C60</f>
        <v/>
      </c>
      <c r="D6">
        <f>Calculator!D60</f>
        <v/>
      </c>
      <c r="E6">
        <f>Calculator!E60</f>
        <v/>
      </c>
      <c r="F6">
        <f>Calculator!F60</f>
        <v/>
      </c>
      <c r="G6">
        <f>Calculator!G60</f>
        <v/>
      </c>
      <c r="H6">
        <f>Calculator!H60</f>
        <v/>
      </c>
      <c r="I6">
        <f>Calculator!I60</f>
        <v/>
      </c>
      <c r="J6">
        <f>Calculator!J60</f>
        <v/>
      </c>
      <c r="K6">
        <f>Calculator!K60</f>
        <v/>
      </c>
      <c r="L6">
        <f>Calculator!L60</f>
        <v/>
      </c>
      <c r="M6">
        <f>Calculator!M60</f>
        <v/>
      </c>
      <c r="N6">
        <f>Calculator!N60</f>
        <v/>
      </c>
      <c r="O6">
        <f>Calculator!O60</f>
        <v/>
      </c>
      <c r="P6">
        <f>Calculator!P60</f>
        <v/>
      </c>
      <c r="Q6">
        <f>Calculator!Q60</f>
        <v/>
      </c>
      <c r="R6">
        <f>Calculator!R60</f>
        <v/>
      </c>
      <c r="S6">
        <f>Calculator!S60</f>
        <v/>
      </c>
      <c r="T6">
        <f>Calculator!T60</f>
        <v/>
      </c>
      <c r="U6">
        <f>Calculator!U60</f>
        <v/>
      </c>
    </row>
    <row r="7">
      <c r="A7">
        <f>Calculator!A61</f>
        <v/>
      </c>
      <c r="B7">
        <f>Calculator!B61</f>
        <v/>
      </c>
      <c r="C7">
        <f>Calculator!C61</f>
        <v/>
      </c>
      <c r="D7">
        <f>Calculator!D61</f>
        <v/>
      </c>
      <c r="E7">
        <f>Calculator!E61</f>
        <v/>
      </c>
      <c r="F7">
        <f>Calculator!F61</f>
        <v/>
      </c>
      <c r="G7">
        <f>Calculator!G61</f>
        <v/>
      </c>
      <c r="H7">
        <f>Calculator!H61</f>
        <v/>
      </c>
      <c r="I7">
        <f>Calculator!I61</f>
        <v/>
      </c>
      <c r="J7">
        <f>Calculator!J61</f>
        <v/>
      </c>
      <c r="K7">
        <f>Calculator!K61</f>
        <v/>
      </c>
      <c r="L7">
        <f>Calculator!L61</f>
        <v/>
      </c>
      <c r="M7">
        <f>Calculator!M61</f>
        <v/>
      </c>
      <c r="N7">
        <f>Calculator!N61</f>
        <v/>
      </c>
      <c r="O7">
        <f>Calculator!O61</f>
        <v/>
      </c>
      <c r="P7">
        <f>Calculator!P61</f>
        <v/>
      </c>
      <c r="Q7">
        <f>Calculator!Q61</f>
        <v/>
      </c>
      <c r="R7">
        <f>Calculator!R61</f>
        <v/>
      </c>
      <c r="S7">
        <f>Calculator!S61</f>
        <v/>
      </c>
      <c r="T7">
        <f>Calculator!T61</f>
        <v/>
      </c>
      <c r="U7">
        <f>Calculator!U61</f>
        <v/>
      </c>
    </row>
    <row r="10">
      <c r="A10" s="1" t="inlineStr">
        <is>
          <t>HUMAN TOTALS</t>
        </is>
      </c>
    </row>
    <row r="11">
      <c r="A11" t="inlineStr">
        <is>
          <t>Sum Big Lots</t>
        </is>
      </c>
      <c r="B11">
        <f>SUM(E3:E7)</f>
        <v/>
      </c>
    </row>
    <row r="12">
      <c r="A12" t="inlineStr">
        <is>
          <t>Sum Small Lots</t>
        </is>
      </c>
      <c r="B12">
        <f>SUM(H3:H7)</f>
        <v/>
      </c>
    </row>
    <row r="13">
      <c r="A13" t="inlineStr">
        <is>
          <t>Sum Close Lots</t>
        </is>
      </c>
      <c r="B13">
        <f>SUM(K3:K7)</f>
        <v/>
      </c>
    </row>
    <row r="14">
      <c r="A14" t="inlineStr">
        <is>
          <t>Final Start Remaining Lot</t>
        </is>
      </c>
      <c r="B14">
        <f>M7</f>
        <v/>
      </c>
    </row>
    <row r="15">
      <c r="A15" t="inlineStr">
        <is>
          <t>Final Total Main %</t>
        </is>
      </c>
      <c r="B15">
        <f>N7</f>
        <v/>
      </c>
    </row>
    <row r="16">
      <c r="A16" t="inlineStr">
        <is>
          <t>Final Total Opposite %</t>
        </is>
      </c>
      <c r="B16">
        <f>O7</f>
        <v/>
      </c>
    </row>
    <row r="17">
      <c r="A17" t="inlineStr">
        <is>
          <t>Final Skew %</t>
        </is>
      </c>
      <c r="B17">
        <f>P7</f>
        <v/>
      </c>
    </row>
    <row r="18">
      <c r="A18" t="inlineStr">
        <is>
          <t>Final Rounded Main Lot</t>
        </is>
      </c>
      <c r="B18">
        <f>Q7</f>
        <v/>
      </c>
    </row>
    <row r="19">
      <c r="A19" t="inlineStr">
        <is>
          <t>Final Rounded Opp Lot</t>
        </is>
      </c>
      <c r="B19">
        <f>R7</f>
        <v/>
      </c>
    </row>
    <row r="20">
      <c r="A20" t="inlineStr">
        <is>
          <t>Final Rounded Skew Lot</t>
        </is>
      </c>
      <c r="B20">
        <f>S7</f>
        <v/>
      </c>
    </row>
    <row r="21">
      <c r="A21" t="inlineStr">
        <is>
          <t>Final Status</t>
        </is>
      </c>
      <c r="B21">
        <f>T7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Test</t>
        </is>
      </c>
      <c r="B1" s="2" t="inlineStr">
        <is>
          <t>Actual</t>
        </is>
      </c>
      <c r="C1" s="2" t="inlineStr">
        <is>
          <t>Expected</t>
        </is>
      </c>
      <c r="D1" s="2" t="inlineStr">
        <is>
          <t>Result</t>
        </is>
      </c>
    </row>
    <row r="2">
      <c r="A2" t="inlineStr">
        <is>
          <t>Down L1 Close%</t>
        </is>
      </c>
      <c r="B2">
        <f>Calculator!N26</f>
        <v/>
      </c>
      <c r="C2" t="n">
        <v>60</v>
      </c>
      <c r="D2">
        <f>IF(ABS(B2-C2)&lt;0.000001,"PASS","FAIL")</f>
        <v/>
      </c>
    </row>
    <row r="3">
      <c r="A3" t="inlineStr">
        <is>
          <t>Down L2 Close%</t>
        </is>
      </c>
      <c r="B3">
        <f>Calculator!N27</f>
        <v/>
      </c>
      <c r="C3" t="n">
        <v>30</v>
      </c>
      <c r="D3">
        <f>IF(ABS(B3-C3)&lt;0.000001,"PASS","FAIL")</f>
        <v/>
      </c>
    </row>
    <row r="4">
      <c r="A4" t="inlineStr">
        <is>
          <t>Down Final Main</t>
        </is>
      </c>
      <c r="B4">
        <f>Calculator!T30</f>
        <v/>
      </c>
      <c r="C4" t="n">
        <v>165</v>
      </c>
      <c r="D4">
        <f>IF(ABS(B4-C4)&lt;0.000001,"PASS","FAIL")</f>
        <v/>
      </c>
    </row>
    <row r="5">
      <c r="A5" t="inlineStr">
        <is>
          <t>Down Final Opp</t>
        </is>
      </c>
      <c r="B5">
        <f>Calculator!U30</f>
        <v/>
      </c>
      <c r="C5" t="n">
        <v>175</v>
      </c>
      <c r="D5">
        <f>IF(ABS(B5-C5)&lt;0.000001,"PASS","FAIL")</f>
        <v/>
      </c>
    </row>
    <row r="6">
      <c r="A6" t="inlineStr">
        <is>
          <t>Down Final Skew</t>
        </is>
      </c>
      <c r="B6">
        <f>Calculator!V30</f>
        <v/>
      </c>
      <c r="C6" t="n">
        <v>10</v>
      </c>
      <c r="D6">
        <f>IF(ABS(B6-C6)&lt;0.000001,"PASS","FAIL")</f>
        <v/>
      </c>
    </row>
    <row r="7">
      <c r="A7" t="inlineStr">
        <is>
          <t>Up L1 Close%</t>
        </is>
      </c>
      <c r="B7">
        <f>Calculator!N35</f>
        <v/>
      </c>
      <c r="C7" t="n">
        <v>60</v>
      </c>
      <c r="D7">
        <f>IF(ABS(B7-C7)&lt;0.000001,"PASS","FAIL")</f>
        <v/>
      </c>
    </row>
    <row r="8">
      <c r="A8" t="inlineStr">
        <is>
          <t>Up L2 Close%</t>
        </is>
      </c>
      <c r="B8">
        <f>Calculator!N36</f>
        <v/>
      </c>
      <c r="C8" t="n">
        <v>30</v>
      </c>
      <c r="D8">
        <f>IF(ABS(B8-C8)&lt;0.000001,"PASS","FAIL")</f>
        <v/>
      </c>
    </row>
    <row r="9">
      <c r="A9" t="inlineStr">
        <is>
          <t>Up Final Main</t>
        </is>
      </c>
      <c r="B9">
        <f>Calculator!T39</f>
        <v/>
      </c>
      <c r="C9" t="n">
        <v>165</v>
      </c>
      <c r="D9">
        <f>IF(ABS(B9-C9)&lt;0.000001,"PASS","FAIL")</f>
        <v/>
      </c>
    </row>
    <row r="10">
      <c r="A10" t="inlineStr">
        <is>
          <t>Up Final Opp</t>
        </is>
      </c>
      <c r="B10">
        <f>Calculator!U39</f>
        <v/>
      </c>
      <c r="C10" t="n">
        <v>175</v>
      </c>
      <c r="D10">
        <f>IF(ABS(B10-C10)&lt;0.000001,"PASS","FAIL")</f>
        <v/>
      </c>
    </row>
    <row r="11">
      <c r="A11" t="inlineStr">
        <is>
          <t>Up Final Skew</t>
        </is>
      </c>
      <c r="B11">
        <f>Calculator!V39</f>
        <v/>
      </c>
      <c r="C11" t="n">
        <v>10</v>
      </c>
      <c r="D11">
        <f>IF(ABS(B11-C11)&lt;0.000001,"PASS","FAIL")</f>
        <v/>
      </c>
    </row>
    <row r="12">
      <c r="A12" t="inlineStr">
        <is>
          <t>Human Sum Big Lots</t>
        </is>
      </c>
      <c r="B12">
        <f>HumanSummary!B11</f>
        <v/>
      </c>
      <c r="C12" t="n">
        <v>1.55</v>
      </c>
      <c r="D12">
        <f>IF(ABS(B12-C12)&lt;0.000001,"PASS","FAIL")</f>
        <v/>
      </c>
    </row>
    <row r="13">
      <c r="A13" t="inlineStr">
        <is>
          <t>Human Sum Small Lots</t>
        </is>
      </c>
      <c r="B13">
        <f>HumanSummary!B12</f>
        <v/>
      </c>
      <c r="C13" t="n">
        <v>0.75</v>
      </c>
      <c r="D13">
        <f>IF(ABS(B13-C13)&lt;0.000001,"PASS","FAIL")</f>
        <v/>
      </c>
    </row>
    <row r="14">
      <c r="A14" t="inlineStr">
        <is>
          <t>Human Sum Close Lots</t>
        </is>
      </c>
      <c r="B14">
        <f>HumanSummary!B13</f>
        <v/>
      </c>
      <c r="C14" t="n">
        <v>0.9</v>
      </c>
      <c r="D14">
        <f>IF(ABS(B14-C14)&lt;0.000001,"PASS","FAIL")</f>
        <v/>
      </c>
    </row>
    <row r="15">
      <c r="A15" t="inlineStr">
        <is>
          <t>Human Final Start Remaining Lot</t>
        </is>
      </c>
      <c r="B15">
        <f>HumanSummary!B14</f>
        <v/>
      </c>
      <c r="C15" t="n">
        <v>0.1</v>
      </c>
      <c r="D15">
        <f>IF(ABS(B15-C15)&lt;0.000001,"PASS","FAIL")</f>
        <v/>
      </c>
    </row>
    <row r="16">
      <c r="A16" t="inlineStr">
        <is>
          <t>Human Final Status</t>
        </is>
      </c>
      <c r="B16">
        <f>HumanSummary!B21</f>
        <v/>
      </c>
      <c r="C16" t="inlineStr">
        <is>
          <t>OK</t>
        </is>
      </c>
      <c r="D16">
        <f>IF(B16=C16,"PASS","FAIL")</f>
        <v/>
      </c>
    </row>
    <row r="17">
      <c r="A17" t="inlineStr">
        <is>
          <t>Human Level 1 Big Action</t>
        </is>
      </c>
      <c r="B17">
        <f>HumanSummary!C3</f>
        <v/>
      </c>
      <c r="C17" t="inlineStr">
        <is>
          <t>Open Big BUY</t>
        </is>
      </c>
      <c r="D17">
        <f>IF(B17=C17,"PASS","FAIL")</f>
        <v/>
      </c>
    </row>
    <row r="18">
      <c r="A18" t="inlineStr">
        <is>
          <t>Human Level 1 Small Action</t>
        </is>
      </c>
      <c r="B18">
        <f>HumanSummary!F3</f>
        <v/>
      </c>
      <c r="C18" t="inlineStr">
        <is>
          <t>Open Small SELL</t>
        </is>
      </c>
      <c r="D18">
        <f>IF(B18=C18,"PASS","FAIL")</f>
        <v/>
      </c>
    </row>
    <row r="19">
      <c r="A19" t="inlineStr">
        <is>
          <t>Human Level 1 Close Action</t>
        </is>
      </c>
      <c r="B19">
        <f>HumanSummary!I3</f>
        <v/>
      </c>
      <c r="C19" t="inlineStr">
        <is>
          <t>Close Start BUY</t>
        </is>
      </c>
      <c r="D19">
        <f>IF(B19=C19,"PASS","FAIL")</f>
        <v/>
      </c>
    </row>
    <row r="20">
      <c r="A20" t="inlineStr">
        <is>
          <t>Human UP Big Action</t>
        </is>
      </c>
      <c r="B20">
        <f>IF(Calculator!B6="UP",HumanSummary!C3,"SKIP")</f>
        <v/>
      </c>
      <c r="C20" t="inlineStr">
        <is>
          <t>Open Big SELL</t>
        </is>
      </c>
      <c r="D20">
        <f>IF(B20=C20,"PASS","FAIL")</f>
        <v/>
      </c>
    </row>
    <row r="21">
      <c r="A21" t="inlineStr">
        <is>
          <t>Summary Final System Status</t>
        </is>
      </c>
      <c r="B21">
        <f>Calculator!B52</f>
        <v/>
      </c>
      <c r="C21" t="inlineStr">
        <is>
          <t>OK</t>
        </is>
      </c>
      <c r="D21">
        <f>IF(B21=C21,"PASS","FAIL")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Инструкция</t>
        </is>
      </c>
    </row>
    <row r="2">
      <c r="A2" t="inlineStr">
        <is>
          <t>1. Ввести StartLot.</t>
        </is>
      </c>
    </row>
    <row r="3">
      <c r="A3" t="inlineStr">
        <is>
          <t>2. Проверить StepPoints.</t>
        </is>
      </c>
    </row>
    <row r="4">
      <c r="A4" t="inlineStr">
        <is>
          <t>3. Выбрать Direction DOWN или UP.</t>
        </is>
      </c>
    </row>
    <row r="5">
      <c r="A5" t="inlineStr">
        <is>
          <t>4. При необходимости изменить Level Grid.</t>
        </is>
      </c>
    </row>
    <row r="6">
      <c r="A6" t="inlineStr">
        <is>
          <t>5. Смотреть Main Table.</t>
        </is>
      </c>
    </row>
    <row r="7">
      <c r="A7" t="inlineStr">
        <is>
          <t>6. Проверить Summary.</t>
        </is>
      </c>
    </row>
    <row r="8">
      <c r="A8" t="inlineStr">
        <is>
          <t>7. Смотреть Human Summary: Big=основная rescue-позиция, Small=встречная защитная, Close=частичное закрытие стартовой позиции.</t>
        </is>
      </c>
    </row>
    <row r="9">
      <c r="A9" t="inlineStr">
        <is>
          <t>8. Start Remaining = остаток стартовой позиции, Total Main/Opp = баланс сторон, Skew = защитный перевес.</t>
        </is>
      </c>
    </row>
    <row r="10">
      <c r="A10" t="inlineStr">
        <is>
          <t>9. Если Status = OK — сетка безопасна по математике.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README</t>
        </is>
      </c>
    </row>
    <row r="2">
      <c r="A2" t="inlineStr">
        <is>
          <t>Это простой калькулятор skew-компрессии минусового замка.</t>
        </is>
      </c>
    </row>
    <row r="3">
      <c r="A3" t="inlineStr">
        <is>
          <t>Big — крупный ордер на основной стороне.</t>
        </is>
      </c>
    </row>
    <row r="4">
      <c r="A4" t="inlineStr">
        <is>
          <t>Small — малый ордер на противоположной стороне.</t>
        </is>
      </c>
    </row>
    <row r="5">
      <c r="A5" t="inlineStr">
        <is>
          <t>Safe Close — безопасное частичное закрытие стартового ордера.</t>
        </is>
      </c>
    </row>
    <row r="6">
      <c r="A6" t="inlineStr">
        <is>
          <t>Total Main — суммарный объём основной стороны.</t>
        </is>
      </c>
    </row>
    <row r="7">
      <c r="A7" t="inlineStr">
        <is>
          <t>Total Opposite — суммарный объём противоположной стороны.</t>
        </is>
      </c>
    </row>
    <row r="8">
      <c r="A8" t="inlineStr">
        <is>
          <t>Skew — защитный перевес Opposite над Main.</t>
        </is>
      </c>
    </row>
    <row r="9">
      <c r="A9" t="inlineStr">
        <is>
          <t>Как читать Human Summary: Big/Small/Close показывают действия по уровню; Start Remaining — остаток стартовой позиции; Status отражает безопасность уровня.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2026-05-21T09:00:19Z</dcterms:created>
  <dcterms:modified xsi:type="dcterms:W3CDTF">2026-05-21T09:00:19Z</dcterms:modified>
</cp:coreProperties>
</file>