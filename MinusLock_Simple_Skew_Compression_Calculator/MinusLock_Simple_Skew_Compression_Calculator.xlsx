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Tests" sheetId="2" state="visible" r:id="rId2"/>
    <sheet name="Manual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E18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IF(COUNTIF($F$2:$F$9,"ERROR*")&gt;0,"ERROR",IF(OR(B26&lt;C26,B26&lt;0,C26&lt;0,D26&lt;0,E26&lt;0,E26&gt;J26,T26&gt;U26,W26&gt;X26,AND(B26&gt;0,G26=0),AND(C26&gt;0,I26=0)),"ERROR",IF(AND(D26&gt;0,Y26&lt;($B$2*D26/100)),"WARNING","OK")))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E19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IF(COUNTIF($F$2:$F$9,"ERROR*")&gt;0,"ERROR",IF(OR(B27&lt;C27,B27&lt;0,C27&lt;0,D27&lt;0,E27&lt;0,E27&gt;J27,T27&gt;U27,W27&gt;X27,AND(B27&gt;0,G27=0),AND(C27&gt;0,I27=0)),"ERROR",IF(AND(D27&gt;0,Y27&lt;($B$2*D27/100)),"WARNING","OK")))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E20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IF(COUNTIF($F$2:$F$9,"ERROR*")&gt;0,"ERROR",IF(OR(B28&lt;C28,B28&lt;0,C28&lt;0,D28&lt;0,E28&lt;0,E28&gt;J28,T28&gt;U28,W28&gt;X28,AND(B28&gt;0,G28=0),AND(C28&gt;0,I28=0)),"ERROR",IF(AND(D28&gt;0,Y28&lt;($B$2*D28/100)),"WARNING","OK")))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E21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IF(COUNTIF($F$2:$F$9,"ERROR*")&gt;0,"ERROR",IF(OR(B29&lt;C29,B29&lt;0,C29&lt;0,D29&lt;0,E29&lt;0,E29&gt;J29,T29&gt;U29,W29&gt;X29,AND(B29&gt;0,G29=0),AND(C29&gt;0,I29=0)),"ERROR",IF(AND(D29&gt;0,Y29&lt;($B$2*D29/100)),"WARNING","OK")))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E22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IF(COUNTIF($F$2:$F$9,"ERROR*")&gt;0,"ERROR",IF(OR(B30&lt;C30,B30&lt;0,C30&lt;0,D30&lt;0,E30&lt;0,E30&gt;J30,T30&gt;U30,W30&gt;X30,AND(B30&gt;0,G30=0),AND(C30&gt;0,I30=0)),"ERROR",IF(AND(D30&gt;0,Y30&lt;($B$2*D30/100)),"WARNING","OK")))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E18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IF(COUNTIF($F$2:$F$9,"ERROR*")&gt;0,"ERROR",IF(OR(B35&lt;C35,B35&lt;0,C35&lt;0,D35&lt;0,E35&lt;0,E35&gt;J35,T35&gt;U35,W35&gt;X35,AND(B35&gt;0,G35=0),AND(C35&gt;0,I35=0)),"ERROR",IF(AND(D35&gt;0,Y35&lt;($B$2*D35/100)),"WARNING","OK")))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E19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IF(COUNTIF($F$2:$F$9,"ERROR*")&gt;0,"ERROR",IF(OR(B36&lt;C36,B36&lt;0,C36&lt;0,D36&lt;0,E36&lt;0,E36&gt;J36,T36&gt;U36,W36&gt;X36,AND(B36&gt;0,G36=0),AND(C36&gt;0,I36=0)),"ERROR",IF(AND(D36&gt;0,Y36&lt;($B$2*D36/100)),"WARNING","OK")))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E20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IF(COUNTIF($F$2:$F$9,"ERROR*")&gt;0,"ERROR",IF(OR(B37&lt;C37,B37&lt;0,C37&lt;0,D37&lt;0,E37&lt;0,E37&gt;J37,T37&gt;U37,W37&gt;X37,AND(B37&gt;0,G37=0),AND(C37&gt;0,I37=0)),"ERROR",IF(AND(D37&gt;0,Y37&lt;($B$2*D37/100)),"WARNING","OK")))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E21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IF(COUNTIF($F$2:$F$9,"ERROR*")&gt;0,"ERROR",IF(OR(B38&lt;C38,B38&lt;0,C38&lt;0,D38&lt;0,E38&lt;0,E38&gt;J38,T38&gt;U38,W38&gt;X38,AND(B38&gt;0,G38=0),AND(C38&gt;0,I38=0)),"ERROR",IF(AND(D38&gt;0,Y38&lt;($B$2*D38/100)),"WARNING","OK")))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E22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IF(COUNTIF($F$2:$F$9,"ERROR*")&gt;0,"ERROR",IF(OR(B39&lt;C39,B39&lt;0,C39&lt;0,D39&lt;0,E39&lt;0,E39&gt;J39,T39&gt;U39,W39&gt;X39,AND(B39&gt;0,G39=0),AND(C39&gt;0,I39=0)),"ERROR",IF(AND(D39&gt;0,Y39&lt;($B$2*D39/100)),"WARNING","OK")))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Down L1 Rounded Main</t>
        </is>
      </c>
      <c r="B12">
        <f>Calculator!W26</f>
        <v/>
      </c>
      <c r="C12" t="n">
        <v>1.3</v>
      </c>
      <c r="D12">
        <f>IF(ABS(B12-C12)&lt;0.000001,"PASS","FAIL")</f>
        <v/>
      </c>
    </row>
    <row r="13">
      <c r="A13" t="inlineStr">
        <is>
          <t>Down L1 Rounded Opp</t>
        </is>
      </c>
      <c r="B13">
        <f>Calculator!X26</f>
        <v/>
      </c>
      <c r="C13" t="n">
        <v>1.3</v>
      </c>
      <c r="D13">
        <f>IF(ABS(B13-C13)&lt;0.000001,"PASS","FAIL")</f>
        <v/>
      </c>
    </row>
    <row r="14">
      <c r="A14" t="inlineStr">
        <is>
          <t>Down L1 Rounded Skew</t>
        </is>
      </c>
      <c r="B14">
        <f>Calculator!Y26</f>
        <v/>
      </c>
      <c r="C14" t="n">
        <v>0</v>
      </c>
      <c r="D14">
        <f>IF(ABS(B14-C14)&lt;0.000001,"PASS","FAIL")</f>
        <v/>
      </c>
    </row>
    <row r="15">
      <c r="A15" t="inlineStr">
        <is>
          <t>Down L1 Status</t>
        </is>
      </c>
      <c r="B15">
        <f>Calculator!Z26</f>
        <v/>
      </c>
      <c r="C15" t="inlineStr">
        <is>
          <t>OK</t>
        </is>
      </c>
      <c r="D15">
        <f>IF(B15=C15,"PASS","FAIL")</f>
        <v/>
      </c>
    </row>
    <row r="16">
      <c r="A16" t="inlineStr">
        <is>
          <t>Down L2 Rounded Main</t>
        </is>
      </c>
      <c r="B16">
        <f>Calculator!W27</f>
        <v/>
      </c>
      <c r="C16" t="n">
        <v>1.3</v>
      </c>
      <c r="D16">
        <f>IF(ABS(B16-C16)&lt;0.000001,"PASS","FAIL")</f>
        <v/>
      </c>
    </row>
    <row r="17">
      <c r="A17" t="inlineStr">
        <is>
          <t>Down L2 Rounded Opp</t>
        </is>
      </c>
      <c r="B17">
        <f>Calculator!X27</f>
        <v/>
      </c>
      <c r="C17" t="n">
        <v>1.45</v>
      </c>
      <c r="D17">
        <f>IF(ABS(B17-C17)&lt;0.000001,"PASS","FAIL")</f>
        <v/>
      </c>
    </row>
    <row r="18">
      <c r="A18" t="inlineStr">
        <is>
          <t>Down L2 Rounded Skew</t>
        </is>
      </c>
      <c r="B18">
        <f>Calculator!Y27</f>
        <v/>
      </c>
      <c r="C18" t="n">
        <v>0.15</v>
      </c>
      <c r="D18">
        <f>IF(ABS(B18-C18)&lt;0.000001,"PASS","FAIL")</f>
        <v/>
      </c>
    </row>
    <row r="19">
      <c r="A19" t="inlineStr">
        <is>
          <t>Down L2 Status</t>
        </is>
      </c>
      <c r="B19">
        <f>Calculator!Z27</f>
        <v/>
      </c>
      <c r="C19" t="inlineStr">
        <is>
          <t>OK</t>
        </is>
      </c>
      <c r="D19">
        <f>IF(B19=C19,"PASS","FAIL")</f>
        <v/>
      </c>
    </row>
    <row r="20">
      <c r="A20" t="inlineStr">
        <is>
          <t>Down Final Rounded Main</t>
        </is>
      </c>
      <c r="B20">
        <f>Calculator!W30</f>
        <v/>
      </c>
      <c r="C20" t="n">
        <v>1.65</v>
      </c>
      <c r="D20">
        <f>IF(ABS(B20-C20)&lt;0.000001,"PASS","FAIL")</f>
        <v/>
      </c>
    </row>
    <row r="21">
      <c r="A21" t="inlineStr">
        <is>
          <t>Down Final Rounded Opp</t>
        </is>
      </c>
      <c r="B21">
        <f>Calculator!X30</f>
        <v/>
      </c>
      <c r="C21" t="n">
        <v>1.75</v>
      </c>
      <c r="D21">
        <f>IF(ABS(B21-C21)&lt;0.000001,"PASS","FAIL")</f>
        <v/>
      </c>
    </row>
    <row r="22">
      <c r="A22" t="inlineStr">
        <is>
          <t>Down Final Rounded Skew</t>
        </is>
      </c>
      <c r="B22">
        <f>Calculator!Y30</f>
        <v/>
      </c>
      <c r="C22" t="n">
        <v>0.1</v>
      </c>
      <c r="D22">
        <f>IF(ABS(B22-C22)&lt;0.000001,"PASS","FAIL")</f>
        <v/>
      </c>
    </row>
    <row r="23">
      <c r="A23" t="inlineStr">
        <is>
          <t>Down Final Status</t>
        </is>
      </c>
      <c r="B23">
        <f>Calculator!Z30</f>
        <v/>
      </c>
      <c r="C23" t="inlineStr">
        <is>
          <t>OK</t>
        </is>
      </c>
      <c r="D23">
        <f>IF(B23=C23,"PASS","FAIL")</f>
        <v/>
      </c>
    </row>
    <row r="24">
      <c r="A24" t="inlineStr">
        <is>
          <t>Up L1 Rounded Main</t>
        </is>
      </c>
      <c r="B24">
        <f>Calculator!W35</f>
        <v/>
      </c>
      <c r="C24" t="n">
        <v>1.3</v>
      </c>
      <c r="D24">
        <f>IF(ABS(B24-C24)&lt;0.000001,"PASS","FAIL")</f>
        <v/>
      </c>
    </row>
    <row r="25">
      <c r="A25" t="inlineStr">
        <is>
          <t>Up L1 Rounded Opp</t>
        </is>
      </c>
      <c r="B25">
        <f>Calculator!X35</f>
        <v/>
      </c>
      <c r="C25" t="n">
        <v>1.3</v>
      </c>
      <c r="D25">
        <f>IF(ABS(B25-C25)&lt;0.000001,"PASS","FAIL")</f>
        <v/>
      </c>
    </row>
    <row r="26">
      <c r="A26" t="inlineStr">
        <is>
          <t>Up L1 Rounded Skew</t>
        </is>
      </c>
      <c r="B26">
        <f>Calculator!Y35</f>
        <v/>
      </c>
      <c r="C26" t="n">
        <v>0</v>
      </c>
      <c r="D26">
        <f>IF(ABS(B26-C26)&lt;0.000001,"PASS","FAIL")</f>
        <v/>
      </c>
    </row>
    <row r="27">
      <c r="A27" t="inlineStr">
        <is>
          <t>Up L1 Status</t>
        </is>
      </c>
      <c r="B27">
        <f>Calculator!Z35</f>
        <v/>
      </c>
      <c r="C27" t="inlineStr">
        <is>
          <t>OK</t>
        </is>
      </c>
      <c r="D27">
        <f>IF(B27=C27,"PASS","FAIL")</f>
        <v/>
      </c>
    </row>
    <row r="28">
      <c r="A28" t="inlineStr">
        <is>
          <t>Up L2 Rounded Main</t>
        </is>
      </c>
      <c r="B28">
        <f>Calculator!W36</f>
        <v/>
      </c>
      <c r="C28" t="n">
        <v>1.3</v>
      </c>
      <c r="D28">
        <f>IF(ABS(B28-C28)&lt;0.000001,"PASS","FAIL")</f>
        <v/>
      </c>
    </row>
    <row r="29">
      <c r="A29" t="inlineStr">
        <is>
          <t>Up L2 Rounded Opp</t>
        </is>
      </c>
      <c r="B29">
        <f>Calculator!X36</f>
        <v/>
      </c>
      <c r="C29" t="n">
        <v>1.45</v>
      </c>
      <c r="D29">
        <f>IF(ABS(B29-C29)&lt;0.000001,"PASS","FAIL")</f>
        <v/>
      </c>
    </row>
    <row r="30">
      <c r="A30" t="inlineStr">
        <is>
          <t>Up L2 Rounded Skew</t>
        </is>
      </c>
      <c r="B30">
        <f>Calculator!Y36</f>
        <v/>
      </c>
      <c r="C30" t="n">
        <v>0.15</v>
      </c>
      <c r="D30">
        <f>IF(ABS(B30-C30)&lt;0.000001,"PASS","FAIL")</f>
        <v/>
      </c>
    </row>
    <row r="31">
      <c r="A31" t="inlineStr">
        <is>
          <t>Up L2 Status</t>
        </is>
      </c>
      <c r="B31">
        <f>Calculator!Z36</f>
        <v/>
      </c>
      <c r="C31" t="inlineStr">
        <is>
          <t>OK</t>
        </is>
      </c>
      <c r="D31">
        <f>IF(B31=C31,"PASS","FAIL")</f>
        <v/>
      </c>
    </row>
    <row r="32">
      <c r="A32" t="inlineStr">
        <is>
          <t>Up Final Rounded Main</t>
        </is>
      </c>
      <c r="B32">
        <f>Calculator!W39</f>
        <v/>
      </c>
      <c r="C32" t="n">
        <v>1.65</v>
      </c>
      <c r="D32">
        <f>IF(ABS(B32-C32)&lt;0.000001,"PASS","FAIL")</f>
        <v/>
      </c>
    </row>
    <row r="33">
      <c r="A33" t="inlineStr">
        <is>
          <t>Up Final Rounded Opp</t>
        </is>
      </c>
      <c r="B33">
        <f>Calculator!X39</f>
        <v/>
      </c>
      <c r="C33" t="n">
        <v>1.75</v>
      </c>
      <c r="D33">
        <f>IF(ABS(B33-C33)&lt;0.000001,"PASS","FAIL")</f>
        <v/>
      </c>
    </row>
    <row r="34">
      <c r="A34" t="inlineStr">
        <is>
          <t>Up Final Rounded Skew</t>
        </is>
      </c>
      <c r="B34">
        <f>Calculator!Y39</f>
        <v/>
      </c>
      <c r="C34" t="n">
        <v>0.1</v>
      </c>
      <c r="D34">
        <f>IF(ABS(B34-C34)&lt;0.000001,"PASS","FAIL")</f>
        <v/>
      </c>
    </row>
    <row r="35">
      <c r="A35" t="inlineStr">
        <is>
          <t>Up Final Status</t>
        </is>
      </c>
      <c r="B35">
        <f>Calculator!Z39</f>
        <v/>
      </c>
      <c r="C35" t="inlineStr">
        <is>
          <t>OK</t>
        </is>
      </c>
      <c r="D35">
        <f>IF(B35=C35,"PASS","FAIL")</f>
        <v/>
      </c>
    </row>
    <row r="36">
      <c r="A36" t="inlineStr">
        <is>
          <t>Summary Final Rounded Status</t>
        </is>
      </c>
      <c r="B36">
        <f>Calculator!B51</f>
        <v/>
      </c>
      <c r="C36" t="inlineStr">
        <is>
          <t>OK</t>
        </is>
      </c>
      <c r="D36">
        <f>IF(B36=C36,"PASS","FAIL")</f>
        <v/>
      </c>
    </row>
    <row r="37">
      <c r="A37" t="inlineStr">
        <is>
          <t>Summary Final System Status</t>
        </is>
      </c>
      <c r="B37">
        <f>Calculator!B52</f>
        <v/>
      </c>
      <c r="C37" t="inlineStr">
        <is>
          <t>OK</t>
        </is>
      </c>
      <c r="D37">
        <f>IF(B37=C37,"PASS","FAIL")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Если Status = OK — сетка безопасна по математике.</t>
        </is>
      </c>
    </row>
    <row r="9">
      <c r="A9" t="inlineStr">
        <is>
          <t>8. Если ERROR — использовать нельзя.</t>
        </is>
      </c>
    </row>
    <row r="10">
      <c r="A10" t="inlineStr">
        <is>
          <t>9. Если WARNING — проверить skew и rounded-лоты.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Main &lt;= Opposite обязательно для сохранения защиты.</t>
        </is>
      </c>
    </row>
    <row r="9">
      <c r="A9" t="inlineStr">
        <is>
          <t>Status: OK — безопасно, WARNING — проверить skew/rounded, ERROR — нельзя использовать.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2026-05-20T14:22:35Z</dcterms:created>
  <dcterms:modified xsi:type="dcterms:W3CDTF">2026-05-20T14:22:35Z</dcterms:modified>
</cp:coreProperties>
</file>