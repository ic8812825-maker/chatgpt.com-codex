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HumanSummary" sheetId="2" state="visible" r:id="rId2"/>
    <sheet name="Tests" sheetId="3" state="visible" r:id="rId3"/>
    <sheet name="Manual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</row>
    <row r="2">
      <c r="A2" t="inlineStr">
        <is>
          <t>StartLot</t>
        </is>
      </c>
      <c r="B2" t="n">
        <v>1</v>
      </c>
    </row>
    <row r="3">
      <c r="A3" t="inlineStr">
        <is>
          <t>StepPoints</t>
        </is>
      </c>
      <c r="B3" t="n">
        <v>100</v>
      </c>
    </row>
    <row r="4">
      <c r="A4" t="inlineStr">
        <is>
          <t>MaxLevels</t>
        </is>
      </c>
      <c r="B4" t="n">
        <v>5</v>
      </c>
    </row>
    <row r="5">
      <c r="A5" t="inlineStr">
        <is>
          <t>LotStep</t>
        </is>
      </c>
      <c r="B5" t="n">
        <v>0.01</v>
      </c>
    </row>
    <row r="6">
      <c r="A6" t="inlineStr">
        <is>
          <t>Direction</t>
        </is>
      </c>
      <c r="B6" t="inlineStr">
        <is>
          <t>DOWN</t>
        </is>
      </c>
    </row>
    <row r="7">
      <c r="A7" t="inlineStr">
        <is>
          <t>UseRounding</t>
        </is>
      </c>
      <c r="B7" t="b">
        <v>1</v>
      </c>
    </row>
    <row r="8">
      <c r="A8" t="inlineStr">
        <is>
          <t>BigRoundMode</t>
        </is>
      </c>
      <c r="B8" t="inlineStr">
        <is>
          <t>DOWN</t>
        </is>
      </c>
    </row>
    <row r="9">
      <c r="A9" t="inlineStr">
        <is>
          <t>SmallRoundMode</t>
        </is>
      </c>
      <c r="B9" t="inlineStr">
        <is>
          <t>UP</t>
        </is>
      </c>
    </row>
    <row r="10">
      <c r="A10" t="inlineStr">
        <is>
          <t>CloseRoundMode</t>
        </is>
      </c>
      <c r="B10" t="inlineStr">
        <is>
          <t>SAFE</t>
        </is>
      </c>
    </row>
    <row r="11">
      <c r="A11" t="inlineStr">
        <is>
          <t>PointValue</t>
        </is>
      </c>
      <c r="B11" t="n">
        <v>1</v>
      </c>
    </row>
    <row r="12">
      <c r="A12" t="inlineStr">
        <is>
          <t>Spread</t>
        </is>
      </c>
      <c r="B12" t="n">
        <v>0</v>
      </c>
    </row>
    <row r="13">
      <c r="A13" t="inlineStr">
        <is>
          <t>Commission</t>
        </is>
      </c>
      <c r="B13" t="n">
        <v>0</v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</row>
    <row r="19">
      <c r="A19" t="n">
        <v>2</v>
      </c>
      <c r="B19" t="n">
        <v>30</v>
      </c>
      <c r="C19" t="n">
        <v>15</v>
      </c>
      <c r="D19" t="n">
        <v>15</v>
      </c>
      <c r="E19" t="inlineStr"/>
    </row>
    <row r="20">
      <c r="A20" t="n">
        <v>3</v>
      </c>
      <c r="B20" t="n">
        <v>20</v>
      </c>
      <c r="C20" t="n">
        <v>15</v>
      </c>
      <c r="D20" t="n">
        <v>10</v>
      </c>
      <c r="E20" t="inlineStr"/>
    </row>
    <row r="21">
      <c r="A21" t="n">
        <v>4</v>
      </c>
      <c r="B21" t="n">
        <v>10</v>
      </c>
      <c r="C21" t="n">
        <v>10</v>
      </c>
      <c r="D21" t="n">
        <v>10</v>
      </c>
      <c r="E21" t="inlineStr"/>
    </row>
    <row r="22">
      <c r="A22" t="n">
        <v>5</v>
      </c>
      <c r="B22" t="n">
        <v>5</v>
      </c>
      <c r="C22" t="n">
        <v>5</v>
      </c>
      <c r="D22" t="n">
        <v>10</v>
      </c>
      <c r="E22" t="inlineStr"/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OR($B$2&lt;=0,$B$5&lt;=0,$B$4&lt;1,NOT(OR($B$6="DOWN",$B$6="UP"))),"ERROR",IF(B26&lt;C26,"ERROR",IF(AND(E26&lt;&gt;"",E26&gt;J26),"ERROR",IF(T26&gt;U26,"ERROR",IF(W26&gt;X26,"ERROR",IF(AND(B26&gt;0,G26=0),"ERROR",IF(AND(C26&gt;0,I26=0),"ERROR",IF(AND(D26&gt;0,ROUND(Y26,6)&lt;ROUND($B$2*D26/100,6)),"WARNING","OK")))))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OR($B$2&lt;=0,$B$5&lt;=0,$B$4&lt;1,NOT(OR($B$6="DOWN",$B$6="UP"))),"ERROR",IF(B27&lt;C27,"ERROR",IF(AND(E27&lt;&gt;"",E27&gt;J27),"ERROR",IF(T27&gt;U27,"ERROR",IF(W27&gt;X27,"ERROR",IF(AND(B27&gt;0,G27=0),"ERROR",IF(AND(C27&gt;0,I27=0),"ERROR",IF(AND(D27&gt;0,ROUND(Y27,6)&lt;ROUND($B$2*D27/100,6)),"WARNING","OK")))))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OR($B$2&lt;=0,$B$5&lt;=0,$B$4&lt;1,NOT(OR($B$6="DOWN",$B$6="UP"))),"ERROR",IF(B28&lt;C28,"ERROR",IF(AND(E28&lt;&gt;"",E28&gt;J28),"ERROR",IF(T28&gt;U28,"ERROR",IF(W28&gt;X28,"ERROR",IF(AND(B28&gt;0,G28=0),"ERROR",IF(AND(C28&gt;0,I28=0),"ERROR",IF(AND(D28&gt;0,ROUND(Y28,6)&lt;ROUND($B$2*D28/100,6)),"WARNING","OK")))))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OR($B$2&lt;=0,$B$5&lt;=0,$B$4&lt;1,NOT(OR($B$6="DOWN",$B$6="UP"))),"ERROR",IF(B29&lt;C29,"ERROR",IF(AND(E29&lt;&gt;"",E29&gt;J29),"ERROR",IF(T29&gt;U29,"ERROR",IF(W29&gt;X29,"ERROR",IF(AND(B29&gt;0,G29=0),"ERROR",IF(AND(C29&gt;0,I29=0),"ERROR",IF(AND(D29&gt;0,ROUND(Y29,6)&lt;ROUND($B$2*D29/100,6)),"WARNING","OK")))))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OR($B$2&lt;=0,$B$5&lt;=0,$B$4&lt;1,NOT(OR($B$6="DOWN",$B$6="UP"))),"ERROR",IF(B30&lt;C30,"ERROR",IF(AND(E30&lt;&gt;"",E30&gt;J30),"ERROR",IF(T30&gt;U30,"ERROR",IF(W30&gt;X30,"ERROR",IF(AND(B30&gt;0,G30=0),"ERROR",IF(AND(C30&gt;0,I30=0),"ERROR",IF(AND(D30&gt;0,ROUND(Y30,6)&lt;ROUND($B$2*D30/100,6)),"WARNING","OK")))))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OR($B$2&lt;=0,$B$5&lt;=0,$B$4&lt;1,NOT(OR($B$6="DOWN",$B$6="UP"))),"ERROR",IF(B35&lt;C35,"ERROR",IF(AND(E35&lt;&gt;"",E35&gt;J35),"ERROR",IF(T35&gt;U35,"ERROR",IF(W35&gt;X35,"ERROR",IF(AND(B35&gt;0,G35=0),"ERROR",IF(AND(C35&gt;0,I35=0),"ERROR",IF(AND(D35&gt;0,ROUND(Y35,6)&lt;ROUND($B$2*D35/100,6)),"WARNING","OK")))))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OR($B$2&lt;=0,$B$5&lt;=0,$B$4&lt;1,NOT(OR($B$6="DOWN",$B$6="UP"))),"ERROR",IF(B36&lt;C36,"ERROR",IF(AND(E36&lt;&gt;"",E36&gt;J36),"ERROR",IF(T36&gt;U36,"ERROR",IF(W36&gt;X36,"ERROR",IF(AND(B36&gt;0,G36=0),"ERROR",IF(AND(C36&gt;0,I36=0),"ERROR",IF(AND(D36&gt;0,ROUND(Y36,6)&lt;ROUND($B$2*D36/100,6)),"WARNING","OK")))))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OR($B$2&lt;=0,$B$5&lt;=0,$B$4&lt;1,NOT(OR($B$6="DOWN",$B$6="UP"))),"ERROR",IF(B37&lt;C37,"ERROR",IF(AND(E37&lt;&gt;"",E37&gt;J37),"ERROR",IF(T37&gt;U37,"ERROR",IF(W37&gt;X37,"ERROR",IF(AND(B37&gt;0,G37=0),"ERROR",IF(AND(C37&gt;0,I37=0),"ERROR",IF(AND(D37&gt;0,ROUND(Y37,6)&lt;ROUND($B$2*D37/100,6)),"WARNING","OK")))))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OR($B$2&lt;=0,$B$5&lt;=0,$B$4&lt;1,NOT(OR($B$6="DOWN",$B$6="UP"))),"ERROR",IF(B38&lt;C38,"ERROR",IF(AND(E38&lt;&gt;"",E38&gt;J38),"ERROR",IF(T38&gt;U38,"ERROR",IF(W38&gt;X38,"ERROR",IF(AND(B38&gt;0,G38=0),"ERROR",IF(AND(C38&gt;0,I38=0),"ERROR",IF(AND(D38&gt;0,ROUND(Y38,6)&lt;ROUND($B$2*D38/100,6)),"WARNING","OK")))))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OR($B$2&lt;=0,$B$5&lt;=0,$B$4&lt;1,NOT(OR($B$6="DOWN",$B$6="UP"))),"ERROR",IF(B39&lt;C39,"ERROR",IF(AND(E39&lt;&gt;"",E39&gt;J39),"ERROR",IF(T39&gt;U39,"ERROR",IF(W39&gt;X39,"ERROR",IF(AND(B39&gt;0,G39=0),"ERROR",IF(AND(C39&gt;0,I39=0),"ERROR",IF(AND(D39&gt;0,ROUND(Y39,6)&lt;ROUND($B$2*D39/100,6)),"WARNING","OK")))))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  <row r="55">
      <c r="A55" s="1" t="inlineStr">
        <is>
          <t>HUMAN-READABLE LEVEL SUMMARY</t>
        </is>
      </c>
    </row>
    <row r="56">
      <c r="A56" s="2" t="inlineStr">
        <is>
          <t>Level</t>
        </is>
      </c>
      <c r="B56" s="2" t="inlineStr">
        <is>
          <t>Direction</t>
        </is>
      </c>
      <c r="C56" s="2" t="inlineStr">
        <is>
          <t>Action Big</t>
        </is>
      </c>
      <c r="D56" s="2" t="inlineStr">
        <is>
          <t>Big %</t>
        </is>
      </c>
      <c r="E56" s="2" t="inlineStr">
        <is>
          <t>Big Lot</t>
        </is>
      </c>
      <c r="F56" s="2" t="inlineStr">
        <is>
          <t>Action Small</t>
        </is>
      </c>
      <c r="G56" s="2" t="inlineStr">
        <is>
          <t>Small %</t>
        </is>
      </c>
      <c r="H56" s="2" t="inlineStr">
        <is>
          <t>Small Lot</t>
        </is>
      </c>
      <c r="I56" s="2" t="inlineStr">
        <is>
          <t>Close Action</t>
        </is>
      </c>
      <c r="J56" s="2" t="inlineStr">
        <is>
          <t>Close %</t>
        </is>
      </c>
      <c r="K56" s="2" t="inlineStr">
        <is>
          <t>Close Lot</t>
        </is>
      </c>
      <c r="L56" s="2" t="inlineStr">
        <is>
          <t>Start Remaining %</t>
        </is>
      </c>
      <c r="M56" s="2" t="inlineStr">
        <is>
          <t>Start Remaining Lot</t>
        </is>
      </c>
      <c r="N56" s="2" t="inlineStr">
        <is>
          <t>Total Main %</t>
        </is>
      </c>
      <c r="O56" s="2" t="inlineStr">
        <is>
          <t>Total Opposite %</t>
        </is>
      </c>
      <c r="P56" s="2" t="inlineStr">
        <is>
          <t>Skew %</t>
        </is>
      </c>
      <c r="Q56" s="2" t="inlineStr">
        <is>
          <t>Rounded Main Lot</t>
        </is>
      </c>
      <c r="R56" s="2" t="inlineStr">
        <is>
          <t>Rounded Opp Lot</t>
        </is>
      </c>
      <c r="S56" s="2" t="inlineStr">
        <is>
          <t>Rounded Skew Lot</t>
        </is>
      </c>
      <c r="T56" s="2" t="inlineStr">
        <is>
          <t>Status</t>
        </is>
      </c>
      <c r="U56" s="2" t="inlineStr">
        <is>
          <t>Human Comment</t>
        </is>
      </c>
    </row>
    <row r="57">
      <c r="A57" t="n">
        <v>1</v>
      </c>
      <c r="B57">
        <f>$B$6</f>
        <v/>
      </c>
      <c r="C57">
        <f>IF($B$6="DOWN","Open Big BUY","Open Big SELL")</f>
        <v/>
      </c>
      <c r="D57">
        <f>IF($B$6="DOWN",B26,B35)</f>
        <v/>
      </c>
      <c r="E57">
        <f>IF($B$6="DOWN",G26,G35)</f>
        <v/>
      </c>
      <c r="F57">
        <f>IF($B$6="DOWN","Open Small SELL","Open Small BUY")</f>
        <v/>
      </c>
      <c r="G57">
        <f>IF($B$6="DOWN",C26,C35)</f>
        <v/>
      </c>
      <c r="H57">
        <f>IF($B$6="DOWN",I26,I35)</f>
        <v/>
      </c>
      <c r="I57">
        <f>IF($B$6="DOWN","Close Start BUY","Close Start SELL")</f>
        <v/>
      </c>
      <c r="J57">
        <f>IF($B$6="DOWN",N26,N35)</f>
        <v/>
      </c>
      <c r="K57">
        <f>IF($B$6="DOWN",P26,P35)</f>
        <v/>
      </c>
      <c r="L57">
        <f>IF($B$6="DOWN",Q26,Q35)</f>
        <v/>
      </c>
      <c r="M57">
        <f>$B$2*L57/100</f>
        <v/>
      </c>
      <c r="N57">
        <f>IF($B$6="DOWN",T26,T35)</f>
        <v/>
      </c>
      <c r="O57">
        <f>IF($B$6="DOWN",U26,U35)</f>
        <v/>
      </c>
      <c r="P57">
        <f>IF($B$6="DOWN",V26,V35)</f>
        <v/>
      </c>
      <c r="Q57">
        <f>IF($B$6="DOWN",W26,W35)</f>
        <v/>
      </c>
      <c r="R57">
        <f>IF($B$6="DOWN",X26,X35)</f>
        <v/>
      </c>
      <c r="S57">
        <f>IF($B$6="DOWN",Y26,Y35)</f>
        <v/>
      </c>
      <c r="T57">
        <f>IF($B$6="DOWN",Z26,Z35)</f>
        <v/>
      </c>
      <c r="U57">
        <f>"Level "&amp;A57&amp;": "&amp;IF($B$6="DOWN","price goes DOWN. ","price goes UP. ")&amp;C57&amp;" "&amp;ROUND(E57,2)&amp;" lot, "&amp;F57&amp;" "&amp;ROUND(H57,2)&amp;" lot, "&amp;I57&amp;" "&amp;ROUND(K57,2)&amp;" lot. Start remains "&amp;ROUND(M57,2)&amp;" lot. Total Main = "&amp;N57&amp;"%, Total Opposite = "&amp;O57&amp;"%, Skew = "&amp;P57&amp;"%, Status = "&amp;T57&amp;"."</f>
        <v/>
      </c>
    </row>
    <row r="58">
      <c r="A58" t="n">
        <v>2</v>
      </c>
      <c r="B58">
        <f>$B$6</f>
        <v/>
      </c>
      <c r="C58">
        <f>IF($B$6="DOWN","Open Big BUY","Open Big SELL")</f>
        <v/>
      </c>
      <c r="D58">
        <f>IF($B$6="DOWN",B27,B36)</f>
        <v/>
      </c>
      <c r="E58">
        <f>IF($B$6="DOWN",G27,G36)</f>
        <v/>
      </c>
      <c r="F58">
        <f>IF($B$6="DOWN","Open Small SELL","Open Small BUY")</f>
        <v/>
      </c>
      <c r="G58">
        <f>IF($B$6="DOWN",C27,C36)</f>
        <v/>
      </c>
      <c r="H58">
        <f>IF($B$6="DOWN",I27,I36)</f>
        <v/>
      </c>
      <c r="I58">
        <f>IF($B$6="DOWN","Close Start BUY","Close Start SELL")</f>
        <v/>
      </c>
      <c r="J58">
        <f>IF($B$6="DOWN",N27,N36)</f>
        <v/>
      </c>
      <c r="K58">
        <f>IF($B$6="DOWN",P27,P36)</f>
        <v/>
      </c>
      <c r="L58">
        <f>IF($B$6="DOWN",Q27,Q36)</f>
        <v/>
      </c>
      <c r="M58">
        <f>$B$2*L58/100</f>
        <v/>
      </c>
      <c r="N58">
        <f>IF($B$6="DOWN",T27,T36)</f>
        <v/>
      </c>
      <c r="O58">
        <f>IF($B$6="DOWN",U27,U36)</f>
        <v/>
      </c>
      <c r="P58">
        <f>IF($B$6="DOWN",V27,V36)</f>
        <v/>
      </c>
      <c r="Q58">
        <f>IF($B$6="DOWN",W27,W36)</f>
        <v/>
      </c>
      <c r="R58">
        <f>IF($B$6="DOWN",X27,X36)</f>
        <v/>
      </c>
      <c r="S58">
        <f>IF($B$6="DOWN",Y27,Y36)</f>
        <v/>
      </c>
      <c r="T58">
        <f>IF($B$6="DOWN",Z27,Z36)</f>
        <v/>
      </c>
      <c r="U58">
        <f>"Level "&amp;A58&amp;": "&amp;IF($B$6="DOWN","price goes DOWN. ","price goes UP. ")&amp;C58&amp;" "&amp;ROUND(E58,2)&amp;" lot, "&amp;F58&amp;" "&amp;ROUND(H58,2)&amp;" lot, "&amp;I58&amp;" "&amp;ROUND(K58,2)&amp;" lot. Start remains "&amp;ROUND(M58,2)&amp;" lot. Total Main = "&amp;N58&amp;"%, Total Opposite = "&amp;O58&amp;"%, Skew = "&amp;P58&amp;"%, Status = "&amp;T58&amp;"."</f>
        <v/>
      </c>
    </row>
    <row r="59">
      <c r="A59" t="n">
        <v>3</v>
      </c>
      <c r="B59">
        <f>$B$6</f>
        <v/>
      </c>
      <c r="C59">
        <f>IF($B$6="DOWN","Open Big BUY","Open Big SELL")</f>
        <v/>
      </c>
      <c r="D59">
        <f>IF($B$6="DOWN",B28,B37)</f>
        <v/>
      </c>
      <c r="E59">
        <f>IF($B$6="DOWN",G28,G37)</f>
        <v/>
      </c>
      <c r="F59">
        <f>IF($B$6="DOWN","Open Small SELL","Open Small BUY")</f>
        <v/>
      </c>
      <c r="G59">
        <f>IF($B$6="DOWN",C28,C37)</f>
        <v/>
      </c>
      <c r="H59">
        <f>IF($B$6="DOWN",I28,I37)</f>
        <v/>
      </c>
      <c r="I59">
        <f>IF($B$6="DOWN","Close Start BUY","Close Start SELL")</f>
        <v/>
      </c>
      <c r="J59">
        <f>IF($B$6="DOWN",N28,N37)</f>
        <v/>
      </c>
      <c r="K59">
        <f>IF($B$6="DOWN",P28,P37)</f>
        <v/>
      </c>
      <c r="L59">
        <f>IF($B$6="DOWN",Q28,Q37)</f>
        <v/>
      </c>
      <c r="M59">
        <f>$B$2*L59/100</f>
        <v/>
      </c>
      <c r="N59">
        <f>IF($B$6="DOWN",T28,T37)</f>
        <v/>
      </c>
      <c r="O59">
        <f>IF($B$6="DOWN",U28,U37)</f>
        <v/>
      </c>
      <c r="P59">
        <f>IF($B$6="DOWN",V28,V37)</f>
        <v/>
      </c>
      <c r="Q59">
        <f>IF($B$6="DOWN",W28,W37)</f>
        <v/>
      </c>
      <c r="R59">
        <f>IF($B$6="DOWN",X28,X37)</f>
        <v/>
      </c>
      <c r="S59">
        <f>IF($B$6="DOWN",Y28,Y37)</f>
        <v/>
      </c>
      <c r="T59">
        <f>IF($B$6="DOWN",Z28,Z37)</f>
        <v/>
      </c>
      <c r="U59">
        <f>"Level "&amp;A59&amp;": "&amp;IF($B$6="DOWN","price goes DOWN. ","price goes UP. ")&amp;C59&amp;" "&amp;ROUND(E59,2)&amp;" lot, "&amp;F59&amp;" "&amp;ROUND(H59,2)&amp;" lot, "&amp;I59&amp;" "&amp;ROUND(K59,2)&amp;" lot. Start remains "&amp;ROUND(M59,2)&amp;" lot. Total Main = "&amp;N59&amp;"%, Total Opposite = "&amp;O59&amp;"%, Skew = "&amp;P59&amp;"%, Status = "&amp;T59&amp;"."</f>
        <v/>
      </c>
    </row>
    <row r="60">
      <c r="A60" t="n">
        <v>4</v>
      </c>
      <c r="B60">
        <f>$B$6</f>
        <v/>
      </c>
      <c r="C60">
        <f>IF($B$6="DOWN","Open Big BUY","Open Big SELL")</f>
        <v/>
      </c>
      <c r="D60">
        <f>IF($B$6="DOWN",B29,B38)</f>
        <v/>
      </c>
      <c r="E60">
        <f>IF($B$6="DOWN",G29,G38)</f>
        <v/>
      </c>
      <c r="F60">
        <f>IF($B$6="DOWN","Open Small SELL","Open Small BUY")</f>
        <v/>
      </c>
      <c r="G60">
        <f>IF($B$6="DOWN",C29,C38)</f>
        <v/>
      </c>
      <c r="H60">
        <f>IF($B$6="DOWN",I29,I38)</f>
        <v/>
      </c>
      <c r="I60">
        <f>IF($B$6="DOWN","Close Start BUY","Close Start SELL")</f>
        <v/>
      </c>
      <c r="J60">
        <f>IF($B$6="DOWN",N29,N38)</f>
        <v/>
      </c>
      <c r="K60">
        <f>IF($B$6="DOWN",P29,P38)</f>
        <v/>
      </c>
      <c r="L60">
        <f>IF($B$6="DOWN",Q29,Q38)</f>
        <v/>
      </c>
      <c r="M60">
        <f>$B$2*L60/100</f>
        <v/>
      </c>
      <c r="N60">
        <f>IF($B$6="DOWN",T29,T38)</f>
        <v/>
      </c>
      <c r="O60">
        <f>IF($B$6="DOWN",U29,U38)</f>
        <v/>
      </c>
      <c r="P60">
        <f>IF($B$6="DOWN",V29,V38)</f>
        <v/>
      </c>
      <c r="Q60">
        <f>IF($B$6="DOWN",W29,W38)</f>
        <v/>
      </c>
      <c r="R60">
        <f>IF($B$6="DOWN",X29,X38)</f>
        <v/>
      </c>
      <c r="S60">
        <f>IF($B$6="DOWN",Y29,Y38)</f>
        <v/>
      </c>
      <c r="T60">
        <f>IF($B$6="DOWN",Z29,Z38)</f>
        <v/>
      </c>
      <c r="U60">
        <f>"Level "&amp;A60&amp;": "&amp;IF($B$6="DOWN","price goes DOWN. ","price goes UP. ")&amp;C60&amp;" "&amp;ROUND(E60,2)&amp;" lot, "&amp;F60&amp;" "&amp;ROUND(H60,2)&amp;" lot, "&amp;I60&amp;" "&amp;ROUND(K60,2)&amp;" lot. Start remains "&amp;ROUND(M60,2)&amp;" lot. Total Main = "&amp;N60&amp;"%, Total Opposite = "&amp;O60&amp;"%, Skew = "&amp;P60&amp;"%, Status = "&amp;T60&amp;"."</f>
        <v/>
      </c>
    </row>
    <row r="61">
      <c r="A61" t="n">
        <v>5</v>
      </c>
      <c r="B61">
        <f>$B$6</f>
        <v/>
      </c>
      <c r="C61">
        <f>IF($B$6="DOWN","Open Big BUY","Open Big SELL")</f>
        <v/>
      </c>
      <c r="D61">
        <f>IF($B$6="DOWN",B30,B39)</f>
        <v/>
      </c>
      <c r="E61">
        <f>IF($B$6="DOWN",G30,G39)</f>
        <v/>
      </c>
      <c r="F61">
        <f>IF($B$6="DOWN","Open Small SELL","Open Small BUY")</f>
        <v/>
      </c>
      <c r="G61">
        <f>IF($B$6="DOWN",C30,C39)</f>
        <v/>
      </c>
      <c r="H61">
        <f>IF($B$6="DOWN",I30,I39)</f>
        <v/>
      </c>
      <c r="I61">
        <f>IF($B$6="DOWN","Close Start BUY","Close Start SELL")</f>
        <v/>
      </c>
      <c r="J61">
        <f>IF($B$6="DOWN",N30,N39)</f>
        <v/>
      </c>
      <c r="K61">
        <f>IF($B$6="DOWN",P30,P39)</f>
        <v/>
      </c>
      <c r="L61">
        <f>IF($B$6="DOWN",Q30,Q39)</f>
        <v/>
      </c>
      <c r="M61">
        <f>$B$2*L61/100</f>
        <v/>
      </c>
      <c r="N61">
        <f>IF($B$6="DOWN",T30,T39)</f>
        <v/>
      </c>
      <c r="O61">
        <f>IF($B$6="DOWN",U30,U39)</f>
        <v/>
      </c>
      <c r="P61">
        <f>IF($B$6="DOWN",V30,V39)</f>
        <v/>
      </c>
      <c r="Q61">
        <f>IF($B$6="DOWN",W30,W39)</f>
        <v/>
      </c>
      <c r="R61">
        <f>IF($B$6="DOWN",X30,X39)</f>
        <v/>
      </c>
      <c r="S61">
        <f>IF($B$6="DOWN",Y30,Y39)</f>
        <v/>
      </c>
      <c r="T61">
        <f>IF($B$6="DOWN",Z30,Z39)</f>
        <v/>
      </c>
      <c r="U61">
        <f>"Level "&amp;A61&amp;": "&amp;IF($B$6="DOWN","price goes DOWN. ","price goes UP. ")&amp;C61&amp;" "&amp;ROUND(E61,2)&amp;" lot, "&amp;F61&amp;" "&amp;ROUND(H61,2)&amp;" lot, "&amp;I61&amp;" "&amp;ROUND(K61,2)&amp;" lot. Start remains "&amp;ROUND(M61,2)&amp;" lot. Total Main = "&amp;N61&amp;"%, Total Opposite = "&amp;O61&amp;"%, Skew = "&amp;P61&amp;"%, Status = "&amp;T61&amp;"."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ИТОГОВЫЙ ЧЕЛОВЕЧЕСКИЙ РАСЧЁТ ВСЕХ УРОВНЕЙ</t>
        </is>
      </c>
    </row>
    <row r="2">
      <c r="A2" s="2" t="inlineStr">
        <is>
          <t>Level</t>
        </is>
      </c>
      <c r="B2" s="2" t="inlineStr">
        <is>
          <t>Direction</t>
        </is>
      </c>
      <c r="C2" s="2" t="inlineStr">
        <is>
          <t>Action Big</t>
        </is>
      </c>
      <c r="D2" s="2" t="inlineStr">
        <is>
          <t>Big %</t>
        </is>
      </c>
      <c r="E2" s="2" t="inlineStr">
        <is>
          <t>Big Lot</t>
        </is>
      </c>
      <c r="F2" s="2" t="inlineStr">
        <is>
          <t>Action Small</t>
        </is>
      </c>
      <c r="G2" s="2" t="inlineStr">
        <is>
          <t>Small %</t>
        </is>
      </c>
      <c r="H2" s="2" t="inlineStr">
        <is>
          <t>Small Lot</t>
        </is>
      </c>
      <c r="I2" s="2" t="inlineStr">
        <is>
          <t>Close Action</t>
        </is>
      </c>
      <c r="J2" s="2" t="inlineStr">
        <is>
          <t>Close %</t>
        </is>
      </c>
      <c r="K2" s="2" t="inlineStr">
        <is>
          <t>Close Lot</t>
        </is>
      </c>
      <c r="L2" s="2" t="inlineStr">
        <is>
          <t>Start Remaining %</t>
        </is>
      </c>
      <c r="M2" s="2" t="inlineStr">
        <is>
          <t>Start Remaining Lot</t>
        </is>
      </c>
      <c r="N2" s="2" t="inlineStr">
        <is>
          <t>Total Main %</t>
        </is>
      </c>
      <c r="O2" s="2" t="inlineStr">
        <is>
          <t>Total Opposite %</t>
        </is>
      </c>
      <c r="P2" s="2" t="inlineStr">
        <is>
          <t>Skew %</t>
        </is>
      </c>
      <c r="Q2" s="2" t="inlineStr">
        <is>
          <t>Rounded Main Lot</t>
        </is>
      </c>
      <c r="R2" s="2" t="inlineStr">
        <is>
          <t>Rounded Opp Lot</t>
        </is>
      </c>
      <c r="S2" s="2" t="inlineStr">
        <is>
          <t>Rounded Skew Lot</t>
        </is>
      </c>
      <c r="T2" s="2" t="inlineStr">
        <is>
          <t>Status</t>
        </is>
      </c>
      <c r="U2" s="2" t="inlineStr">
        <is>
          <t>Human Comment</t>
        </is>
      </c>
    </row>
    <row r="3">
      <c r="A3">
        <f>Calculator!A57</f>
        <v/>
      </c>
      <c r="B3">
        <f>Calculator!B57</f>
        <v/>
      </c>
      <c r="C3">
        <f>Calculator!C57</f>
        <v/>
      </c>
      <c r="D3">
        <f>Calculator!D57</f>
        <v/>
      </c>
      <c r="E3">
        <f>Calculator!E57</f>
        <v/>
      </c>
      <c r="F3">
        <f>Calculator!F57</f>
        <v/>
      </c>
      <c r="G3">
        <f>Calculator!G57</f>
        <v/>
      </c>
      <c r="H3">
        <f>Calculator!H57</f>
        <v/>
      </c>
      <c r="I3">
        <f>Calculator!I57</f>
        <v/>
      </c>
      <c r="J3">
        <f>Calculator!J57</f>
        <v/>
      </c>
      <c r="K3">
        <f>Calculator!K57</f>
        <v/>
      </c>
      <c r="L3">
        <f>Calculator!L57</f>
        <v/>
      </c>
      <c r="M3">
        <f>Calculator!M57</f>
        <v/>
      </c>
      <c r="N3">
        <f>Calculator!N57</f>
        <v/>
      </c>
      <c r="O3">
        <f>Calculator!O57</f>
        <v/>
      </c>
      <c r="P3">
        <f>Calculator!P57</f>
        <v/>
      </c>
      <c r="Q3">
        <f>Calculator!Q57</f>
        <v/>
      </c>
      <c r="R3">
        <f>Calculator!R57</f>
        <v/>
      </c>
      <c r="S3">
        <f>Calculator!S57</f>
        <v/>
      </c>
      <c r="T3">
        <f>Calculator!T57</f>
        <v/>
      </c>
      <c r="U3">
        <f>Calculator!U57</f>
        <v/>
      </c>
    </row>
    <row r="4">
      <c r="A4">
        <f>Calculator!A58</f>
        <v/>
      </c>
      <c r="B4">
        <f>Calculator!B58</f>
        <v/>
      </c>
      <c r="C4">
        <f>Calculator!C58</f>
        <v/>
      </c>
      <c r="D4">
        <f>Calculator!D58</f>
        <v/>
      </c>
      <c r="E4">
        <f>Calculator!E58</f>
        <v/>
      </c>
      <c r="F4">
        <f>Calculator!F58</f>
        <v/>
      </c>
      <c r="G4">
        <f>Calculator!G58</f>
        <v/>
      </c>
      <c r="H4">
        <f>Calculator!H58</f>
        <v/>
      </c>
      <c r="I4">
        <f>Calculator!I58</f>
        <v/>
      </c>
      <c r="J4">
        <f>Calculator!J58</f>
        <v/>
      </c>
      <c r="K4">
        <f>Calculator!K58</f>
        <v/>
      </c>
      <c r="L4">
        <f>Calculator!L58</f>
        <v/>
      </c>
      <c r="M4">
        <f>Calculator!M58</f>
        <v/>
      </c>
      <c r="N4">
        <f>Calculator!N58</f>
        <v/>
      </c>
      <c r="O4">
        <f>Calculator!O58</f>
        <v/>
      </c>
      <c r="P4">
        <f>Calculator!P58</f>
        <v/>
      </c>
      <c r="Q4">
        <f>Calculator!Q58</f>
        <v/>
      </c>
      <c r="R4">
        <f>Calculator!R58</f>
        <v/>
      </c>
      <c r="S4">
        <f>Calculator!S58</f>
        <v/>
      </c>
      <c r="T4">
        <f>Calculator!T58</f>
        <v/>
      </c>
      <c r="U4">
        <f>Calculator!U58</f>
        <v/>
      </c>
    </row>
    <row r="5">
      <c r="A5">
        <f>Calculator!A59</f>
        <v/>
      </c>
      <c r="B5">
        <f>Calculator!B59</f>
        <v/>
      </c>
      <c r="C5">
        <f>Calculator!C59</f>
        <v/>
      </c>
      <c r="D5">
        <f>Calculator!D59</f>
        <v/>
      </c>
      <c r="E5">
        <f>Calculator!E59</f>
        <v/>
      </c>
      <c r="F5">
        <f>Calculator!F59</f>
        <v/>
      </c>
      <c r="G5">
        <f>Calculator!G59</f>
        <v/>
      </c>
      <c r="H5">
        <f>Calculator!H59</f>
        <v/>
      </c>
      <c r="I5">
        <f>Calculator!I59</f>
        <v/>
      </c>
      <c r="J5">
        <f>Calculator!J59</f>
        <v/>
      </c>
      <c r="K5">
        <f>Calculator!K59</f>
        <v/>
      </c>
      <c r="L5">
        <f>Calculator!L59</f>
        <v/>
      </c>
      <c r="M5">
        <f>Calculator!M59</f>
        <v/>
      </c>
      <c r="N5">
        <f>Calculator!N59</f>
        <v/>
      </c>
      <c r="O5">
        <f>Calculator!O59</f>
        <v/>
      </c>
      <c r="P5">
        <f>Calculator!P59</f>
        <v/>
      </c>
      <c r="Q5">
        <f>Calculator!Q59</f>
        <v/>
      </c>
      <c r="R5">
        <f>Calculator!R59</f>
        <v/>
      </c>
      <c r="S5">
        <f>Calculator!S59</f>
        <v/>
      </c>
      <c r="T5">
        <f>Calculator!T59</f>
        <v/>
      </c>
      <c r="U5">
        <f>Calculator!U59</f>
        <v/>
      </c>
    </row>
    <row r="6">
      <c r="A6">
        <f>Calculator!A60</f>
        <v/>
      </c>
      <c r="B6">
        <f>Calculator!B60</f>
        <v/>
      </c>
      <c r="C6">
        <f>Calculator!C60</f>
        <v/>
      </c>
      <c r="D6">
        <f>Calculator!D60</f>
        <v/>
      </c>
      <c r="E6">
        <f>Calculator!E60</f>
        <v/>
      </c>
      <c r="F6">
        <f>Calculator!F60</f>
        <v/>
      </c>
      <c r="G6">
        <f>Calculator!G60</f>
        <v/>
      </c>
      <c r="H6">
        <f>Calculator!H60</f>
        <v/>
      </c>
      <c r="I6">
        <f>Calculator!I60</f>
        <v/>
      </c>
      <c r="J6">
        <f>Calculator!J60</f>
        <v/>
      </c>
      <c r="K6">
        <f>Calculator!K60</f>
        <v/>
      </c>
      <c r="L6">
        <f>Calculator!L60</f>
        <v/>
      </c>
      <c r="M6">
        <f>Calculator!M60</f>
        <v/>
      </c>
      <c r="N6">
        <f>Calculator!N60</f>
        <v/>
      </c>
      <c r="O6">
        <f>Calculator!O60</f>
        <v/>
      </c>
      <c r="P6">
        <f>Calculator!P60</f>
        <v/>
      </c>
      <c r="Q6">
        <f>Calculator!Q60</f>
        <v/>
      </c>
      <c r="R6">
        <f>Calculator!R60</f>
        <v/>
      </c>
      <c r="S6">
        <f>Calculator!S60</f>
        <v/>
      </c>
      <c r="T6">
        <f>Calculator!T60</f>
        <v/>
      </c>
      <c r="U6">
        <f>Calculator!U60</f>
        <v/>
      </c>
    </row>
    <row r="7">
      <c r="A7">
        <f>Calculator!A61</f>
        <v/>
      </c>
      <c r="B7">
        <f>Calculator!B61</f>
        <v/>
      </c>
      <c r="C7">
        <f>Calculator!C61</f>
        <v/>
      </c>
      <c r="D7">
        <f>Calculator!D61</f>
        <v/>
      </c>
      <c r="E7">
        <f>Calculator!E61</f>
        <v/>
      </c>
      <c r="F7">
        <f>Calculator!F61</f>
        <v/>
      </c>
      <c r="G7">
        <f>Calculator!G61</f>
        <v/>
      </c>
      <c r="H7">
        <f>Calculator!H61</f>
        <v/>
      </c>
      <c r="I7">
        <f>Calculator!I61</f>
        <v/>
      </c>
      <c r="J7">
        <f>Calculator!J61</f>
        <v/>
      </c>
      <c r="K7">
        <f>Calculator!K61</f>
        <v/>
      </c>
      <c r="L7">
        <f>Calculator!L61</f>
        <v/>
      </c>
      <c r="M7">
        <f>Calculator!M61</f>
        <v/>
      </c>
      <c r="N7">
        <f>Calculator!N61</f>
        <v/>
      </c>
      <c r="O7">
        <f>Calculator!O61</f>
        <v/>
      </c>
      <c r="P7">
        <f>Calculator!P61</f>
        <v/>
      </c>
      <c r="Q7">
        <f>Calculator!Q61</f>
        <v/>
      </c>
      <c r="R7">
        <f>Calculator!R61</f>
        <v/>
      </c>
      <c r="S7">
        <f>Calculator!S61</f>
        <v/>
      </c>
      <c r="T7">
        <f>Calculator!T61</f>
        <v/>
      </c>
      <c r="U7">
        <f>Calculator!U61</f>
        <v/>
      </c>
    </row>
    <row r="10">
      <c r="A10" s="1" t="inlineStr">
        <is>
          <t>HUMAN TOTALS</t>
        </is>
      </c>
    </row>
    <row r="11">
      <c r="A11" t="inlineStr">
        <is>
          <t>Sum Big Lots</t>
        </is>
      </c>
      <c r="B11">
        <f>SUM(E3:E7)</f>
        <v/>
      </c>
    </row>
    <row r="12">
      <c r="A12" t="inlineStr">
        <is>
          <t>Sum Small Lots</t>
        </is>
      </c>
      <c r="B12">
        <f>SUM(H3:H7)</f>
        <v/>
      </c>
    </row>
    <row r="13">
      <c r="A13" t="inlineStr">
        <is>
          <t>Sum Close Lots</t>
        </is>
      </c>
      <c r="B13">
        <f>SUM(K3:K7)</f>
        <v/>
      </c>
    </row>
    <row r="14">
      <c r="A14" t="inlineStr">
        <is>
          <t>Final Start Remaining Lot</t>
        </is>
      </c>
      <c r="B14">
        <f>M7</f>
        <v/>
      </c>
    </row>
    <row r="15">
      <c r="A15" t="inlineStr">
        <is>
          <t>Final Total Main %</t>
        </is>
      </c>
      <c r="B15">
        <f>N7</f>
        <v/>
      </c>
    </row>
    <row r="16">
      <c r="A16" t="inlineStr">
        <is>
          <t>Final Total Opposite %</t>
        </is>
      </c>
      <c r="B16">
        <f>O7</f>
        <v/>
      </c>
    </row>
    <row r="17">
      <c r="A17" t="inlineStr">
        <is>
          <t>Final Skew %</t>
        </is>
      </c>
      <c r="B17">
        <f>P7</f>
        <v/>
      </c>
    </row>
    <row r="18">
      <c r="A18" t="inlineStr">
        <is>
          <t>Final Rounded Main Lot</t>
        </is>
      </c>
      <c r="B18">
        <f>Q7</f>
        <v/>
      </c>
    </row>
    <row r="19">
      <c r="A19" t="inlineStr">
        <is>
          <t>Final Rounded Opp Lot</t>
        </is>
      </c>
      <c r="B19">
        <f>R7</f>
        <v/>
      </c>
    </row>
    <row r="20">
      <c r="A20" t="inlineStr">
        <is>
          <t>Final Rounded Skew Lot</t>
        </is>
      </c>
      <c r="B20">
        <f>S7</f>
        <v/>
      </c>
    </row>
    <row r="21">
      <c r="A21" t="inlineStr">
        <is>
          <t>Final Status</t>
        </is>
      </c>
      <c r="B21">
        <f>T7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Actual</t>
        </is>
      </c>
      <c r="C1" s="2" t="inlineStr">
        <is>
          <t>Expected</t>
        </is>
      </c>
      <c r="D1" s="2" t="inlineStr">
        <is>
          <t>Result</t>
        </is>
      </c>
    </row>
    <row r="2">
      <c r="A2" t="inlineStr">
        <is>
          <t>Down Q26</t>
        </is>
      </c>
      <c r="B2">
        <f>Calculator!Q26</f>
        <v/>
      </c>
      <c r="C2" t="n">
        <v>40</v>
      </c>
      <c r="D2">
        <f>IF(ABS(B2-C2)&lt;0.000001,"PASS","FAIL")</f>
        <v/>
      </c>
    </row>
    <row r="3">
      <c r="A3" t="inlineStr">
        <is>
          <t>Down T26</t>
        </is>
      </c>
      <c r="B3">
        <f>Calculator!T26</f>
        <v/>
      </c>
      <c r="C3" t="n">
        <v>130</v>
      </c>
      <c r="D3">
        <f>IF(ABS(B3-C3)&lt;0.000001,"PASS","FAIL")</f>
        <v/>
      </c>
    </row>
    <row r="4">
      <c r="A4" t="inlineStr">
        <is>
          <t>Down U26</t>
        </is>
      </c>
      <c r="B4">
        <f>Calculator!U26</f>
        <v/>
      </c>
      <c r="C4" t="n">
        <v>130</v>
      </c>
      <c r="D4">
        <f>IF(ABS(B4-C4)&lt;0.000001,"PASS","FAIL")</f>
        <v/>
      </c>
    </row>
    <row r="5">
      <c r="A5" t="inlineStr">
        <is>
          <t>Down V26</t>
        </is>
      </c>
      <c r="B5">
        <f>Calculator!V26</f>
        <v/>
      </c>
      <c r="C5" t="n">
        <v>0</v>
      </c>
      <c r="D5">
        <f>IF(ABS(B5-C5)&lt;0.000001,"PASS","FAIL")</f>
        <v/>
      </c>
    </row>
    <row r="6">
      <c r="A6" t="inlineStr">
        <is>
          <t>Down Q30</t>
        </is>
      </c>
      <c r="B6">
        <f>Calculator!Q30</f>
        <v/>
      </c>
      <c r="C6" t="n">
        <v>10</v>
      </c>
      <c r="D6">
        <f>IF(ABS(B6-C6)&lt;0.000001,"PASS","FAIL")</f>
        <v/>
      </c>
    </row>
    <row r="7">
      <c r="A7" t="inlineStr">
        <is>
          <t>Down T30</t>
        </is>
      </c>
      <c r="B7">
        <f>Calculator!T30</f>
        <v/>
      </c>
      <c r="C7" t="n">
        <v>165</v>
      </c>
      <c r="D7">
        <f>IF(ABS(B7-C7)&lt;0.000001,"PASS","FAIL")</f>
        <v/>
      </c>
    </row>
    <row r="8">
      <c r="A8" t="inlineStr">
        <is>
          <t>Down U30</t>
        </is>
      </c>
      <c r="B8">
        <f>Calculator!U30</f>
        <v/>
      </c>
      <c r="C8" t="n">
        <v>175</v>
      </c>
      <c r="D8">
        <f>IF(ABS(B8-C8)&lt;0.000001,"PASS","FAIL")</f>
        <v/>
      </c>
    </row>
    <row r="9">
      <c r="A9" t="inlineStr">
        <is>
          <t>Down V30</t>
        </is>
      </c>
      <c r="B9">
        <f>Calculator!V30</f>
        <v/>
      </c>
      <c r="C9" t="n">
        <v>10</v>
      </c>
      <c r="D9">
        <f>IF(ABS(B9-C9)&lt;0.000001,"PASS","FAIL")</f>
        <v/>
      </c>
    </row>
    <row r="10">
      <c r="A10" t="inlineStr">
        <is>
          <t>Up Q35</t>
        </is>
      </c>
      <c r="B10">
        <f>Calculator!Q35</f>
        <v/>
      </c>
      <c r="C10" t="n">
        <v>40</v>
      </c>
      <c r="D10">
        <f>IF(ABS(B10-C10)&lt;0.000001,"PASS","FAIL")</f>
        <v/>
      </c>
    </row>
    <row r="11">
      <c r="A11" t="inlineStr">
        <is>
          <t>Up T35</t>
        </is>
      </c>
      <c r="B11">
        <f>Calculator!T35</f>
        <v/>
      </c>
      <c r="C11" t="n">
        <v>130</v>
      </c>
      <c r="D11">
        <f>IF(ABS(B11-C11)&lt;0.000001,"PASS","FAIL")</f>
        <v/>
      </c>
    </row>
    <row r="12">
      <c r="A12" t="inlineStr">
        <is>
          <t>Up U35</t>
        </is>
      </c>
      <c r="B12">
        <f>Calculator!U35</f>
        <v/>
      </c>
      <c r="C12" t="n">
        <v>130</v>
      </c>
      <c r="D12">
        <f>IF(ABS(B12-C12)&lt;0.000001,"PASS","FAIL")</f>
        <v/>
      </c>
    </row>
    <row r="13">
      <c r="A13" t="inlineStr">
        <is>
          <t>Up V35</t>
        </is>
      </c>
      <c r="B13">
        <f>Calculator!V35</f>
        <v/>
      </c>
      <c r="C13" t="n">
        <v>0</v>
      </c>
      <c r="D13">
        <f>IF(ABS(B13-C13)&lt;0.000001,"PASS","FAIL")</f>
        <v/>
      </c>
    </row>
    <row r="14">
      <c r="A14" t="inlineStr">
        <is>
          <t>Up Q39</t>
        </is>
      </c>
      <c r="B14">
        <f>Calculator!Q39</f>
        <v/>
      </c>
      <c r="C14" t="n">
        <v>10</v>
      </c>
      <c r="D14">
        <f>IF(ABS(B14-C14)&lt;0.000001,"PASS","FAIL")</f>
        <v/>
      </c>
    </row>
    <row r="15">
      <c r="A15" t="inlineStr">
        <is>
          <t>Up T39</t>
        </is>
      </c>
      <c r="B15">
        <f>Calculator!T39</f>
        <v/>
      </c>
      <c r="C15" t="n">
        <v>165</v>
      </c>
      <c r="D15">
        <f>IF(ABS(B15-C15)&lt;0.000001,"PASS","FAIL")</f>
        <v/>
      </c>
    </row>
    <row r="16">
      <c r="A16" t="inlineStr">
        <is>
          <t>Up U39</t>
        </is>
      </c>
      <c r="B16">
        <f>Calculator!U39</f>
        <v/>
      </c>
      <c r="C16" t="n">
        <v>175</v>
      </c>
      <c r="D16">
        <f>IF(ABS(B16-C16)&lt;0.000001,"PASS","FAIL")</f>
        <v/>
      </c>
    </row>
    <row r="17">
      <c r="A17" t="inlineStr">
        <is>
          <t>Up V39</t>
        </is>
      </c>
      <c r="B17">
        <f>Calculator!V39</f>
        <v/>
      </c>
      <c r="C17" t="n">
        <v>10</v>
      </c>
      <c r="D17">
        <f>IF(ABS(B17-C17)&lt;0.000001,"PASS","FAIL")</f>
        <v/>
      </c>
    </row>
    <row r="18">
      <c r="A18" t="inlineStr">
        <is>
          <t>Summary Main</t>
        </is>
      </c>
      <c r="B18">
        <f>Calculator!B44</f>
        <v/>
      </c>
      <c r="C18" t="n">
        <v>165</v>
      </c>
      <c r="D18">
        <f>IF(ABS(B18-C18)&lt;0.000001,"PASS","FAIL")</f>
        <v/>
      </c>
    </row>
    <row r="19">
      <c r="A19" t="inlineStr">
        <is>
          <t>Summary Opp</t>
        </is>
      </c>
      <c r="B19">
        <f>Calculator!B45</f>
        <v/>
      </c>
      <c r="C19" t="n">
        <v>175</v>
      </c>
      <c r="D19">
        <f>IF(ABS(B19-C19)&lt;0.000001,"PASS","FAIL")</f>
        <v/>
      </c>
    </row>
    <row r="20">
      <c r="A20" t="inlineStr">
        <is>
          <t>Summary Skew</t>
        </is>
      </c>
      <c r="B20">
        <f>Calculator!B46</f>
        <v/>
      </c>
      <c r="C20" t="n">
        <v>10</v>
      </c>
      <c r="D20">
        <f>IF(ABS(B20-C20)&lt;0.000001,"PASS","FAIL")</f>
        <v/>
      </c>
    </row>
    <row r="21">
      <c r="A21" t="inlineStr">
        <is>
          <t>Human L1 Start Remaining Lot</t>
        </is>
      </c>
      <c r="B21">
        <f>HumanSummary!M3</f>
        <v/>
      </c>
      <c r="C21" t="n">
        <v>0.4</v>
      </c>
      <c r="D21">
        <f>IF(ABS(B21-C21)&lt;0.000001,"PASS","FAIL")</f>
        <v/>
      </c>
    </row>
    <row r="22">
      <c r="A22" t="inlineStr">
        <is>
          <t>Human L1 Total Main</t>
        </is>
      </c>
      <c r="B22">
        <f>HumanSummary!N3</f>
        <v/>
      </c>
      <c r="C22" t="n">
        <v>130</v>
      </c>
      <c r="D22">
        <f>IF(ABS(B22-C22)&lt;0.000001,"PASS","FAIL")</f>
        <v/>
      </c>
    </row>
    <row r="23">
      <c r="A23" t="inlineStr">
        <is>
          <t>Human L1 Total Opp</t>
        </is>
      </c>
      <c r="B23">
        <f>HumanSummary!O3</f>
        <v/>
      </c>
      <c r="C23" t="n">
        <v>130</v>
      </c>
      <c r="D23">
        <f>IF(ABS(B23-C23)&lt;0.000001,"PASS","FAIL")</f>
        <v/>
      </c>
    </row>
    <row r="24">
      <c r="A24" t="inlineStr">
        <is>
          <t>Human Sum Big</t>
        </is>
      </c>
      <c r="B24">
        <f>HumanSummary!B11</f>
        <v/>
      </c>
      <c r="C24" t="n">
        <v>1.55</v>
      </c>
      <c r="D24">
        <f>IF(ABS(B24-C24)&lt;0.000001,"PASS","FAIL")</f>
        <v/>
      </c>
    </row>
    <row r="25">
      <c r="A25" t="inlineStr">
        <is>
          <t>Human Comment contains Total Main = 130</t>
        </is>
      </c>
      <c r="B25">
        <f>IF(ISNUMBER(SEARCH("Total Main = 130",HumanSummary!U3)),"PASS","FAIL")</f>
        <v/>
      </c>
      <c r="C25" t="inlineStr">
        <is>
          <t>PASS</t>
        </is>
      </c>
      <c r="D25">
        <f>IF(B25=C25,"PASS","FAIL")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Manual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2026-05-21T10:01:06Z</dcterms:created>
  <dcterms:modified xsi:type="dcterms:W3CDTF">2026-05-21T10:01:06Z</dcterms:modified>
</cp:coreProperties>
</file>