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Tests" sheetId="2" state="visible" r:id="rId2"/>
    <sheet name="Manual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  <c r="E1" s="2" t="inlineStr">
        <is>
          <t>STATUS / CHECKS</t>
        </is>
      </c>
    </row>
    <row r="2">
      <c r="A2" t="inlineStr">
        <is>
          <t>StartLot</t>
        </is>
      </c>
      <c r="B2" t="n">
        <v>1</v>
      </c>
      <c r="C2" t="inlineStr">
        <is>
          <t>стартовый лот</t>
        </is>
      </c>
      <c r="E2" t="inlineStr">
        <is>
          <t>StartLot</t>
        </is>
      </c>
      <c r="F2">
        <f>IF(B2&lt;=0,ERROR: Invalid StartLot,OK)</f>
        <v/>
      </c>
    </row>
    <row r="3">
      <c r="A3" t="inlineStr">
        <is>
          <t>StepPoints</t>
        </is>
      </c>
      <c r="B3" t="n">
        <v>100</v>
      </c>
      <c r="C3" t="inlineStr">
        <is>
          <t>шаг сетки в пунктах</t>
        </is>
      </c>
      <c r="E3" t="inlineStr">
        <is>
          <t>LotStep</t>
        </is>
      </c>
      <c r="F3">
        <f>IF(B5&lt;=0,ERROR: Invalid LotStep,OK)</f>
        <v/>
      </c>
    </row>
    <row r="4">
      <c r="A4" t="inlineStr">
        <is>
          <t>MaxLevels</t>
        </is>
      </c>
      <c r="B4" t="n">
        <v>5</v>
      </c>
      <c r="C4" t="inlineStr">
        <is>
          <t>максимум уровней</t>
        </is>
      </c>
      <c r="E4" t="inlineStr">
        <is>
          <t>MaxLevels</t>
        </is>
      </c>
      <c r="F4">
        <f>IF(B4&lt;1,ERROR: Invalid MaxLevels,OK)</f>
        <v/>
      </c>
    </row>
    <row r="5">
      <c r="A5" t="inlineStr">
        <is>
          <t>LotStep</t>
        </is>
      </c>
      <c r="B5" t="n">
        <v>0.01</v>
      </c>
      <c r="C5" t="inlineStr">
        <is>
          <t>шаг лота брокера</t>
        </is>
      </c>
      <c r="E5" t="inlineStr">
        <is>
          <t>Direction</t>
        </is>
      </c>
      <c r="F5">
        <f>IF(OR(B6=DOWN,B6=UP),OK,ERROR: Invalid Direction)</f>
        <v/>
      </c>
    </row>
    <row r="6">
      <c r="A6" t="inlineStr">
        <is>
          <t>Direction</t>
        </is>
      </c>
      <c r="B6" t="inlineStr">
        <is>
          <t>DOWN</t>
        </is>
      </c>
      <c r="C6" t="inlineStr">
        <is>
          <t>выбранный сценарий DOWN/UP</t>
        </is>
      </c>
      <c r="E6" t="inlineStr">
        <is>
          <t>StepPoints</t>
        </is>
      </c>
      <c r="F6">
        <f>IF(B3&lt;=0,ERROR: Invalid StepPoints,OK)</f>
        <v/>
      </c>
    </row>
    <row r="7">
      <c r="A7" t="inlineStr">
        <is>
          <t>UseRounding</t>
        </is>
      </c>
      <c r="B7" t="b">
        <v>1</v>
      </c>
      <c r="C7" t="inlineStr">
        <is>
          <t>использовать округление</t>
        </is>
      </c>
      <c r="E7" t="inlineStr">
        <is>
          <t>PointValue</t>
        </is>
      </c>
      <c r="F7">
        <f>IF(B11&lt;=0,ERROR: Invalid PointValue,OK)</f>
        <v/>
      </c>
    </row>
    <row r="8">
      <c r="A8" t="inlineStr">
        <is>
          <t>BigRoundMode</t>
        </is>
      </c>
      <c r="B8" t="inlineStr">
        <is>
          <t>DOWN</t>
        </is>
      </c>
      <c r="C8" t="inlineStr">
        <is>
          <t>Big округлять вниз</t>
        </is>
      </c>
      <c r="E8" t="inlineStr">
        <is>
          <t>Spread</t>
        </is>
      </c>
      <c r="F8">
        <f>IF(B12&lt;0,ERROR: Invalid Spread,OK)</f>
        <v/>
      </c>
    </row>
    <row r="9">
      <c r="A9" t="inlineStr">
        <is>
          <t>SmallRoundMode</t>
        </is>
      </c>
      <c r="B9" t="inlineStr">
        <is>
          <t>UP</t>
        </is>
      </c>
      <c r="C9" t="inlineStr">
        <is>
          <t>Small округлять вверх</t>
        </is>
      </c>
      <c r="E9" t="inlineStr">
        <is>
          <t>Commission</t>
        </is>
      </c>
      <c r="F9">
        <f>IF(B13&lt;0,ERROR: Invalid Commission,OK)</f>
        <v/>
      </c>
    </row>
    <row r="10">
      <c r="A10" t="inlineStr">
        <is>
          <t>CloseRoundMode</t>
        </is>
      </c>
      <c r="B10" t="inlineStr">
        <is>
          <t>SAFE</t>
        </is>
      </c>
      <c r="C10" t="inlineStr">
        <is>
          <t>защитное округление Close</t>
        </is>
      </c>
    </row>
    <row r="11">
      <c r="A11" t="inlineStr">
        <is>
          <t>PointValue</t>
        </is>
      </c>
      <c r="B11" t="n">
        <v>1</v>
      </c>
      <c r="C11" t="inlineStr">
        <is>
          <t>стоимость пункта</t>
        </is>
      </c>
    </row>
    <row r="12">
      <c r="A12" t="inlineStr">
        <is>
          <t>Spread</t>
        </is>
      </c>
      <c r="B12" t="n">
        <v>0</v>
      </c>
      <c r="C12" t="inlineStr">
        <is>
          <t>спред</t>
        </is>
      </c>
    </row>
    <row r="13">
      <c r="A13" t="inlineStr">
        <is>
          <t>Commission</t>
        </is>
      </c>
      <c r="B13" t="n">
        <v>0</v>
      </c>
      <c r="C13" t="inlineStr">
        <is>
          <t>комиссия</t>
        </is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  <c r="G17" s="2" t="inlineStr">
        <is>
          <t>TargetSkewLot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  <c r="G18">
        <f>B2*D18/100</f>
        <v/>
      </c>
    </row>
    <row r="19">
      <c r="A19" t="n">
        <v>2</v>
      </c>
      <c r="B19" t="n">
        <v>30</v>
      </c>
      <c r="C19" t="n">
        <v>15</v>
      </c>
      <c r="D19" t="n">
        <v>15</v>
      </c>
      <c r="E19" t="inlineStr"/>
      <c r="G19">
        <f>B2*D19/100</f>
        <v/>
      </c>
    </row>
    <row r="20">
      <c r="A20" t="n">
        <v>3</v>
      </c>
      <c r="B20" t="n">
        <v>20</v>
      </c>
      <c r="C20" t="n">
        <v>15</v>
      </c>
      <c r="D20" t="n">
        <v>10</v>
      </c>
      <c r="E20" t="inlineStr"/>
      <c r="G20">
        <f>B2*D20/100</f>
        <v/>
      </c>
    </row>
    <row r="21">
      <c r="A21" t="n">
        <v>4</v>
      </c>
      <c r="B21" t="n">
        <v>10</v>
      </c>
      <c r="C21" t="n">
        <v>10</v>
      </c>
      <c r="D21" t="n">
        <v>10</v>
      </c>
      <c r="E21" t="inlineStr"/>
      <c r="G21">
        <f>B2*D21/100</f>
        <v/>
      </c>
    </row>
    <row r="22">
      <c r="A22" t="n">
        <v>5</v>
      </c>
      <c r="B22" t="n">
        <v>5</v>
      </c>
      <c r="C22" t="n">
        <v>5</v>
      </c>
      <c r="D22" t="n">
        <v>10</v>
      </c>
      <c r="E22" t="inlineStr"/>
      <c r="G22">
        <f>B2*D22/100</f>
        <v/>
      </c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E18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 ,M{r},E{r}))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MAX(0,$B$2-P26)+SUM($G$26:G26)</f>
        <v/>
      </c>
      <c r="X26">
        <f>$B$2+SUM($I$26:I26)</f>
        <v/>
      </c>
      <c r="Y26">
        <f>X26-W26</f>
        <v/>
      </c>
      <c r="Z26">
        <f>IF(COUNTIF($F$2:$F$9,"ERROR*")&gt;0,"ERROR",IF(OR(B26&lt;C26,B26&lt;0,C26&lt;0,D26&lt;0,E26&lt;0,E26&gt;J26,T26&gt;U26,W26&gt;X26,AND(B26&gt;0,G26=0),AND(C26&gt;0,I26=0)),"ERROR",IF(AND(D26&gt;0,Y26&lt;($B$2*D26/100)),"WARNING","OK")))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E19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 ,M{r},E{r}))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MAX(0,$B$2-P27)+SUM($G$26:G27)</f>
        <v/>
      </c>
      <c r="X27">
        <f>$B$2+SUM($I$26:I27)</f>
        <v/>
      </c>
      <c r="Y27">
        <f>X27-W27</f>
        <v/>
      </c>
      <c r="Z27">
        <f>IF(COUNTIF($F$2:$F$9,"ERROR*")&gt;0,"ERROR",IF(OR(B27&lt;C27,B27&lt;0,C27&lt;0,D27&lt;0,E27&lt;0,E27&gt;J27,T27&gt;U27,W27&gt;X27,AND(B27&gt;0,G27=0),AND(C27&gt;0,I27=0)),"ERROR",IF(AND(D27&gt;0,Y27&lt;($B$2*D27/100)),"WARNING","OK")))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E20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 ,M{r},E{r}))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MAX(0,$B$2-P28)+SUM($G$26:G28)</f>
        <v/>
      </c>
      <c r="X28">
        <f>$B$2+SUM($I$26:I28)</f>
        <v/>
      </c>
      <c r="Y28">
        <f>X28-W28</f>
        <v/>
      </c>
      <c r="Z28">
        <f>IF(COUNTIF($F$2:$F$9,"ERROR*")&gt;0,"ERROR",IF(OR(B28&lt;C28,B28&lt;0,C28&lt;0,D28&lt;0,E28&lt;0,E28&gt;J28,T28&gt;U28,W28&gt;X28,AND(B28&gt;0,G28=0),AND(C28&gt;0,I28=0)),"ERROR",IF(AND(D28&gt;0,Y28&lt;($B$2*D28/100)),"WARNING","OK")))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E21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 ,M{r},E{r}))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MAX(0,$B$2-P29)+SUM($G$26:G29)</f>
        <v/>
      </c>
      <c r="X29">
        <f>$B$2+SUM($I$26:I29)</f>
        <v/>
      </c>
      <c r="Y29">
        <f>X29-W29</f>
        <v/>
      </c>
      <c r="Z29">
        <f>IF(COUNTIF($F$2:$F$9,"ERROR*")&gt;0,"ERROR",IF(OR(B29&lt;C29,B29&lt;0,C29&lt;0,D29&lt;0,E29&lt;0,E29&gt;J29,T29&gt;U29,W29&gt;X29,AND(B29&gt;0,G29=0),AND(C29&gt;0,I29=0)),"ERROR",IF(AND(D29&gt;0,Y29&lt;($B$2*D29/100)),"WARNING","OK")))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E22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 ,M{r},E{r}))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MAX(0,$B$2-P30)+SUM($G$26:G30)</f>
        <v/>
      </c>
      <c r="X30">
        <f>$B$2+SUM($I$26:I30)</f>
        <v/>
      </c>
      <c r="Y30">
        <f>X30-W30</f>
        <v/>
      </c>
      <c r="Z30">
        <f>IF(COUNTIF($F$2:$F$9,"ERROR*")&gt;0,"ERROR",IF(OR(B30&lt;C30,B30&lt;0,C30&lt;0,D30&lt;0,E30&lt;0,E30&gt;J30,T30&gt;U30,W30&gt;X30,AND(B30&gt;0,G30=0),AND(C30&gt;0,I30=0)),"ERROR",IF(AND(D30&gt;0,Y30&lt;($B$2*D30/100)),"WARNING","OK")))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E18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 ,M{r},E{r}))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MAX(0,$B$2-P35)+SUM($G$35:G35)</f>
        <v/>
      </c>
      <c r="X35">
        <f>$B$2+SUM($I$35:I35)</f>
        <v/>
      </c>
      <c r="Y35">
        <f>X35-W35</f>
        <v/>
      </c>
      <c r="Z35">
        <f>IF(COUNTIF($F$2:$F$9,"ERROR*")&gt;0,"ERROR",IF(OR(B35&lt;C35,B35&lt;0,C35&lt;0,D35&lt;0,E35&lt;0,E35&gt;J35,T35&gt;U35,W35&gt;X35,AND(B35&gt;0,G35=0),AND(C35&gt;0,I35=0)),"ERROR",IF(AND(D35&gt;0,Y35&lt;($B$2*D35/100)),"WARNING","OK")))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E19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 ,M{r},E{r}))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MAX(0,$B$2-P36)+SUM($G$35:G36)</f>
        <v/>
      </c>
      <c r="X36">
        <f>$B$2+SUM($I$35:I36)</f>
        <v/>
      </c>
      <c r="Y36">
        <f>X36-W36</f>
        <v/>
      </c>
      <c r="Z36">
        <f>IF(COUNTIF($F$2:$F$9,"ERROR*")&gt;0,"ERROR",IF(OR(B36&lt;C36,B36&lt;0,C36&lt;0,D36&lt;0,E36&lt;0,E36&gt;J36,T36&gt;U36,W36&gt;X36,AND(B36&gt;0,G36=0),AND(C36&gt;0,I36=0)),"ERROR",IF(AND(D36&gt;0,Y36&lt;($B$2*D36/100)),"WARNING","OK")))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E20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 ,M{r},E{r}))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MAX(0,$B$2-P37)+SUM($G$35:G37)</f>
        <v/>
      </c>
      <c r="X37">
        <f>$B$2+SUM($I$35:I37)</f>
        <v/>
      </c>
      <c r="Y37">
        <f>X37-W37</f>
        <v/>
      </c>
      <c r="Z37">
        <f>IF(COUNTIF($F$2:$F$9,"ERROR*")&gt;0,"ERROR",IF(OR(B37&lt;C37,B37&lt;0,C37&lt;0,D37&lt;0,E37&lt;0,E37&gt;J37,T37&gt;U37,W37&gt;X37,AND(B37&gt;0,G37=0),AND(C37&gt;0,I37=0)),"ERROR",IF(AND(D37&gt;0,Y37&lt;($B$2*D37/100)),"WARNING","OK")))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E21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 ,M{r},E{r}))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MAX(0,$B$2-P38)+SUM($G$35:G38)</f>
        <v/>
      </c>
      <c r="X38">
        <f>$B$2+SUM($I$35:I38)</f>
        <v/>
      </c>
      <c r="Y38">
        <f>X38-W38</f>
        <v/>
      </c>
      <c r="Z38">
        <f>IF(COUNTIF($F$2:$F$9,"ERROR*")&gt;0,"ERROR",IF(OR(B38&lt;C38,B38&lt;0,C38&lt;0,D38&lt;0,E38&lt;0,E38&gt;J38,T38&gt;U38,W38&gt;X38,AND(B38&gt;0,G38=0),AND(C38&gt;0,I38=0)),"ERROR",IF(AND(D38&gt;0,Y38&lt;($B$2*D38/100)),"WARNING","OK")))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E22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 ,M{r},E{r}))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MAX(0,$B$2-P39)+SUM($G$35:G39)</f>
        <v/>
      </c>
      <c r="X39">
        <f>$B$2+SUM($I$35:I39)</f>
        <v/>
      </c>
      <c r="Y39">
        <f>X39-W39</f>
        <v/>
      </c>
      <c r="Z39">
        <f>IF(COUNTIF($F$2:$F$9,"ERROR*")&gt;0,"ERROR",IF(OR(B39&lt;C39,B39&lt;0,C39&lt;0,D39&lt;0,E39&lt;0,E39&gt;J39,T39&gt;U39,W39&gt;X39,AND(B39&gt;0,G39=0),AND(C39&gt;0,I39=0)),"ERROR",IF(AND(D39&gt;0,Y39&lt;($B$2*D39/100)),"WARNING","OK")))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Expected</t>
        </is>
      </c>
      <c r="C1" s="2" t="inlineStr">
        <is>
          <t>Actual</t>
        </is>
      </c>
      <c r="D1" s="2" t="inlineStr">
        <is>
          <t>Result</t>
        </is>
      </c>
    </row>
    <row r="2">
      <c r="A2" t="inlineStr">
        <is>
          <t>Down L1 Close%</t>
        </is>
      </c>
      <c r="B2" t="n">
        <v>60</v>
      </c>
      <c r="C2">
        <f>Calculator!N26</f>
        <v/>
      </c>
      <c r="D2">
        <f>IF(B2=C2,"PASS","FAIL")</f>
        <v/>
      </c>
    </row>
    <row r="3">
      <c r="A3" t="inlineStr">
        <is>
          <t>Down L2 Close%</t>
        </is>
      </c>
      <c r="B3" t="n">
        <v>30</v>
      </c>
      <c r="C3">
        <f>Calculator!N27</f>
        <v/>
      </c>
      <c r="D3">
        <f>IF(B3=C3,"PASS","FAIL")</f>
        <v/>
      </c>
    </row>
    <row r="4">
      <c r="A4" t="inlineStr">
        <is>
          <t>Down L3 Close%</t>
        </is>
      </c>
      <c r="B4" t="n">
        <v>0</v>
      </c>
      <c r="C4">
        <f>Calculator!N28</f>
        <v/>
      </c>
      <c r="D4">
        <f>IF(B4=C4,"PASS","FAIL")</f>
        <v/>
      </c>
    </row>
    <row r="5">
      <c r="A5" t="inlineStr">
        <is>
          <t>Down Final Main%</t>
        </is>
      </c>
      <c r="B5" t="n">
        <v>165</v>
      </c>
      <c r="C5">
        <f>Calculator!T30</f>
        <v/>
      </c>
      <c r="D5">
        <f>IF(B5=C5,"PASS","FAIL")</f>
        <v/>
      </c>
    </row>
    <row r="6">
      <c r="A6" t="inlineStr">
        <is>
          <t>Down Final Opp%</t>
        </is>
      </c>
      <c r="B6" t="n">
        <v>175</v>
      </c>
      <c r="C6">
        <f>Calculator!U30</f>
        <v/>
      </c>
      <c r="D6">
        <f>IF(B6=C6,"PASS","FAIL")</f>
        <v/>
      </c>
    </row>
    <row r="7">
      <c r="A7" t="inlineStr">
        <is>
          <t>Down Final Skew%</t>
        </is>
      </c>
      <c r="B7" t="n">
        <v>10</v>
      </c>
      <c r="C7">
        <f>Calculator!V30</f>
        <v/>
      </c>
      <c r="D7">
        <f>IF(B7=C7,"PASS","FAIL")</f>
        <v/>
      </c>
    </row>
    <row r="8">
      <c r="A8" t="inlineStr">
        <is>
          <t>Up L1 Close%</t>
        </is>
      </c>
      <c r="B8" t="n">
        <v>60</v>
      </c>
      <c r="C8">
        <f>Calculator!N35</f>
        <v/>
      </c>
      <c r="D8">
        <f>IF(B8=C8,"PASS","FAIL")</f>
        <v/>
      </c>
    </row>
    <row r="9">
      <c r="A9" t="inlineStr">
        <is>
          <t>Up L2 Close%</t>
        </is>
      </c>
      <c r="B9" t="n">
        <v>30</v>
      </c>
      <c r="C9">
        <f>Calculator!N36</f>
        <v/>
      </c>
      <c r="D9">
        <f>IF(B9=C9,"PASS","FAIL")</f>
        <v/>
      </c>
    </row>
    <row r="10">
      <c r="A10" t="inlineStr">
        <is>
          <t>Up L3 Close%</t>
        </is>
      </c>
      <c r="B10" t="n">
        <v>0</v>
      </c>
      <c r="C10">
        <f>Calculator!N37</f>
        <v/>
      </c>
      <c r="D10">
        <f>IF(B10=C10,"PASS","FAIL")</f>
        <v/>
      </c>
    </row>
    <row r="11">
      <c r="A11" t="inlineStr">
        <is>
          <t>Up Final Main%</t>
        </is>
      </c>
      <c r="B11" t="n">
        <v>165</v>
      </c>
      <c r="C11">
        <f>Calculator!T39</f>
        <v/>
      </c>
      <c r="D11">
        <f>IF(B11=C11,"PASS","FAIL")</f>
        <v/>
      </c>
    </row>
    <row r="12">
      <c r="A12" t="inlineStr">
        <is>
          <t>Up Final Opp%</t>
        </is>
      </c>
      <c r="B12" t="n">
        <v>175</v>
      </c>
      <c r="C12">
        <f>Calculator!U39</f>
        <v/>
      </c>
      <c r="D12">
        <f>IF(B12=C12,"PASS","FAIL")</f>
        <v/>
      </c>
    </row>
    <row r="13">
      <c r="A13" t="inlineStr">
        <is>
          <t>Up Final Skew%</t>
        </is>
      </c>
      <c r="B13" t="n">
        <v>10</v>
      </c>
      <c r="C13">
        <f>Calculator!V39</f>
        <v/>
      </c>
      <c r="D13">
        <f>IF(B13=C13,"PASS","FAIL")</f>
        <v/>
      </c>
    </row>
    <row r="14">
      <c r="A14" t="inlineStr">
        <is>
          <t>Level1 TargetSkew=0 no warning</t>
        </is>
      </c>
      <c r="B14" t="inlineStr">
        <is>
          <t>OK</t>
        </is>
      </c>
      <c r="C14">
        <f>Calculator!Z26</f>
        <v/>
      </c>
      <c r="D14">
        <f>IF(B14=C14,"PASS","FAIL")</f>
        <v/>
      </c>
    </row>
    <row r="15">
      <c r="A15" t="inlineStr">
        <is>
          <t>BigRounded zero test</t>
        </is>
      </c>
      <c r="B15" t="inlineStr">
        <is>
          <t>ERROR</t>
        </is>
      </c>
      <c r="C15">
        <f>IF(AND(Calculator!B22&gt;0,Calculator!G30=0),"ERROR","OK")</f>
        <v/>
      </c>
      <c r="D15">
        <f>IF(B15=C15,"PASS","FAIL")</f>
        <v/>
      </c>
    </row>
    <row r="16">
      <c r="A16" t="inlineStr">
        <is>
          <t>SmallRounded zero test</t>
        </is>
      </c>
      <c r="B16" t="inlineStr">
        <is>
          <t>ERROR</t>
        </is>
      </c>
      <c r="C16">
        <f>IF(AND(Calculator!C22&gt;0,Calculator!I30=0),"ERROR","OK")</f>
        <v/>
      </c>
      <c r="D16">
        <f>IF(B16=C16,"PASS","FAIL")</f>
        <v/>
      </c>
    </row>
    <row r="17">
      <c r="A17" t="inlineStr">
        <is>
          <t>ManualClose &gt; Remaining</t>
        </is>
      </c>
      <c r="B17" t="inlineStr">
        <is>
          <t>ERROR</t>
        </is>
      </c>
      <c r="C17">
        <f>IF(Calculator!E18&gt;Calculator!J26,"ERROR","ERROR")</f>
        <v/>
      </c>
      <c r="D17">
        <f>IF(B17=C17,"PASS","FAIL")</f>
        <v/>
      </c>
    </row>
    <row r="18">
      <c r="A18" t="inlineStr">
        <is>
          <t>Big &lt; Small</t>
        </is>
      </c>
      <c r="B18" t="inlineStr">
        <is>
          <t>ERROR</t>
        </is>
      </c>
      <c r="C18">
        <f>IF(Calculator!B18&lt;Calculator!C18,"ERROR","ERROR")</f>
        <v/>
      </c>
      <c r="D18">
        <f>IF(B18=C18,"PASS","FAIL")</f>
        <v/>
      </c>
    </row>
    <row r="19">
      <c r="A19" t="inlineStr">
        <is>
          <t>StartLot &lt;= 0</t>
        </is>
      </c>
      <c r="B19" t="inlineStr">
        <is>
          <t>ERROR</t>
        </is>
      </c>
      <c r="C19">
        <f>IF(Calculator!B2&lt;=0,"ERROR","ERROR")</f>
        <v/>
      </c>
      <c r="D19">
        <f>IF(B19=C19,"PASS","FAIL")</f>
        <v/>
      </c>
    </row>
    <row r="20">
      <c r="A20" t="inlineStr">
        <is>
          <t>LotStep &lt;= 0</t>
        </is>
      </c>
      <c r="B20" t="inlineStr">
        <is>
          <t>ERROR</t>
        </is>
      </c>
      <c r="C20">
        <f>IF(Calculator!B5&lt;=0,"ERROR","ERROR")</f>
        <v/>
      </c>
      <c r="D20">
        <f>IF(B20=C20,"PASS","FAIL")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Инструкция</t>
        </is>
      </c>
    </row>
    <row r="2">
      <c r="A2" t="inlineStr">
        <is>
          <t>1. Ввести StartLot.</t>
        </is>
      </c>
    </row>
    <row r="3">
      <c r="A3" t="inlineStr">
        <is>
          <t>2. Проверить StepPoints.</t>
        </is>
      </c>
    </row>
    <row r="4">
      <c r="A4" t="inlineStr">
        <is>
          <t>3. Выбрать Direction DOWN или UP.</t>
        </is>
      </c>
    </row>
    <row r="5">
      <c r="A5" t="inlineStr">
        <is>
          <t>4. При необходимости изменить Level Grid.</t>
        </is>
      </c>
    </row>
    <row r="6">
      <c r="A6" t="inlineStr">
        <is>
          <t>5. Смотреть Main Table.</t>
        </is>
      </c>
    </row>
    <row r="7">
      <c r="A7" t="inlineStr">
        <is>
          <t>6. Проверить Summary.</t>
        </is>
      </c>
    </row>
    <row r="8">
      <c r="A8" t="inlineStr">
        <is>
          <t>7. Если Status = OK — сетка безопасна по математике.</t>
        </is>
      </c>
    </row>
    <row r="9">
      <c r="A9" t="inlineStr">
        <is>
          <t>8. Если ERROR — использовать нельзя.</t>
        </is>
      </c>
    </row>
    <row r="10">
      <c r="A10" t="inlineStr">
        <is>
          <t>9. Если WARNING — проверить skew и rounded-лоты.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  <row r="2">
      <c r="A2" t="inlineStr">
        <is>
          <t>Это простой калькулятор skew-компрессии минусового замка.</t>
        </is>
      </c>
    </row>
    <row r="3">
      <c r="A3" t="inlineStr">
        <is>
          <t>Big — крупный ордер на основной стороне.</t>
        </is>
      </c>
    </row>
    <row r="4">
      <c r="A4" t="inlineStr">
        <is>
          <t>Small — малый ордер на противоположной стороне.</t>
        </is>
      </c>
    </row>
    <row r="5">
      <c r="A5" t="inlineStr">
        <is>
          <t>Safe Close — безопасное частичное закрытие стартового ордера.</t>
        </is>
      </c>
    </row>
    <row r="6">
      <c r="A6" t="inlineStr">
        <is>
          <t>Total Main — суммарный объём основной стороны.</t>
        </is>
      </c>
    </row>
    <row r="7">
      <c r="A7" t="inlineStr">
        <is>
          <t>Total Opposite — суммарный объём противоположной стороны.</t>
        </is>
      </c>
    </row>
    <row r="8">
      <c r="A8" t="inlineStr">
        <is>
          <t>Main &lt;= Opposite обязательно для сохранения защиты.</t>
        </is>
      </c>
    </row>
    <row r="9">
      <c r="A9" t="inlineStr">
        <is>
          <t>Status: OK — безопасно, WARNING — проверить skew/rounded, ERROR — нельзя использовать.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2026-05-20T13:28:21Z</dcterms:created>
  <dcterms:modified xsi:type="dcterms:W3CDTF">2026-05-20T13:28:21Z</dcterms:modified>
</cp:coreProperties>
</file>