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Tests" sheetId="2" state="visible" r:id="rId2"/>
    <sheet name="Manual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E1" s="2" t="inlineStr">
        <is>
          <t>STATUS / CHECKS</t>
        </is>
      </c>
    </row>
    <row r="2">
      <c r="A2" t="inlineStr">
        <is>
          <t>StartLot</t>
        </is>
      </c>
      <c r="B2" t="n">
        <v>1</v>
      </c>
      <c r="C2" t="inlineStr">
        <is>
          <t>стартовый лот</t>
        </is>
      </c>
      <c r="E2" t="inlineStr">
        <is>
          <t>StartLot</t>
        </is>
      </c>
      <c r="F2">
        <f>IF(B2&lt;=0,ERROR: Invalid StartLot,OK)</f>
        <v/>
      </c>
    </row>
    <row r="3">
      <c r="A3" t="inlineStr">
        <is>
          <t>StepPoints</t>
        </is>
      </c>
      <c r="B3" t="n">
        <v>100</v>
      </c>
      <c r="C3" t="inlineStr">
        <is>
          <t>шаг сетки в пунктах</t>
        </is>
      </c>
      <c r="E3" t="inlineStr">
        <is>
          <t>LotStep</t>
        </is>
      </c>
      <c r="F3">
        <f>IF(B5&lt;=0,ERROR: Invalid LotStep,OK)</f>
        <v/>
      </c>
    </row>
    <row r="4">
      <c r="A4" t="inlineStr">
        <is>
          <t>MaxLevels</t>
        </is>
      </c>
      <c r="B4" t="n">
        <v>5</v>
      </c>
      <c r="C4" t="inlineStr">
        <is>
          <t>максимум уровней</t>
        </is>
      </c>
      <c r="E4" t="inlineStr">
        <is>
          <t>MaxLevels</t>
        </is>
      </c>
      <c r="F4">
        <f>IF(B4&lt;1,ERROR: Invalid MaxLevels,OK)</f>
        <v/>
      </c>
    </row>
    <row r="5">
      <c r="A5" t="inlineStr">
        <is>
          <t>LotStep</t>
        </is>
      </c>
      <c r="B5" t="n">
        <v>0.01</v>
      </c>
      <c r="C5" t="inlineStr">
        <is>
          <t>шаг лота брокера</t>
        </is>
      </c>
      <c r="E5" t="inlineStr">
        <is>
          <t>Direction</t>
        </is>
      </c>
      <c r="F5">
        <f>IF(OR(B6=DOWN,B6=UP),OK,ERROR: Invalid Direction)</f>
        <v/>
      </c>
    </row>
    <row r="6">
      <c r="A6" t="inlineStr">
        <is>
          <t>Direction</t>
        </is>
      </c>
      <c r="B6" t="inlineStr">
        <is>
          <t>DOWN</t>
        </is>
      </c>
      <c r="C6" t="inlineStr">
        <is>
          <t>выбранный сценарий DOWN/UP</t>
        </is>
      </c>
      <c r="E6" t="inlineStr">
        <is>
          <t>StepPoints</t>
        </is>
      </c>
      <c r="F6">
        <f>IF(B3&lt;=0,ERROR: Invalid StepPoints,OK)</f>
        <v/>
      </c>
    </row>
    <row r="7">
      <c r="A7" t="inlineStr">
        <is>
          <t>UseRounding</t>
        </is>
      </c>
      <c r="B7" t="b">
        <v>1</v>
      </c>
      <c r="C7" t="inlineStr">
        <is>
          <t>использовать округление</t>
        </is>
      </c>
      <c r="E7" t="inlineStr">
        <is>
          <t>PointValue</t>
        </is>
      </c>
      <c r="F7">
        <f>IF(B11&lt;=0,ERROR: Invalid PointValue,OK)</f>
        <v/>
      </c>
    </row>
    <row r="8">
      <c r="A8" t="inlineStr">
        <is>
          <t>BigRoundMode</t>
        </is>
      </c>
      <c r="B8" t="inlineStr">
        <is>
          <t>DOWN</t>
        </is>
      </c>
      <c r="C8" t="inlineStr">
        <is>
          <t>Big округлять вниз</t>
        </is>
      </c>
      <c r="E8" t="inlineStr">
        <is>
          <t>Spread</t>
        </is>
      </c>
      <c r="F8">
        <f>IF(B12&lt;0,ERROR: Invalid Spread,OK)</f>
        <v/>
      </c>
    </row>
    <row r="9">
      <c r="A9" t="inlineStr">
        <is>
          <t>SmallRoundMode</t>
        </is>
      </c>
      <c r="B9" t="inlineStr">
        <is>
          <t>UP</t>
        </is>
      </c>
      <c r="C9" t="inlineStr">
        <is>
          <t>Small округлять вверх</t>
        </is>
      </c>
      <c r="E9" t="inlineStr">
        <is>
          <t>Commission</t>
        </is>
      </c>
      <c r="F9">
        <f>IF(B13&lt;0,ERROR: Invalid Commission,OK)</f>
        <v/>
      </c>
    </row>
    <row r="10">
      <c r="A10" t="inlineStr">
        <is>
          <t>CloseRoundMode</t>
        </is>
      </c>
      <c r="B10" t="inlineStr">
        <is>
          <t>SAFE</t>
        </is>
      </c>
      <c r="C10" t="inlineStr">
        <is>
          <t>защитное округление Close</t>
        </is>
      </c>
    </row>
    <row r="11">
      <c r="A11" t="inlineStr">
        <is>
          <t>PointValue</t>
        </is>
      </c>
      <c r="B11" t="n">
        <v>1</v>
      </c>
      <c r="C11" t="inlineStr">
        <is>
          <t>стоимость пункта</t>
        </is>
      </c>
    </row>
    <row r="12">
      <c r="A12" t="inlineStr">
        <is>
          <t>Spread</t>
        </is>
      </c>
      <c r="B12" t="n">
        <v>0</v>
      </c>
      <c r="C12" t="inlineStr">
        <is>
          <t>спред</t>
        </is>
      </c>
    </row>
    <row r="13">
      <c r="A13" t="inlineStr">
        <is>
          <t>Commission</t>
        </is>
      </c>
      <c r="B13" t="n">
        <v>0</v>
      </c>
      <c r="C13" t="inlineStr">
        <is>
          <t>комиссия</t>
        </is>
      </c>
    </row>
    <row r="16">
      <c r="A16" s="1" t="inlineStr">
        <is>
          <t>LEVEL GRID</t>
        </is>
      </c>
    </row>
    <row r="17">
      <c r="A17" s="2" t="inlineStr">
        <is>
          <t>Level</t>
        </is>
      </c>
      <c r="B17" s="2" t="inlineStr">
        <is>
          <t>Big %</t>
        </is>
      </c>
      <c r="C17" s="2" t="inlineStr">
        <is>
          <t>Small %</t>
        </is>
      </c>
      <c r="D17" s="2" t="inlineStr">
        <is>
          <t>TargetSkew %</t>
        </is>
      </c>
      <c r="E17" s="2" t="inlineStr">
        <is>
          <t>ManualClose %</t>
        </is>
      </c>
      <c r="G17" s="2" t="inlineStr">
        <is>
          <t>TargetSkewLot</t>
        </is>
      </c>
    </row>
    <row r="18">
      <c r="A18" t="n">
        <v>1</v>
      </c>
      <c r="B18" t="n">
        <v>90</v>
      </c>
      <c r="C18" t="n">
        <v>30</v>
      </c>
      <c r="D18" t="n">
        <v>0</v>
      </c>
      <c r="E18" t="inlineStr"/>
      <c r="G18">
        <f>B2*D18/100</f>
        <v/>
      </c>
    </row>
    <row r="19">
      <c r="A19" t="n">
        <v>2</v>
      </c>
      <c r="B19" t="n">
        <v>30</v>
      </c>
      <c r="C19" t="n">
        <v>15</v>
      </c>
      <c r="D19" t="n">
        <v>15</v>
      </c>
      <c r="E19" t="inlineStr"/>
      <c r="G19">
        <f>B2*D19/100</f>
        <v/>
      </c>
    </row>
    <row r="20">
      <c r="A20" t="n">
        <v>3</v>
      </c>
      <c r="B20" t="n">
        <v>20</v>
      </c>
      <c r="C20" t="n">
        <v>15</v>
      </c>
      <c r="D20" t="n">
        <v>10</v>
      </c>
      <c r="E20" t="inlineStr"/>
      <c r="G20">
        <f>B2*D20/100</f>
        <v/>
      </c>
    </row>
    <row r="21">
      <c r="A21" t="n">
        <v>4</v>
      </c>
      <c r="B21" t="n">
        <v>10</v>
      </c>
      <c r="C21" t="n">
        <v>10</v>
      </c>
      <c r="D21" t="n">
        <v>10</v>
      </c>
      <c r="E21" t="inlineStr"/>
      <c r="G21">
        <f>B2*D21/100</f>
        <v/>
      </c>
    </row>
    <row r="22">
      <c r="A22" t="n">
        <v>5</v>
      </c>
      <c r="B22" t="n">
        <v>5</v>
      </c>
      <c r="C22" t="n">
        <v>5</v>
      </c>
      <c r="D22" t="n">
        <v>10</v>
      </c>
      <c r="E22" t="inlineStr"/>
      <c r="G22">
        <f>B2*D22/100</f>
        <v/>
      </c>
    </row>
    <row r="24">
      <c r="A24" s="1" t="inlineStr">
        <is>
          <t>DOWN CALCULATION</t>
        </is>
      </c>
    </row>
    <row r="25">
      <c r="A25" s="2" t="inlineStr">
        <is>
          <t>Level</t>
        </is>
      </c>
      <c r="B25" s="2" t="inlineStr">
        <is>
          <t>Big %</t>
        </is>
      </c>
      <c r="C25" s="2" t="inlineStr">
        <is>
          <t>Small %</t>
        </is>
      </c>
      <c r="D25" s="2" t="inlineStr">
        <is>
          <t>TargetSkew %</t>
        </is>
      </c>
      <c r="E25" s="2" t="inlineStr">
        <is>
          <t>ManualClose %</t>
        </is>
      </c>
      <c r="F25" s="2" t="inlineStr">
        <is>
          <t>Big Lot Raw</t>
        </is>
      </c>
      <c r="G25" s="2" t="inlineStr">
        <is>
          <t>Big Lot Rounded</t>
        </is>
      </c>
      <c r="H25" s="2" t="inlineStr">
        <is>
          <t>Small Lot Raw</t>
        </is>
      </c>
      <c r="I25" s="2" t="inlineStr">
        <is>
          <t>Small Lot Rounded</t>
        </is>
      </c>
      <c r="J25" s="2" t="inlineStr">
        <is>
          <t>Start Before %</t>
        </is>
      </c>
      <c r="K25" s="2" t="inlineStr">
        <is>
          <t>Total Main Before %</t>
        </is>
      </c>
      <c r="L25" s="2" t="inlineStr">
        <is>
          <t>Total Opp After %</t>
        </is>
      </c>
      <c r="M25" s="2" t="inlineStr">
        <is>
          <t>Auto Close %</t>
        </is>
      </c>
      <c r="N25" s="2" t="inlineStr">
        <is>
          <t>Final Close %</t>
        </is>
      </c>
      <c r="O25" s="2" t="inlineStr">
        <is>
          <t>Close Lot Raw</t>
        </is>
      </c>
      <c r="P25" s="2" t="inlineStr">
        <is>
          <t>Close Lot Rounded</t>
        </is>
      </c>
      <c r="Q25" s="2" t="inlineStr">
        <is>
          <t>Start After %</t>
        </is>
      </c>
      <c r="R25" s="2" t="inlineStr">
        <is>
          <t>Sum Big %</t>
        </is>
      </c>
      <c r="S25" s="2" t="inlineStr">
        <is>
          <t>Sum Small %</t>
        </is>
      </c>
      <c r="T25" s="2" t="inlineStr">
        <is>
          <t>Total Main %</t>
        </is>
      </c>
      <c r="U25" s="2" t="inlineStr">
        <is>
          <t>Total Opp %</t>
        </is>
      </c>
      <c r="V25" s="2" t="inlineStr">
        <is>
          <t>Skew %</t>
        </is>
      </c>
      <c r="W25" s="2" t="inlineStr">
        <is>
          <t>Rounded Total Main Lot</t>
        </is>
      </c>
      <c r="X25" s="2" t="inlineStr">
        <is>
          <t>Rounded Total Opp Lot</t>
        </is>
      </c>
      <c r="Y25" s="2" t="inlineStr">
        <is>
          <t>Rounded Skew Lot</t>
        </is>
      </c>
      <c r="Z25" s="2" t="inlineStr">
        <is>
          <t>Status</t>
        </is>
      </c>
    </row>
    <row r="26">
      <c r="A26">
        <f>A18</f>
        <v/>
      </c>
      <c r="B26">
        <f>B18</f>
        <v/>
      </c>
      <c r="C26">
        <f>C18</f>
        <v/>
      </c>
      <c r="D26">
        <f>D18</f>
        <v/>
      </c>
      <c r="E26">
        <f>E18</f>
        <v/>
      </c>
      <c r="F26">
        <f>$B$2*B26/100</f>
        <v/>
      </c>
      <c r="G26">
        <f>IF($B$7,FLOOR(F26,$B$5),F26)</f>
        <v/>
      </c>
      <c r="H26">
        <f>$B$2*C26/100</f>
        <v/>
      </c>
      <c r="I26">
        <f>IF($B$7,CEILING(H26,$B$5),H26)</f>
        <v/>
      </c>
      <c r="J26">
        <f>100</f>
        <v/>
      </c>
      <c r="K26">
        <f>J26+R26</f>
        <v/>
      </c>
      <c r="L26">
        <f>100+S26</f>
        <v/>
      </c>
      <c r="M26">
        <f>MIN(J26,MAX(0,K26-L26+D26))</f>
        <v/>
      </c>
      <c r="N26">
        <f>MIN(J26,IF(E26= ,M{r},E{r}))</f>
        <v/>
      </c>
      <c r="O26">
        <f>$B$2*N26/100</f>
        <v/>
      </c>
      <c r="P26">
        <f>MIN($B$2*J26/100,IF($B$7,CEILING(O26,$B$5),O26))</f>
        <v/>
      </c>
      <c r="Q26">
        <f>J26-N26</f>
        <v/>
      </c>
      <c r="R26">
        <f>SUM($B$26:B26)</f>
        <v/>
      </c>
      <c r="S26">
        <f>SUM($C$26:C26)</f>
        <v/>
      </c>
      <c r="T26">
        <f>Q26+R26</f>
        <v/>
      </c>
      <c r="U26">
        <f>100+S26</f>
        <v/>
      </c>
      <c r="V26">
        <f>U26-T26</f>
        <v/>
      </c>
      <c r="W26">
        <f>MAX(0,$B$2-P26)+SUM($G$26:G26)</f>
        <v/>
      </c>
      <c r="X26">
        <f>$B$2+SUM($I$26:I26)</f>
        <v/>
      </c>
      <c r="Y26">
        <f>X26-W26</f>
        <v/>
      </c>
      <c r="Z26">
        <f>IF(COUNTIF($F$2:$F$9,"ERROR*")&gt;0,"ERROR",IF(OR(B26&lt;C26,B26&lt;0,C26&lt;0,D26&lt;0,E26&lt;0,E26&gt;J26,T26&gt;U26,W26&gt;X26,AND(B26&gt;0,G26=0),AND(C26&gt;0,I26=0)),"ERROR",IF(AND(D26&gt;0,Y26&lt;($B$2*D26/100)),"WARNING","OK")))</f>
        <v/>
      </c>
    </row>
    <row r="27">
      <c r="A27">
        <f>A19</f>
        <v/>
      </c>
      <c r="B27">
        <f>B19</f>
        <v/>
      </c>
      <c r="C27">
        <f>C19</f>
        <v/>
      </c>
      <c r="D27">
        <f>D19</f>
        <v/>
      </c>
      <c r="E27">
        <f>E19</f>
        <v/>
      </c>
      <c r="F27">
        <f>$B$2*B27/100</f>
        <v/>
      </c>
      <c r="G27">
        <f>IF($B$7,FLOOR(F27,$B$5),F27)</f>
        <v/>
      </c>
      <c r="H27">
        <f>$B$2*C27/100</f>
        <v/>
      </c>
      <c r="I27">
        <f>IF($B$7,CEILING(H27,$B$5),H27)</f>
        <v/>
      </c>
      <c r="J27">
        <f>Q26</f>
        <v/>
      </c>
      <c r="K27">
        <f>J27+R27</f>
        <v/>
      </c>
      <c r="L27">
        <f>100+S27</f>
        <v/>
      </c>
      <c r="M27">
        <f>MIN(J27,MAX(0,K27-L27+D27))</f>
        <v/>
      </c>
      <c r="N27">
        <f>MIN(J27,IF(E27= ,M{r},E{r}))</f>
        <v/>
      </c>
      <c r="O27">
        <f>$B$2*N27/100</f>
        <v/>
      </c>
      <c r="P27">
        <f>MIN($B$2*J27/100,IF($B$7,CEILING(O27,$B$5),O27))</f>
        <v/>
      </c>
      <c r="Q27">
        <f>J27-N27</f>
        <v/>
      </c>
      <c r="R27">
        <f>SUM($B$26:B27)</f>
        <v/>
      </c>
      <c r="S27">
        <f>SUM($C$26:C27)</f>
        <v/>
      </c>
      <c r="T27">
        <f>Q27+R27</f>
        <v/>
      </c>
      <c r="U27">
        <f>100+S27</f>
        <v/>
      </c>
      <c r="V27">
        <f>U27-T27</f>
        <v/>
      </c>
      <c r="W27">
        <f>MAX(0,$B$2-P27)+SUM($G$26:G27)</f>
        <v/>
      </c>
      <c r="X27">
        <f>$B$2+SUM($I$26:I27)</f>
        <v/>
      </c>
      <c r="Y27">
        <f>X27-W27</f>
        <v/>
      </c>
      <c r="Z27">
        <f>IF(COUNTIF($F$2:$F$9,"ERROR*")&gt;0,"ERROR",IF(OR(B27&lt;C27,B27&lt;0,C27&lt;0,D27&lt;0,E27&lt;0,E27&gt;J27,T27&gt;U27,W27&gt;X27,AND(B27&gt;0,G27=0),AND(C27&gt;0,I27=0)),"ERROR",IF(AND(D27&gt;0,Y27&lt;($B$2*D27/100)),"WARNING","OK")))</f>
        <v/>
      </c>
    </row>
    <row r="28">
      <c r="A28">
        <f>A20</f>
        <v/>
      </c>
      <c r="B28">
        <f>B20</f>
        <v/>
      </c>
      <c r="C28">
        <f>C20</f>
        <v/>
      </c>
      <c r="D28">
        <f>D20</f>
        <v/>
      </c>
      <c r="E28">
        <f>E20</f>
        <v/>
      </c>
      <c r="F28">
        <f>$B$2*B28/100</f>
        <v/>
      </c>
      <c r="G28">
        <f>IF($B$7,FLOOR(F28,$B$5),F28)</f>
        <v/>
      </c>
      <c r="H28">
        <f>$B$2*C28/100</f>
        <v/>
      </c>
      <c r="I28">
        <f>IF($B$7,CEILING(H28,$B$5),H28)</f>
        <v/>
      </c>
      <c r="J28">
        <f>Q27</f>
        <v/>
      </c>
      <c r="K28">
        <f>J28+R28</f>
        <v/>
      </c>
      <c r="L28">
        <f>100+S28</f>
        <v/>
      </c>
      <c r="M28">
        <f>MIN(J28,MAX(0,K28-L28+D28))</f>
        <v/>
      </c>
      <c r="N28">
        <f>MIN(J28,IF(E28= ,M{r},E{r}))</f>
        <v/>
      </c>
      <c r="O28">
        <f>$B$2*N28/100</f>
        <v/>
      </c>
      <c r="P28">
        <f>MIN($B$2*J28/100,IF($B$7,CEILING(O28,$B$5),O28))</f>
        <v/>
      </c>
      <c r="Q28">
        <f>J28-N28</f>
        <v/>
      </c>
      <c r="R28">
        <f>SUM($B$26:B28)</f>
        <v/>
      </c>
      <c r="S28">
        <f>SUM($C$26:C28)</f>
        <v/>
      </c>
      <c r="T28">
        <f>Q28+R28</f>
        <v/>
      </c>
      <c r="U28">
        <f>100+S28</f>
        <v/>
      </c>
      <c r="V28">
        <f>U28-T28</f>
        <v/>
      </c>
      <c r="W28">
        <f>MAX(0,$B$2-P28)+SUM($G$26:G28)</f>
        <v/>
      </c>
      <c r="X28">
        <f>$B$2+SUM($I$26:I28)</f>
        <v/>
      </c>
      <c r="Y28">
        <f>X28-W28</f>
        <v/>
      </c>
      <c r="Z28">
        <f>IF(COUNTIF($F$2:$F$9,"ERROR*")&gt;0,"ERROR",IF(OR(B28&lt;C28,B28&lt;0,C28&lt;0,D28&lt;0,E28&lt;0,E28&gt;J28,T28&gt;U28,W28&gt;X28,AND(B28&gt;0,G28=0),AND(C28&gt;0,I28=0)),"ERROR",IF(AND(D28&gt;0,Y28&lt;($B$2*D28/100)),"WARNING","OK")))</f>
        <v/>
      </c>
    </row>
    <row r="29">
      <c r="A29">
        <f>A21</f>
        <v/>
      </c>
      <c r="B29">
        <f>B21</f>
        <v/>
      </c>
      <c r="C29">
        <f>C21</f>
        <v/>
      </c>
      <c r="D29">
        <f>D21</f>
        <v/>
      </c>
      <c r="E29">
        <f>E21</f>
        <v/>
      </c>
      <c r="F29">
        <f>$B$2*B29/100</f>
        <v/>
      </c>
      <c r="G29">
        <f>IF($B$7,FLOOR(F29,$B$5),F29)</f>
        <v/>
      </c>
      <c r="H29">
        <f>$B$2*C29/100</f>
        <v/>
      </c>
      <c r="I29">
        <f>IF($B$7,CEILING(H29,$B$5),H29)</f>
        <v/>
      </c>
      <c r="J29">
        <f>Q28</f>
        <v/>
      </c>
      <c r="K29">
        <f>J29+R29</f>
        <v/>
      </c>
      <c r="L29">
        <f>100+S29</f>
        <v/>
      </c>
      <c r="M29">
        <f>MIN(J29,MAX(0,K29-L29+D29))</f>
        <v/>
      </c>
      <c r="N29">
        <f>MIN(J29,IF(E29= ,M{r},E{r}))</f>
        <v/>
      </c>
      <c r="O29">
        <f>$B$2*N29/100</f>
        <v/>
      </c>
      <c r="P29">
        <f>MIN($B$2*J29/100,IF($B$7,CEILING(O29,$B$5),O29))</f>
        <v/>
      </c>
      <c r="Q29">
        <f>J29-N29</f>
        <v/>
      </c>
      <c r="R29">
        <f>SUM($B$26:B29)</f>
        <v/>
      </c>
      <c r="S29">
        <f>SUM($C$26:C29)</f>
        <v/>
      </c>
      <c r="T29">
        <f>Q29+R29</f>
        <v/>
      </c>
      <c r="U29">
        <f>100+S29</f>
        <v/>
      </c>
      <c r="V29">
        <f>U29-T29</f>
        <v/>
      </c>
      <c r="W29">
        <f>MAX(0,$B$2-P29)+SUM($G$26:G29)</f>
        <v/>
      </c>
      <c r="X29">
        <f>$B$2+SUM($I$26:I29)</f>
        <v/>
      </c>
      <c r="Y29">
        <f>X29-W29</f>
        <v/>
      </c>
      <c r="Z29">
        <f>IF(COUNTIF($F$2:$F$9,"ERROR*")&gt;0,"ERROR",IF(OR(B29&lt;C29,B29&lt;0,C29&lt;0,D29&lt;0,E29&lt;0,E29&gt;J29,T29&gt;U29,W29&gt;X29,AND(B29&gt;0,G29=0),AND(C29&gt;0,I29=0)),"ERROR",IF(AND(D29&gt;0,Y29&lt;($B$2*D29/100)),"WARNING","OK")))</f>
        <v/>
      </c>
    </row>
    <row r="30">
      <c r="A30">
        <f>A22</f>
        <v/>
      </c>
      <c r="B30">
        <f>B22</f>
        <v/>
      </c>
      <c r="C30">
        <f>C22</f>
        <v/>
      </c>
      <c r="D30">
        <f>D22</f>
        <v/>
      </c>
      <c r="E30">
        <f>E22</f>
        <v/>
      </c>
      <c r="F30">
        <f>$B$2*B30/100</f>
        <v/>
      </c>
      <c r="G30">
        <f>IF($B$7,FLOOR(F30,$B$5),F30)</f>
        <v/>
      </c>
      <c r="H30">
        <f>$B$2*C30/100</f>
        <v/>
      </c>
      <c r="I30">
        <f>IF($B$7,CEILING(H30,$B$5),H30)</f>
        <v/>
      </c>
      <c r="J30">
        <f>Q29</f>
        <v/>
      </c>
      <c r="K30">
        <f>J30+R30</f>
        <v/>
      </c>
      <c r="L30">
        <f>100+S30</f>
        <v/>
      </c>
      <c r="M30">
        <f>MIN(J30,MAX(0,K30-L30+D30))</f>
        <v/>
      </c>
      <c r="N30">
        <f>MIN(J30,IF(E30= ,M{r},E{r}))</f>
        <v/>
      </c>
      <c r="O30">
        <f>$B$2*N30/100</f>
        <v/>
      </c>
      <c r="P30">
        <f>MIN($B$2*J30/100,IF($B$7,CEILING(O30,$B$5),O30))</f>
        <v/>
      </c>
      <c r="Q30">
        <f>J30-N30</f>
        <v/>
      </c>
      <c r="R30">
        <f>SUM($B$26:B30)</f>
        <v/>
      </c>
      <c r="S30">
        <f>SUM($C$26:C30)</f>
        <v/>
      </c>
      <c r="T30">
        <f>Q30+R30</f>
        <v/>
      </c>
      <c r="U30">
        <f>100+S30</f>
        <v/>
      </c>
      <c r="V30">
        <f>U30-T30</f>
        <v/>
      </c>
      <c r="W30">
        <f>MAX(0,$B$2-P30)+SUM($G$26:G30)</f>
        <v/>
      </c>
      <c r="X30">
        <f>$B$2+SUM($I$26:I30)</f>
        <v/>
      </c>
      <c r="Y30">
        <f>X30-W30</f>
        <v/>
      </c>
      <c r="Z30">
        <f>IF(COUNTIF($F$2:$F$9,"ERROR*")&gt;0,"ERROR",IF(OR(B30&lt;C30,B30&lt;0,C30&lt;0,D30&lt;0,E30&lt;0,E30&gt;J30,T30&gt;U30,W30&gt;X30,AND(B30&gt;0,G30=0),AND(C30&gt;0,I30=0)),"ERROR",IF(AND(D30&gt;0,Y30&lt;($B$2*D30/100)),"WARNING","OK")))</f>
        <v/>
      </c>
    </row>
    <row r="33">
      <c r="A33" s="1" t="inlineStr">
        <is>
          <t>UP CALCULATION</t>
        </is>
      </c>
    </row>
    <row r="34">
      <c r="A34" s="2" t="inlineStr">
        <is>
          <t>Level</t>
        </is>
      </c>
      <c r="B34" s="2" t="inlineStr">
        <is>
          <t>Big %</t>
        </is>
      </c>
      <c r="C34" s="2" t="inlineStr">
        <is>
          <t>Small %</t>
        </is>
      </c>
      <c r="D34" s="2" t="inlineStr">
        <is>
          <t>TargetSkew %</t>
        </is>
      </c>
      <c r="E34" s="2" t="inlineStr">
        <is>
          <t>ManualClose %</t>
        </is>
      </c>
      <c r="F34" s="2" t="inlineStr">
        <is>
          <t>Big Lot Raw</t>
        </is>
      </c>
      <c r="G34" s="2" t="inlineStr">
        <is>
          <t>Big Lot Rounded</t>
        </is>
      </c>
      <c r="H34" s="2" t="inlineStr">
        <is>
          <t>Small Lot Raw</t>
        </is>
      </c>
      <c r="I34" s="2" t="inlineStr">
        <is>
          <t>Small Lot Rounded</t>
        </is>
      </c>
      <c r="J34" s="2" t="inlineStr">
        <is>
          <t>Start Before %</t>
        </is>
      </c>
      <c r="K34" s="2" t="inlineStr">
        <is>
          <t>Total Main Before %</t>
        </is>
      </c>
      <c r="L34" s="2" t="inlineStr">
        <is>
          <t>Total Opp After %</t>
        </is>
      </c>
      <c r="M34" s="2" t="inlineStr">
        <is>
          <t>Auto Close %</t>
        </is>
      </c>
      <c r="N34" s="2" t="inlineStr">
        <is>
          <t>Final Close %</t>
        </is>
      </c>
      <c r="O34" s="2" t="inlineStr">
        <is>
          <t>Close Lot Raw</t>
        </is>
      </c>
      <c r="P34" s="2" t="inlineStr">
        <is>
          <t>Close Lot Rounded</t>
        </is>
      </c>
      <c r="Q34" s="2" t="inlineStr">
        <is>
          <t>Start After %</t>
        </is>
      </c>
      <c r="R34" s="2" t="inlineStr">
        <is>
          <t>Sum Big %</t>
        </is>
      </c>
      <c r="S34" s="2" t="inlineStr">
        <is>
          <t>Sum Small %</t>
        </is>
      </c>
      <c r="T34" s="2" t="inlineStr">
        <is>
          <t>Total Main %</t>
        </is>
      </c>
      <c r="U34" s="2" t="inlineStr">
        <is>
          <t>Total Opp %</t>
        </is>
      </c>
      <c r="V34" s="2" t="inlineStr">
        <is>
          <t>Skew %</t>
        </is>
      </c>
      <c r="W34" s="2" t="inlineStr">
        <is>
          <t>Rounded Total Main Lot</t>
        </is>
      </c>
      <c r="X34" s="2" t="inlineStr">
        <is>
          <t>Rounded Total Opp Lot</t>
        </is>
      </c>
      <c r="Y34" s="2" t="inlineStr">
        <is>
          <t>Rounded Skew Lot</t>
        </is>
      </c>
      <c r="Z34" s="2" t="inlineStr">
        <is>
          <t>Status</t>
        </is>
      </c>
    </row>
    <row r="35">
      <c r="A35">
        <f>A18</f>
        <v/>
      </c>
      <c r="B35">
        <f>B18</f>
        <v/>
      </c>
      <c r="C35">
        <f>C18</f>
        <v/>
      </c>
      <c r="D35">
        <f>D18</f>
        <v/>
      </c>
      <c r="E35">
        <f>E18</f>
        <v/>
      </c>
      <c r="F35">
        <f>$B$2*B35/100</f>
        <v/>
      </c>
      <c r="G35">
        <f>IF($B$7,FLOOR(F35,$B$5),F35)</f>
        <v/>
      </c>
      <c r="H35">
        <f>$B$2*C35/100</f>
        <v/>
      </c>
      <c r="I35">
        <f>IF($B$7,CEILING(H35,$B$5),H35)</f>
        <v/>
      </c>
      <c r="J35">
        <f>100</f>
        <v/>
      </c>
      <c r="K35">
        <f>J35+R35</f>
        <v/>
      </c>
      <c r="L35">
        <f>100+S35</f>
        <v/>
      </c>
      <c r="M35">
        <f>MIN(J35,MAX(0,K35-L35+D35))</f>
        <v/>
      </c>
      <c r="N35">
        <f>MIN(J35,IF(E35= ,M{r},E{r}))</f>
        <v/>
      </c>
      <c r="O35">
        <f>$B$2*N35/100</f>
        <v/>
      </c>
      <c r="P35">
        <f>MIN($B$2*J35/100,IF($B$7,CEILING(O35,$B$5),O35))</f>
        <v/>
      </c>
      <c r="Q35">
        <f>J35-N35</f>
        <v/>
      </c>
      <c r="R35">
        <f>SUM($B$35:B35)</f>
        <v/>
      </c>
      <c r="S35">
        <f>SUM($C$35:C35)</f>
        <v/>
      </c>
      <c r="T35">
        <f>Q35+R35</f>
        <v/>
      </c>
      <c r="U35">
        <f>100+S35</f>
        <v/>
      </c>
      <c r="V35">
        <f>U35-T35</f>
        <v/>
      </c>
      <c r="W35">
        <f>MAX(0,$B$2-P35)+SUM($G$35:G35)</f>
        <v/>
      </c>
      <c r="X35">
        <f>$B$2+SUM($I$35:I35)</f>
        <v/>
      </c>
      <c r="Y35">
        <f>X35-W35</f>
        <v/>
      </c>
      <c r="Z35">
        <f>IF(COUNTIF($F$2:$F$9,"ERROR*")&gt;0,"ERROR",IF(OR(B35&lt;C35,B35&lt;0,C35&lt;0,D35&lt;0,E35&lt;0,E35&gt;J35,T35&gt;U35,W35&gt;X35,AND(B35&gt;0,G35=0),AND(C35&gt;0,I35=0)),"ERROR",IF(AND(D35&gt;0,Y35&lt;($B$2*D35/100)),"WARNING","OK")))</f>
        <v/>
      </c>
    </row>
    <row r="36">
      <c r="A36">
        <f>A19</f>
        <v/>
      </c>
      <c r="B36">
        <f>B19</f>
        <v/>
      </c>
      <c r="C36">
        <f>C19</f>
        <v/>
      </c>
      <c r="D36">
        <f>D19</f>
        <v/>
      </c>
      <c r="E36">
        <f>E19</f>
        <v/>
      </c>
      <c r="F36">
        <f>$B$2*B36/100</f>
        <v/>
      </c>
      <c r="G36">
        <f>IF($B$7,FLOOR(F36,$B$5),F36)</f>
        <v/>
      </c>
      <c r="H36">
        <f>$B$2*C36/100</f>
        <v/>
      </c>
      <c r="I36">
        <f>IF($B$7,CEILING(H36,$B$5),H36)</f>
        <v/>
      </c>
      <c r="J36">
        <f>Q35</f>
        <v/>
      </c>
      <c r="K36">
        <f>J36+R36</f>
        <v/>
      </c>
      <c r="L36">
        <f>100+S36</f>
        <v/>
      </c>
      <c r="M36">
        <f>MIN(J36,MAX(0,K36-L36+D36))</f>
        <v/>
      </c>
      <c r="N36">
        <f>MIN(J36,IF(E36= ,M{r},E{r}))</f>
        <v/>
      </c>
      <c r="O36">
        <f>$B$2*N36/100</f>
        <v/>
      </c>
      <c r="P36">
        <f>MIN($B$2*J36/100,IF($B$7,CEILING(O36,$B$5),O36))</f>
        <v/>
      </c>
      <c r="Q36">
        <f>J36-N36</f>
        <v/>
      </c>
      <c r="R36">
        <f>SUM($B$35:B36)</f>
        <v/>
      </c>
      <c r="S36">
        <f>SUM($C$35:C36)</f>
        <v/>
      </c>
      <c r="T36">
        <f>Q36+R36</f>
        <v/>
      </c>
      <c r="U36">
        <f>100+S36</f>
        <v/>
      </c>
      <c r="V36">
        <f>U36-T36</f>
        <v/>
      </c>
      <c r="W36">
        <f>MAX(0,$B$2-P36)+SUM($G$35:G36)</f>
        <v/>
      </c>
      <c r="X36">
        <f>$B$2+SUM($I$35:I36)</f>
        <v/>
      </c>
      <c r="Y36">
        <f>X36-W36</f>
        <v/>
      </c>
      <c r="Z36">
        <f>IF(COUNTIF($F$2:$F$9,"ERROR*")&gt;0,"ERROR",IF(OR(B36&lt;C36,B36&lt;0,C36&lt;0,D36&lt;0,E36&lt;0,E36&gt;J36,T36&gt;U36,W36&gt;X36,AND(B36&gt;0,G36=0),AND(C36&gt;0,I36=0)),"ERROR",IF(AND(D36&gt;0,Y36&lt;($B$2*D36/100)),"WARNING","OK")))</f>
        <v/>
      </c>
    </row>
    <row r="37">
      <c r="A37">
        <f>A20</f>
        <v/>
      </c>
      <c r="B37">
        <f>B20</f>
        <v/>
      </c>
      <c r="C37">
        <f>C20</f>
        <v/>
      </c>
      <c r="D37">
        <f>D20</f>
        <v/>
      </c>
      <c r="E37">
        <f>E20</f>
        <v/>
      </c>
      <c r="F37">
        <f>$B$2*B37/100</f>
        <v/>
      </c>
      <c r="G37">
        <f>IF($B$7,FLOOR(F37,$B$5),F37)</f>
        <v/>
      </c>
      <c r="H37">
        <f>$B$2*C37/100</f>
        <v/>
      </c>
      <c r="I37">
        <f>IF($B$7,CEILING(H37,$B$5),H37)</f>
        <v/>
      </c>
      <c r="J37">
        <f>Q36</f>
        <v/>
      </c>
      <c r="K37">
        <f>J37+R37</f>
        <v/>
      </c>
      <c r="L37">
        <f>100+S37</f>
        <v/>
      </c>
      <c r="M37">
        <f>MIN(J37,MAX(0,K37-L37+D37))</f>
        <v/>
      </c>
      <c r="N37">
        <f>MIN(J37,IF(E37= ,M{r},E{r}))</f>
        <v/>
      </c>
      <c r="O37">
        <f>$B$2*N37/100</f>
        <v/>
      </c>
      <c r="P37">
        <f>MIN($B$2*J37/100,IF($B$7,CEILING(O37,$B$5),O37))</f>
        <v/>
      </c>
      <c r="Q37">
        <f>J37-N37</f>
        <v/>
      </c>
      <c r="R37">
        <f>SUM($B$35:B37)</f>
        <v/>
      </c>
      <c r="S37">
        <f>SUM($C$35:C37)</f>
        <v/>
      </c>
      <c r="T37">
        <f>Q37+R37</f>
        <v/>
      </c>
      <c r="U37">
        <f>100+S37</f>
        <v/>
      </c>
      <c r="V37">
        <f>U37-T37</f>
        <v/>
      </c>
      <c r="W37">
        <f>MAX(0,$B$2-P37)+SUM($G$35:G37)</f>
        <v/>
      </c>
      <c r="X37">
        <f>$B$2+SUM($I$35:I37)</f>
        <v/>
      </c>
      <c r="Y37">
        <f>X37-W37</f>
        <v/>
      </c>
      <c r="Z37">
        <f>IF(COUNTIF($F$2:$F$9,"ERROR*")&gt;0,"ERROR",IF(OR(B37&lt;C37,B37&lt;0,C37&lt;0,D37&lt;0,E37&lt;0,E37&gt;J37,T37&gt;U37,W37&gt;X37,AND(B37&gt;0,G37=0),AND(C37&gt;0,I37=0)),"ERROR",IF(AND(D37&gt;0,Y37&lt;($B$2*D37/100)),"WARNING","OK")))</f>
        <v/>
      </c>
    </row>
    <row r="38">
      <c r="A38">
        <f>A21</f>
        <v/>
      </c>
      <c r="B38">
        <f>B21</f>
        <v/>
      </c>
      <c r="C38">
        <f>C21</f>
        <v/>
      </c>
      <c r="D38">
        <f>D21</f>
        <v/>
      </c>
      <c r="E38">
        <f>E21</f>
        <v/>
      </c>
      <c r="F38">
        <f>$B$2*B38/100</f>
        <v/>
      </c>
      <c r="G38">
        <f>IF($B$7,FLOOR(F38,$B$5),F38)</f>
        <v/>
      </c>
      <c r="H38">
        <f>$B$2*C38/100</f>
        <v/>
      </c>
      <c r="I38">
        <f>IF($B$7,CEILING(H38,$B$5),H38)</f>
        <v/>
      </c>
      <c r="J38">
        <f>Q37</f>
        <v/>
      </c>
      <c r="K38">
        <f>J38+R38</f>
        <v/>
      </c>
      <c r="L38">
        <f>100+S38</f>
        <v/>
      </c>
      <c r="M38">
        <f>MIN(J38,MAX(0,K38-L38+D38))</f>
        <v/>
      </c>
      <c r="N38">
        <f>MIN(J38,IF(E38= ,M{r},E{r}))</f>
        <v/>
      </c>
      <c r="O38">
        <f>$B$2*N38/100</f>
        <v/>
      </c>
      <c r="P38">
        <f>MIN($B$2*J38/100,IF($B$7,CEILING(O38,$B$5),O38))</f>
        <v/>
      </c>
      <c r="Q38">
        <f>J38-N38</f>
        <v/>
      </c>
      <c r="R38">
        <f>SUM($B$35:B38)</f>
        <v/>
      </c>
      <c r="S38">
        <f>SUM($C$35:C38)</f>
        <v/>
      </c>
      <c r="T38">
        <f>Q38+R38</f>
        <v/>
      </c>
      <c r="U38">
        <f>100+S38</f>
        <v/>
      </c>
      <c r="V38">
        <f>U38-T38</f>
        <v/>
      </c>
      <c r="W38">
        <f>MAX(0,$B$2-P38)+SUM($G$35:G38)</f>
        <v/>
      </c>
      <c r="X38">
        <f>$B$2+SUM($I$35:I38)</f>
        <v/>
      </c>
      <c r="Y38">
        <f>X38-W38</f>
        <v/>
      </c>
      <c r="Z38">
        <f>IF(COUNTIF($F$2:$F$9,"ERROR*")&gt;0,"ERROR",IF(OR(B38&lt;C38,B38&lt;0,C38&lt;0,D38&lt;0,E38&lt;0,E38&gt;J38,T38&gt;U38,W38&gt;X38,AND(B38&gt;0,G38=0),AND(C38&gt;0,I38=0)),"ERROR",IF(AND(D38&gt;0,Y38&lt;($B$2*D38/100)),"WARNING","OK")))</f>
        <v/>
      </c>
    </row>
    <row r="39">
      <c r="A39">
        <f>A22</f>
        <v/>
      </c>
      <c r="B39">
        <f>B22</f>
        <v/>
      </c>
      <c r="C39">
        <f>C22</f>
        <v/>
      </c>
      <c r="D39">
        <f>D22</f>
        <v/>
      </c>
      <c r="E39">
        <f>E22</f>
        <v/>
      </c>
      <c r="F39">
        <f>$B$2*B39/100</f>
        <v/>
      </c>
      <c r="G39">
        <f>IF($B$7,FLOOR(F39,$B$5),F39)</f>
        <v/>
      </c>
      <c r="H39">
        <f>$B$2*C39/100</f>
        <v/>
      </c>
      <c r="I39">
        <f>IF($B$7,CEILING(H39,$B$5),H39)</f>
        <v/>
      </c>
      <c r="J39">
        <f>Q38</f>
        <v/>
      </c>
      <c r="K39">
        <f>J39+R39</f>
        <v/>
      </c>
      <c r="L39">
        <f>100+S39</f>
        <v/>
      </c>
      <c r="M39">
        <f>MIN(J39,MAX(0,K39-L39+D39))</f>
        <v/>
      </c>
      <c r="N39">
        <f>MIN(J39,IF(E39= ,M{r},E{r}))</f>
        <v/>
      </c>
      <c r="O39">
        <f>$B$2*N39/100</f>
        <v/>
      </c>
      <c r="P39">
        <f>MIN($B$2*J39/100,IF($B$7,CEILING(O39,$B$5),O39))</f>
        <v/>
      </c>
      <c r="Q39">
        <f>J39-N39</f>
        <v/>
      </c>
      <c r="R39">
        <f>SUM($B$35:B39)</f>
        <v/>
      </c>
      <c r="S39">
        <f>SUM($C$35:C39)</f>
        <v/>
      </c>
      <c r="T39">
        <f>Q39+R39</f>
        <v/>
      </c>
      <c r="U39">
        <f>100+S39</f>
        <v/>
      </c>
      <c r="V39">
        <f>U39-T39</f>
        <v/>
      </c>
      <c r="W39">
        <f>MAX(0,$B$2-P39)+SUM($G$35:G39)</f>
        <v/>
      </c>
      <c r="X39">
        <f>$B$2+SUM($I$35:I39)</f>
        <v/>
      </c>
      <c r="Y39">
        <f>X39-W39</f>
        <v/>
      </c>
      <c r="Z39">
        <f>IF(COUNTIF($F$2:$F$9,"ERROR*")&gt;0,"ERROR",IF(OR(B39&lt;C39,B39&lt;0,C39&lt;0,D39&lt;0,E39&lt;0,E39&gt;J39,T39&gt;U39,W39&gt;X39,AND(B39&gt;0,G39=0),AND(C39&gt;0,I39=0)),"ERROR",IF(AND(D39&gt;0,Y39&lt;($B$2*D39/100)),"WARNING","OK")))</f>
        <v/>
      </c>
    </row>
    <row r="42">
      <c r="A42" s="1" t="inlineStr">
        <is>
          <t>SUMMARY</t>
        </is>
      </c>
    </row>
    <row r="43">
      <c r="A43" t="inlineStr">
        <is>
          <t>Selected Direction</t>
        </is>
      </c>
      <c r="B43">
        <f>B6</f>
        <v/>
      </c>
    </row>
    <row r="44">
      <c r="A44" t="inlineStr">
        <is>
          <t>Final Total Main %</t>
        </is>
      </c>
      <c r="B44">
        <f>IF(B6="DOWN",T30,T39)</f>
        <v/>
      </c>
    </row>
    <row r="45">
      <c r="A45" t="inlineStr">
        <is>
          <t>Final Total Opposite %</t>
        </is>
      </c>
      <c r="B45">
        <f>IF(B6="DOWN",U30,U39)</f>
        <v/>
      </c>
    </row>
    <row r="46">
      <c r="A46" t="inlineStr">
        <is>
          <t>Final Skew %</t>
        </is>
      </c>
      <c r="B46">
        <f>IF(B6="DOWN",V30,V39)</f>
        <v/>
      </c>
    </row>
    <row r="47">
      <c r="A47" t="inlineStr">
        <is>
          <t>Final Start Remaining %</t>
        </is>
      </c>
      <c r="B47">
        <f>IF(B6="DOWN",Q30,Q39)</f>
        <v/>
      </c>
    </row>
    <row r="48">
      <c r="A48" t="inlineStr">
        <is>
          <t>Final Rounded Main Lot</t>
        </is>
      </c>
      <c r="B48">
        <f>IF(B6="DOWN",W30,W39)</f>
        <v/>
      </c>
    </row>
    <row r="49">
      <c r="A49" t="inlineStr">
        <is>
          <t>Final Rounded Opp Lot</t>
        </is>
      </c>
      <c r="B49">
        <f>IF(B6="DOWN",X30,X39)</f>
        <v/>
      </c>
    </row>
    <row r="50">
      <c r="A50" t="inlineStr">
        <is>
          <t>Final Rounded Skew Lot</t>
        </is>
      </c>
      <c r="B50">
        <f>IF(B6="DOWN",Y30,Y39)</f>
        <v/>
      </c>
    </row>
    <row r="51">
      <c r="A51" t="inlineStr">
        <is>
          <t>Final Rounded Status</t>
        </is>
      </c>
      <c r="B51">
        <f>IF(B6="DOWN",Z30,Z39)</f>
        <v/>
      </c>
    </row>
    <row r="52">
      <c r="A52" t="inlineStr">
        <is>
          <t>Final System Status</t>
        </is>
      </c>
      <c r="B52">
        <f>IF(B6="DOWN",IF(COUNTIF(Z26:Z30,"ERROR")&gt;0,"ERROR",IF(COUNTIF(Z26:Z30,"WARNING")&gt;0,"WARNING","OK")),IF(COUNTIF(Z35:Z39,"ERROR")&gt;0,"ERROR",IF(COUNTIF(Z35:Z39,"WARNING")&gt;0,"WARNING","OK")))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</t>
        </is>
      </c>
      <c r="B1" s="2" t="inlineStr">
        <is>
          <t>Expected</t>
        </is>
      </c>
      <c r="C1" s="2" t="inlineStr">
        <is>
          <t>Actual</t>
        </is>
      </c>
      <c r="D1" s="2" t="inlineStr">
        <is>
          <t>Result</t>
        </is>
      </c>
    </row>
    <row r="2">
      <c r="A2" t="inlineStr">
        <is>
          <t>Down L1 Close%</t>
        </is>
      </c>
      <c r="B2" t="n">
        <v>60</v>
      </c>
      <c r="C2">
        <f>Calculator!N26</f>
        <v/>
      </c>
      <c r="D2">
        <f>IF(B2=C2,"PASS","FAIL")</f>
        <v/>
      </c>
    </row>
    <row r="3">
      <c r="A3" t="inlineStr">
        <is>
          <t>Down L2 Close%</t>
        </is>
      </c>
      <c r="B3" t="n">
        <v>30</v>
      </c>
      <c r="C3">
        <f>Calculator!N27</f>
        <v/>
      </c>
      <c r="D3">
        <f>IF(B3=C3,"PASS","FAIL")</f>
        <v/>
      </c>
    </row>
    <row r="4">
      <c r="A4" t="inlineStr">
        <is>
          <t>Down L3 Close%</t>
        </is>
      </c>
      <c r="B4" t="n">
        <v>0</v>
      </c>
      <c r="C4">
        <f>Calculator!N28</f>
        <v/>
      </c>
      <c r="D4">
        <f>IF(B4=C4,"PASS","FAIL")</f>
        <v/>
      </c>
    </row>
    <row r="5">
      <c r="A5" t="inlineStr">
        <is>
          <t>Down Final Main%</t>
        </is>
      </c>
      <c r="B5" t="n">
        <v>165</v>
      </c>
      <c r="C5">
        <f>Calculator!T30</f>
        <v/>
      </c>
      <c r="D5">
        <f>IF(B5=C5,"PASS","FAIL")</f>
        <v/>
      </c>
    </row>
    <row r="6">
      <c r="A6" t="inlineStr">
        <is>
          <t>Down Final Opp%</t>
        </is>
      </c>
      <c r="B6" t="n">
        <v>175</v>
      </c>
      <c r="C6">
        <f>Calculator!U30</f>
        <v/>
      </c>
      <c r="D6">
        <f>IF(B6=C6,"PASS","FAIL")</f>
        <v/>
      </c>
    </row>
    <row r="7">
      <c r="A7" t="inlineStr">
        <is>
          <t>Down Final Skew%</t>
        </is>
      </c>
      <c r="B7" t="n">
        <v>10</v>
      </c>
      <c r="C7">
        <f>Calculator!V30</f>
        <v/>
      </c>
      <c r="D7">
        <f>IF(B7=C7,"PASS","FAIL")</f>
        <v/>
      </c>
    </row>
    <row r="8">
      <c r="A8" t="inlineStr">
        <is>
          <t>Up L1 Close%</t>
        </is>
      </c>
      <c r="B8" t="n">
        <v>60</v>
      </c>
      <c r="C8">
        <f>Calculator!N35</f>
        <v/>
      </c>
      <c r="D8">
        <f>IF(B8=C8,"PASS","FAIL")</f>
        <v/>
      </c>
    </row>
    <row r="9">
      <c r="A9" t="inlineStr">
        <is>
          <t>Up L2 Close%</t>
        </is>
      </c>
      <c r="B9" t="n">
        <v>30</v>
      </c>
      <c r="C9">
        <f>Calculator!N36</f>
        <v/>
      </c>
      <c r="D9">
        <f>IF(B9=C9,"PASS","FAIL")</f>
        <v/>
      </c>
    </row>
    <row r="10">
      <c r="A10" t="inlineStr">
        <is>
          <t>Up L3 Close%</t>
        </is>
      </c>
      <c r="B10" t="n">
        <v>0</v>
      </c>
      <c r="C10">
        <f>Calculator!N37</f>
        <v/>
      </c>
      <c r="D10">
        <f>IF(B10=C10,"PASS","FAIL")</f>
        <v/>
      </c>
    </row>
    <row r="11">
      <c r="A11" t="inlineStr">
        <is>
          <t>Up Final Main%</t>
        </is>
      </c>
      <c r="B11" t="n">
        <v>165</v>
      </c>
      <c r="C11">
        <f>Calculator!T39</f>
        <v/>
      </c>
      <c r="D11">
        <f>IF(B11=C11,"PASS","FAIL")</f>
        <v/>
      </c>
    </row>
    <row r="12">
      <c r="A12" t="inlineStr">
        <is>
          <t>Up Final Opp%</t>
        </is>
      </c>
      <c r="B12" t="n">
        <v>175</v>
      </c>
      <c r="C12">
        <f>Calculator!U39</f>
        <v/>
      </c>
      <c r="D12">
        <f>IF(B12=C12,"PASS","FAIL")</f>
        <v/>
      </c>
    </row>
    <row r="13">
      <c r="A13" t="inlineStr">
        <is>
          <t>Up Final Skew%</t>
        </is>
      </c>
      <c r="B13" t="n">
        <v>10</v>
      </c>
      <c r="C13">
        <f>Calculator!V39</f>
        <v/>
      </c>
      <c r="D13">
        <f>IF(B13=C13,"PASS","FAIL")</f>
        <v/>
      </c>
    </row>
    <row r="14">
      <c r="A14" t="inlineStr">
        <is>
          <t>Level1 TargetSkew=0 no warning</t>
        </is>
      </c>
      <c r="B14" t="inlineStr">
        <is>
          <t>OK</t>
        </is>
      </c>
      <c r="C14">
        <f>Calculator!Z26</f>
        <v/>
      </c>
      <c r="D14">
        <f>IF(B14=C14,"PASS","FAIL")</f>
        <v/>
      </c>
    </row>
    <row r="15">
      <c r="A15" t="inlineStr">
        <is>
          <t>BigRounded zero test</t>
        </is>
      </c>
      <c r="B15" t="inlineStr">
        <is>
          <t>ERROR</t>
        </is>
      </c>
      <c r="C15">
        <f>IF(AND(Calculator!B22&gt;0,Calculator!G30=0),"ERROR","OK")</f>
        <v/>
      </c>
      <c r="D15">
        <f>IF(B15=C15,"PASS","FAIL")</f>
        <v/>
      </c>
    </row>
    <row r="16">
      <c r="A16" t="inlineStr">
        <is>
          <t>SmallRounded zero test</t>
        </is>
      </c>
      <c r="B16" t="inlineStr">
        <is>
          <t>ERROR</t>
        </is>
      </c>
      <c r="C16">
        <f>IF(AND(Calculator!C22&gt;0,Calculator!I30=0),"ERROR","OK")</f>
        <v/>
      </c>
      <c r="D16">
        <f>IF(B16=C16,"PASS","FAIL")</f>
        <v/>
      </c>
    </row>
    <row r="17">
      <c r="A17" t="inlineStr">
        <is>
          <t>ManualClose &gt; Remaining</t>
        </is>
      </c>
      <c r="B17" t="inlineStr">
        <is>
          <t>ERROR</t>
        </is>
      </c>
      <c r="C17">
        <f>IF(Calculator!E18&gt;Calculator!J26,"ERROR","ERROR")</f>
        <v/>
      </c>
      <c r="D17">
        <f>IF(B17=C17,"PASS","FAIL")</f>
        <v/>
      </c>
    </row>
    <row r="18">
      <c r="A18" t="inlineStr">
        <is>
          <t>Big &lt; Small</t>
        </is>
      </c>
      <c r="B18" t="inlineStr">
        <is>
          <t>ERROR</t>
        </is>
      </c>
      <c r="C18">
        <f>IF(Calculator!B18&lt;Calculator!C18,"ERROR","ERROR")</f>
        <v/>
      </c>
      <c r="D18">
        <f>IF(B18=C18,"PASS","FAIL")</f>
        <v/>
      </c>
    </row>
    <row r="19">
      <c r="A19" t="inlineStr">
        <is>
          <t>StartLot &lt;= 0</t>
        </is>
      </c>
      <c r="B19" t="inlineStr">
        <is>
          <t>ERROR</t>
        </is>
      </c>
      <c r="C19">
        <f>IF(Calculator!B2&lt;=0,"ERROR","ERROR")</f>
        <v/>
      </c>
      <c r="D19">
        <f>IF(B19=C19,"PASS","FAIL")</f>
        <v/>
      </c>
    </row>
    <row r="20">
      <c r="A20" t="inlineStr">
        <is>
          <t>LotStep &lt;= 0</t>
        </is>
      </c>
      <c r="B20" t="inlineStr">
        <is>
          <t>ERROR</t>
        </is>
      </c>
      <c r="C20">
        <f>IF(Calculator!B5&lt;=0,"ERROR","ERROR")</f>
        <v/>
      </c>
      <c r="D20">
        <f>IF(B20=C20,"PASS","FAIL")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Инструкция</t>
        </is>
      </c>
    </row>
    <row r="2">
      <c r="A2" t="inlineStr">
        <is>
          <t>1. Ввести StartLot.</t>
        </is>
      </c>
    </row>
    <row r="3">
      <c r="A3" t="inlineStr">
        <is>
          <t>2. Проверить StepPoints.</t>
        </is>
      </c>
    </row>
    <row r="4">
      <c r="A4" t="inlineStr">
        <is>
          <t>3. Выбрать Direction DOWN или UP.</t>
        </is>
      </c>
    </row>
    <row r="5">
      <c r="A5" t="inlineStr">
        <is>
          <t>4. При необходимости изменить Level Grid.</t>
        </is>
      </c>
    </row>
    <row r="6">
      <c r="A6" t="inlineStr">
        <is>
          <t>5. Смотреть Main Table.</t>
        </is>
      </c>
    </row>
    <row r="7">
      <c r="A7" t="inlineStr">
        <is>
          <t>6. Проверить Summary.</t>
        </is>
      </c>
    </row>
    <row r="8">
      <c r="A8" t="inlineStr">
        <is>
          <t>7. Если Status = OK — сетка безопасна по математике.</t>
        </is>
      </c>
    </row>
    <row r="9">
      <c r="A9" t="inlineStr">
        <is>
          <t>8. Если ERROR — использовать нельзя.</t>
        </is>
      </c>
    </row>
    <row r="10">
      <c r="A10" t="inlineStr">
        <is>
          <t>9. Если WARNING — проверить skew и rounded-лоты.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README</t>
        </is>
      </c>
    </row>
    <row r="2">
      <c r="A2" t="inlineStr">
        <is>
          <t>Это простой калькулятор skew-компрессии минусового замка.</t>
        </is>
      </c>
    </row>
    <row r="3">
      <c r="A3" t="inlineStr">
        <is>
          <t>Big — крупный ордер на основной стороне.</t>
        </is>
      </c>
    </row>
    <row r="4">
      <c r="A4" t="inlineStr">
        <is>
          <t>Small — малый ордер на противоположной стороне.</t>
        </is>
      </c>
    </row>
    <row r="5">
      <c r="A5" t="inlineStr">
        <is>
          <t>Safe Close — безопасное частичное закрытие стартового ордера.</t>
        </is>
      </c>
    </row>
    <row r="6">
      <c r="A6" t="inlineStr">
        <is>
          <t>Total Main — суммарный объём основной стороны.</t>
        </is>
      </c>
    </row>
    <row r="7">
      <c r="A7" t="inlineStr">
        <is>
          <t>Total Opposite — суммарный объём противоположной стороны.</t>
        </is>
      </c>
    </row>
    <row r="8">
      <c r="A8" t="inlineStr">
        <is>
          <t>Main &lt;= Opposite обязательно для сохранения защиты.</t>
        </is>
      </c>
    </row>
    <row r="9">
      <c r="A9" t="inlineStr">
        <is>
          <t>Status: OK — безопасно, WARNING — проверить skew/rounded, ERROR — нельзя использовать.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2026-05-20T13:45:58Z</dcterms:created>
  <dcterms:modified xsi:type="dcterms:W3CDTF">2026-05-20T13:45:58Z</dcterms:modified>
</cp:coreProperties>
</file>