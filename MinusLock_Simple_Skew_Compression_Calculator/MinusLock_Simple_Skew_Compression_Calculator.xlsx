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Tests" sheetId="2" state="visible" r:id="rId2"/>
    <sheet name="Manual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PARAMETERS</t>
        </is>
      </c>
      <c r="E1" s="1" t="inlineStr">
        <is>
          <t>STATUS / CHECKS</t>
        </is>
      </c>
    </row>
    <row r="2">
      <c r="A2" t="inlineStr">
        <is>
          <t>StartLot</t>
        </is>
      </c>
      <c r="B2" t="n">
        <v>1</v>
      </c>
      <c r="C2" t="inlineStr">
        <is>
          <t>стартовый лот</t>
        </is>
      </c>
      <c r="E2" t="inlineStr">
        <is>
          <t>StartLot</t>
        </is>
      </c>
      <c r="F2">
        <f>IF(B2&lt;=0,"ERROR: Invalid StartLot","OK")</f>
        <v/>
      </c>
    </row>
    <row r="3">
      <c r="A3" t="inlineStr">
        <is>
          <t>StepPoints</t>
        </is>
      </c>
      <c r="B3" t="n">
        <v>100</v>
      </c>
      <c r="C3" t="inlineStr">
        <is>
          <t>шаг сетки в пунктах</t>
        </is>
      </c>
      <c r="E3" t="inlineStr">
        <is>
          <t>LotStep</t>
        </is>
      </c>
      <c r="F3">
        <f>IF(B5&lt;=0,"ERROR: Invalid LotStep","OK")</f>
        <v/>
      </c>
    </row>
    <row r="4">
      <c r="A4" t="inlineStr">
        <is>
          <t>MaxLevels</t>
        </is>
      </c>
      <c r="B4" t="n">
        <v>5</v>
      </c>
      <c r="C4" t="inlineStr">
        <is>
          <t>максимум уровней</t>
        </is>
      </c>
      <c r="E4" t="inlineStr">
        <is>
          <t>MaxLevels</t>
        </is>
      </c>
      <c r="F4">
        <f>IF(B4&lt;1,"ERROR: Invalid MaxLevels","OK")</f>
        <v/>
      </c>
    </row>
    <row r="5">
      <c r="A5" t="inlineStr">
        <is>
          <t>LotStep</t>
        </is>
      </c>
      <c r="B5" t="n">
        <v>0.01</v>
      </c>
      <c r="C5" t="inlineStr">
        <is>
          <t>шаг лота брокера</t>
        </is>
      </c>
      <c r="E5" t="inlineStr">
        <is>
          <t>Direction</t>
        </is>
      </c>
      <c r="F5">
        <f>IF(OR(B6="DOWN",B6="UP"),"OK","ERROR: Invalid Direction")</f>
        <v/>
      </c>
    </row>
    <row r="6">
      <c r="A6" t="inlineStr">
        <is>
          <t>Direction</t>
        </is>
      </c>
      <c r="B6" t="inlineStr">
        <is>
          <t>DOWN</t>
        </is>
      </c>
      <c r="C6" t="inlineStr">
        <is>
          <t>выбранный сценарий DOWN/UP</t>
        </is>
      </c>
      <c r="E6" t="inlineStr">
        <is>
          <t>StepPoints</t>
        </is>
      </c>
      <c r="F6">
        <f>IF(B3&lt;=0,"ERROR: Invalid StepPoints","OK")</f>
        <v/>
      </c>
    </row>
    <row r="7">
      <c r="A7" t="inlineStr">
        <is>
          <t>UseRounding</t>
        </is>
      </c>
      <c r="B7" t="b">
        <v>1</v>
      </c>
      <c r="C7" t="inlineStr">
        <is>
          <t>использовать округление</t>
        </is>
      </c>
      <c r="E7" t="inlineStr">
        <is>
          <t>PointValue</t>
        </is>
      </c>
      <c r="F7">
        <f>IF(B11&lt;=0,"ERROR: Invalid PointValue","OK")</f>
        <v/>
      </c>
    </row>
    <row r="8">
      <c r="A8" t="inlineStr">
        <is>
          <t>BigRoundMode</t>
        </is>
      </c>
      <c r="B8" t="inlineStr">
        <is>
          <t>DOWN</t>
        </is>
      </c>
      <c r="C8" t="inlineStr">
        <is>
          <t>Big округлять вниз</t>
        </is>
      </c>
      <c r="E8" t="inlineStr">
        <is>
          <t>Spread</t>
        </is>
      </c>
      <c r="F8">
        <f>IF(B12&lt;0,"ERROR: Invalid Spread","OK")</f>
        <v/>
      </c>
    </row>
    <row r="9">
      <c r="A9" t="inlineStr">
        <is>
          <t>SmallRoundMode</t>
        </is>
      </c>
      <c r="B9" t="inlineStr">
        <is>
          <t>UP</t>
        </is>
      </c>
      <c r="C9" t="inlineStr">
        <is>
          <t>Small округлять вверх</t>
        </is>
      </c>
      <c r="E9" t="inlineStr">
        <is>
          <t>Commission</t>
        </is>
      </c>
      <c r="F9">
        <f>IF(B13&lt;0,"ERROR: Invalid Commission","OK")</f>
        <v/>
      </c>
    </row>
    <row r="10">
      <c r="A10" t="inlineStr">
        <is>
          <t>CloseRoundMode</t>
        </is>
      </c>
      <c r="B10" t="inlineStr">
        <is>
          <t>SAFE</t>
        </is>
      </c>
      <c r="C10" t="inlineStr">
        <is>
          <t>защитное округление Close</t>
        </is>
      </c>
    </row>
    <row r="11">
      <c r="A11" t="inlineStr">
        <is>
          <t>PointValue</t>
        </is>
      </c>
      <c r="B11" t="n">
        <v>1</v>
      </c>
      <c r="C11" t="inlineStr">
        <is>
          <t>стоимость пункта</t>
        </is>
      </c>
    </row>
    <row r="12">
      <c r="A12" t="inlineStr">
        <is>
          <t>Spread</t>
        </is>
      </c>
      <c r="B12" t="n">
        <v>0</v>
      </c>
      <c r="C12" t="inlineStr">
        <is>
          <t>спред</t>
        </is>
      </c>
    </row>
    <row r="13">
      <c r="A13" t="inlineStr">
        <is>
          <t>Commission</t>
        </is>
      </c>
      <c r="B13" t="n">
        <v>0</v>
      </c>
      <c r="C13" t="inlineStr">
        <is>
          <t>комиссия</t>
        </is>
      </c>
    </row>
    <row r="16">
      <c r="A16" s="1" t="inlineStr">
        <is>
          <t>LEVEL GRID</t>
        </is>
      </c>
    </row>
    <row r="17">
      <c r="A17" s="2" t="inlineStr">
        <is>
          <t>Level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E18" t="inlineStr"/>
    </row>
    <row r="19">
      <c r="A19" t="n">
        <v>2</v>
      </c>
      <c r="B19" t="n">
        <v>30</v>
      </c>
      <c r="C19" t="n">
        <v>15</v>
      </c>
      <c r="D19" t="n">
        <v>15</v>
      </c>
      <c r="E19" t="inlineStr"/>
    </row>
    <row r="20">
      <c r="A20" t="n">
        <v>3</v>
      </c>
      <c r="B20" t="n">
        <v>20</v>
      </c>
      <c r="C20" t="n">
        <v>15</v>
      </c>
      <c r="D20" t="n">
        <v>10</v>
      </c>
      <c r="E20" t="inlineStr"/>
    </row>
    <row r="21">
      <c r="A21" t="n">
        <v>4</v>
      </c>
      <c r="B21" t="n">
        <v>10</v>
      </c>
      <c r="C21" t="n">
        <v>10</v>
      </c>
      <c r="D21" t="n">
        <v>10</v>
      </c>
      <c r="E21" t="inlineStr"/>
    </row>
    <row r="22">
      <c r="A22" t="n">
        <v>5</v>
      </c>
      <c r="B22" t="n">
        <v>5</v>
      </c>
      <c r="C22" t="n">
        <v>5</v>
      </c>
      <c r="D22" t="n">
        <v>10</v>
      </c>
      <c r="E22" t="inlineStr"/>
    </row>
    <row r="24">
      <c r="A24" s="1" t="inlineStr">
        <is>
          <t>DOWN CALCULATION</t>
        </is>
      </c>
    </row>
    <row r="25">
      <c r="A25" s="2" t="inlineStr">
        <is>
          <t>Level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 Lot Raw</t>
        </is>
      </c>
      <c r="G25" s="2" t="inlineStr">
        <is>
          <t>Big Lot Rounded</t>
        </is>
      </c>
      <c r="H25" s="2" t="inlineStr">
        <is>
          <t>Small Lot Raw</t>
        </is>
      </c>
      <c r="I25" s="2" t="inlineStr">
        <is>
          <t>Small Lot Rounded</t>
        </is>
      </c>
      <c r="J25" s="2" t="inlineStr">
        <is>
          <t>Start Before %</t>
        </is>
      </c>
      <c r="K25" s="2" t="inlineStr">
        <is>
          <t>Total Main Before %</t>
        </is>
      </c>
      <c r="L25" s="2" t="inlineStr">
        <is>
          <t>Total Opp After %</t>
        </is>
      </c>
      <c r="M25" s="2" t="inlineStr">
        <is>
          <t>Auto Close %</t>
        </is>
      </c>
      <c r="N25" s="2" t="inlineStr">
        <is>
          <t>Final Close %</t>
        </is>
      </c>
      <c r="O25" s="2" t="inlineStr">
        <is>
          <t>Close Lot Raw</t>
        </is>
      </c>
      <c r="P25" s="2" t="inlineStr">
        <is>
          <t>Close Lot Rounded</t>
        </is>
      </c>
      <c r="Q25" s="2" t="inlineStr">
        <is>
          <t>Start After %</t>
        </is>
      </c>
      <c r="R25" s="2" t="inlineStr">
        <is>
          <t>Sum Big %</t>
        </is>
      </c>
      <c r="S25" s="2" t="inlineStr">
        <is>
          <t>Sum Small %</t>
        </is>
      </c>
      <c r="T25" s="2" t="inlineStr">
        <is>
          <t>Total Main %</t>
        </is>
      </c>
      <c r="U25" s="2" t="inlineStr">
        <is>
          <t>Total Opp %</t>
        </is>
      </c>
      <c r="V25" s="2" t="inlineStr">
        <is>
          <t>Skew %</t>
        </is>
      </c>
      <c r="W25" s="2" t="inlineStr">
        <is>
          <t>Rounded Total Main Lot</t>
        </is>
      </c>
      <c r="X25" s="2" t="inlineStr">
        <is>
          <t>Rounded Total Opp Lot</t>
        </is>
      </c>
      <c r="Y25" s="2" t="inlineStr">
        <is>
          <t>Rounded Skew Lot</t>
        </is>
      </c>
      <c r="Z25" s="2" t="inlineStr">
        <is>
          <t>Status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IF(E18="","",E18)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$B$2*Q26/100+SUM($G$26:G26)</f>
        <v/>
      </c>
      <c r="X26">
        <f>$B$2+SUM($I$26:I26)</f>
        <v/>
      </c>
      <c r="Y26">
        <f>X26-W26</f>
        <v/>
      </c>
      <c r="Z26">
        <f>IF(COUNTIF($F$2:$F$9,"ERROR*")&gt;0,"ERROR",IF(OR(B26&lt;C26,B26&lt;0,C26&lt;0,D26&lt;0,E26&lt;0,E26&gt;J26,T26&gt;U26,W26&gt;X26,AND(B26&gt;0,G26=0),AND(C26&gt;0,I26=0)),"ERROR",IF(AND(D26&gt;0,Y26&lt;($B$2*D26/100)),"WARNING","OK")))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IF(E19="","",E19)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$B$2*Q27/100+SUM($G$26:G27)</f>
        <v/>
      </c>
      <c r="X27">
        <f>$B$2+SUM($I$26:I27)</f>
        <v/>
      </c>
      <c r="Y27">
        <f>X27-W27</f>
        <v/>
      </c>
      <c r="Z27">
        <f>IF(COUNTIF($F$2:$F$9,"ERROR*")&gt;0,"ERROR",IF(OR(B27&lt;C27,B27&lt;0,C27&lt;0,D27&lt;0,E27&lt;0,E27&gt;J27,T27&gt;U27,W27&gt;X27,AND(B27&gt;0,G27=0),AND(C27&gt;0,I27=0)),"ERROR",IF(AND(D27&gt;0,Y27&lt;($B$2*D27/100)),"WARNING","OK")))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IF(E20="","",E20)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$B$2*Q28/100+SUM($G$26:G28)</f>
        <v/>
      </c>
      <c r="X28">
        <f>$B$2+SUM($I$26:I28)</f>
        <v/>
      </c>
      <c r="Y28">
        <f>X28-W28</f>
        <v/>
      </c>
      <c r="Z28">
        <f>IF(COUNTIF($F$2:$F$9,"ERROR*")&gt;0,"ERROR",IF(OR(B28&lt;C28,B28&lt;0,C28&lt;0,D28&lt;0,E28&lt;0,E28&gt;J28,T28&gt;U28,W28&gt;X28,AND(B28&gt;0,G28=0),AND(C28&gt;0,I28=0)),"ERROR",IF(AND(D28&gt;0,Y28&lt;($B$2*D28/100)),"WARNING","OK")))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IF(E21="","",E21)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$B$2*Q29/100+SUM($G$26:G29)</f>
        <v/>
      </c>
      <c r="X29">
        <f>$B$2+SUM($I$26:I29)</f>
        <v/>
      </c>
      <c r="Y29">
        <f>X29-W29</f>
        <v/>
      </c>
      <c r="Z29">
        <f>IF(COUNTIF($F$2:$F$9,"ERROR*")&gt;0,"ERROR",IF(OR(B29&lt;C29,B29&lt;0,C29&lt;0,D29&lt;0,E29&lt;0,E29&gt;J29,T29&gt;U29,W29&gt;X29,AND(B29&gt;0,G29=0),AND(C29&gt;0,I29=0)),"ERROR",IF(AND(D29&gt;0,Y29&lt;($B$2*D29/100)),"WARNING","OK")))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IF(E22="","",E22)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$B$2*Q30/100+SUM($G$26:G30)</f>
        <v/>
      </c>
      <c r="X30">
        <f>$B$2+SUM($I$26:I30)</f>
        <v/>
      </c>
      <c r="Y30">
        <f>X30-W30</f>
        <v/>
      </c>
      <c r="Z30">
        <f>IF(COUNTIF($F$2:$F$9,"ERROR*")&gt;0,"ERROR",IF(OR(B30&lt;C30,B30&lt;0,C30&lt;0,D30&lt;0,E30&lt;0,E30&gt;J30,T30&gt;U30,W30&gt;X30,AND(B30&gt;0,G30=0),AND(C30&gt;0,I30=0)),"ERROR",IF(AND(D30&gt;0,Y30&lt;($B$2*D30/100)),"WARNING","OK")))</f>
        <v/>
      </c>
    </row>
    <row r="33">
      <c r="A33" s="1" t="inlineStr">
        <is>
          <t>UP CALCULATION</t>
        </is>
      </c>
    </row>
    <row r="34">
      <c r="A34" s="2" t="inlineStr">
        <is>
          <t>Level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 Lot Raw</t>
        </is>
      </c>
      <c r="G34" s="2" t="inlineStr">
        <is>
          <t>Big Lot Rounded</t>
        </is>
      </c>
      <c r="H34" s="2" t="inlineStr">
        <is>
          <t>Small Lot Raw</t>
        </is>
      </c>
      <c r="I34" s="2" t="inlineStr">
        <is>
          <t>Small Lot Rounded</t>
        </is>
      </c>
      <c r="J34" s="2" t="inlineStr">
        <is>
          <t>Start Before %</t>
        </is>
      </c>
      <c r="K34" s="2" t="inlineStr">
        <is>
          <t>Total Main Before %</t>
        </is>
      </c>
      <c r="L34" s="2" t="inlineStr">
        <is>
          <t>Total Opp After %</t>
        </is>
      </c>
      <c r="M34" s="2" t="inlineStr">
        <is>
          <t>Auto Close %</t>
        </is>
      </c>
      <c r="N34" s="2" t="inlineStr">
        <is>
          <t>Final Close %</t>
        </is>
      </c>
      <c r="O34" s="2" t="inlineStr">
        <is>
          <t>Close Lot Raw</t>
        </is>
      </c>
      <c r="P34" s="2" t="inlineStr">
        <is>
          <t>Close Lot Rounded</t>
        </is>
      </c>
      <c r="Q34" s="2" t="inlineStr">
        <is>
          <t>Start After %</t>
        </is>
      </c>
      <c r="R34" s="2" t="inlineStr">
        <is>
          <t>Sum Big %</t>
        </is>
      </c>
      <c r="S34" s="2" t="inlineStr">
        <is>
          <t>Sum Small %</t>
        </is>
      </c>
      <c r="T34" s="2" t="inlineStr">
        <is>
          <t>Total Main %</t>
        </is>
      </c>
      <c r="U34" s="2" t="inlineStr">
        <is>
          <t>Total Opp %</t>
        </is>
      </c>
      <c r="V34" s="2" t="inlineStr">
        <is>
          <t>Skew %</t>
        </is>
      </c>
      <c r="W34" s="2" t="inlineStr">
        <is>
          <t>Rounded Total Main Lot</t>
        </is>
      </c>
      <c r="X34" s="2" t="inlineStr">
        <is>
          <t>Rounded Total Opp Lot</t>
        </is>
      </c>
      <c r="Y34" s="2" t="inlineStr">
        <is>
          <t>Rounded Skew Lot</t>
        </is>
      </c>
      <c r="Z34" s="2" t="inlineStr">
        <is>
          <t>Status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IF(E18="","",E18)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$B$2*Q35/100+SUM($G$35:G35)</f>
        <v/>
      </c>
      <c r="X35">
        <f>$B$2+SUM($I$35:I35)</f>
        <v/>
      </c>
      <c r="Y35">
        <f>X35-W35</f>
        <v/>
      </c>
      <c r="Z35">
        <f>IF(COUNTIF($F$2:$F$9,"ERROR*")&gt;0,"ERROR",IF(OR(B35&lt;C35,B35&lt;0,C35&lt;0,D35&lt;0,E35&lt;0,E35&gt;J35,T35&gt;U35,W35&gt;X35,AND(B35&gt;0,G35=0),AND(C35&gt;0,I35=0)),"ERROR",IF(AND(D35&gt;0,Y35&lt;($B$2*D35/100)),"WARNING","OK")))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IF(E19="","",E19)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$B$2*Q36/100+SUM($G$35:G36)</f>
        <v/>
      </c>
      <c r="X36">
        <f>$B$2+SUM($I$35:I36)</f>
        <v/>
      </c>
      <c r="Y36">
        <f>X36-W36</f>
        <v/>
      </c>
      <c r="Z36">
        <f>IF(COUNTIF($F$2:$F$9,"ERROR*")&gt;0,"ERROR",IF(OR(B36&lt;C36,B36&lt;0,C36&lt;0,D36&lt;0,E36&lt;0,E36&gt;J36,T36&gt;U36,W36&gt;X36,AND(B36&gt;0,G36=0),AND(C36&gt;0,I36=0)),"ERROR",IF(AND(D36&gt;0,Y36&lt;($B$2*D36/100)),"WARNING","OK")))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IF(E20="","",E20)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$B$2*Q37/100+SUM($G$35:G37)</f>
        <v/>
      </c>
      <c r="X37">
        <f>$B$2+SUM($I$35:I37)</f>
        <v/>
      </c>
      <c r="Y37">
        <f>X37-W37</f>
        <v/>
      </c>
      <c r="Z37">
        <f>IF(COUNTIF($F$2:$F$9,"ERROR*")&gt;0,"ERROR",IF(OR(B37&lt;C37,B37&lt;0,C37&lt;0,D37&lt;0,E37&lt;0,E37&gt;J37,T37&gt;U37,W37&gt;X37,AND(B37&gt;0,G37=0),AND(C37&gt;0,I37=0)),"ERROR",IF(AND(D37&gt;0,Y37&lt;($B$2*D37/100)),"WARNING","OK")))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IF(E21="","",E21)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$B$2*Q38/100+SUM($G$35:G38)</f>
        <v/>
      </c>
      <c r="X38">
        <f>$B$2+SUM($I$35:I38)</f>
        <v/>
      </c>
      <c r="Y38">
        <f>X38-W38</f>
        <v/>
      </c>
      <c r="Z38">
        <f>IF(COUNTIF($F$2:$F$9,"ERROR*")&gt;0,"ERROR",IF(OR(B38&lt;C38,B38&lt;0,C38&lt;0,D38&lt;0,E38&lt;0,E38&gt;J38,T38&gt;U38,W38&gt;X38,AND(B38&gt;0,G38=0),AND(C38&gt;0,I38=0)),"ERROR",IF(AND(D38&gt;0,Y38&lt;($B$2*D38/100)),"WARNING","OK")))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IF(E22="","",E22)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$B$2*Q39/100+SUM($G$35:G39)</f>
        <v/>
      </c>
      <c r="X39">
        <f>$B$2+SUM($I$35:I39)</f>
        <v/>
      </c>
      <c r="Y39">
        <f>X39-W39</f>
        <v/>
      </c>
      <c r="Z39">
        <f>IF(COUNTIF($F$2:$F$9,"ERROR*")&gt;0,"ERROR",IF(OR(B39&lt;C39,B39&lt;0,C39&lt;0,D39&lt;0,E39&lt;0,E39&gt;J39,T39&gt;U39,W39&gt;X39,AND(B39&gt;0,G39=0),AND(C39&gt;0,I39=0)),"ERROR",IF(AND(D39&gt;0,Y39&lt;($B$2*D39/100)),"WARNING","OK")))</f>
        <v/>
      </c>
    </row>
    <row r="42">
      <c r="A42" s="1" t="inlineStr">
        <is>
          <t>SUMMARY</t>
        </is>
      </c>
    </row>
    <row r="43">
      <c r="A43" t="inlineStr">
        <is>
          <t>Selected Direction</t>
        </is>
      </c>
      <c r="B43">
        <f>B6</f>
        <v/>
      </c>
    </row>
    <row r="44">
      <c r="A44" t="inlineStr">
        <is>
          <t>Final Total Main %</t>
        </is>
      </c>
      <c r="B44">
        <f>IF(B6="DOWN",T30,T39)</f>
        <v/>
      </c>
    </row>
    <row r="45">
      <c r="A45" t="inlineStr">
        <is>
          <t>Final Total Opposite %</t>
        </is>
      </c>
      <c r="B45">
        <f>IF(B6="DOWN",U30,U39)</f>
        <v/>
      </c>
    </row>
    <row r="46">
      <c r="A46" t="inlineStr">
        <is>
          <t>Final Skew %</t>
        </is>
      </c>
      <c r="B46">
        <f>IF(B6="DOWN",V30,V39)</f>
        <v/>
      </c>
    </row>
    <row r="47">
      <c r="A47" t="inlineStr">
        <is>
          <t>Final Start Remaining %</t>
        </is>
      </c>
      <c r="B47">
        <f>IF(B6="DOWN",Q30,Q39)</f>
        <v/>
      </c>
    </row>
    <row r="48">
      <c r="A48" t="inlineStr">
        <is>
          <t>Final Rounded Main Lot</t>
        </is>
      </c>
      <c r="B48">
        <f>IF(B6="DOWN",W30,W39)</f>
        <v/>
      </c>
    </row>
    <row r="49">
      <c r="A49" t="inlineStr">
        <is>
          <t>Final Rounded Opp Lot</t>
        </is>
      </c>
      <c r="B49">
        <f>IF(B6="DOWN",X30,X39)</f>
        <v/>
      </c>
    </row>
    <row r="50">
      <c r="A50" t="inlineStr">
        <is>
          <t>Final Rounded Skew Lot</t>
        </is>
      </c>
      <c r="B50">
        <f>IF(B6="DOWN",Y30,Y39)</f>
        <v/>
      </c>
    </row>
    <row r="51">
      <c r="A51" t="inlineStr">
        <is>
          <t>Final Rounded Status</t>
        </is>
      </c>
      <c r="B51">
        <f>IF(B6="DOWN",Z30,Z39)</f>
        <v/>
      </c>
    </row>
    <row r="52">
      <c r="A52" t="inlineStr">
        <is>
          <t>Final System Status</t>
        </is>
      </c>
      <c r="B52">
        <f>IF(B6="DOWN",IF(COUNTIF(Z26:Z30,"ERROR")&gt;0,"ERROR",IF(COUNTIF(Z26:Z30,"WARNING")&gt;0,"WARNING","OK")),IF(COUNTIF(Z35:Z39,"ERROR")&gt;0,"ERROR",IF(COUNTIF(Z35:Z39,"WARNING")&gt;0,"WARNING","OK")))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Test</t>
        </is>
      </c>
      <c r="B1" s="2" t="inlineStr">
        <is>
          <t>Actual</t>
        </is>
      </c>
      <c r="C1" s="2" t="inlineStr">
        <is>
          <t>Expected</t>
        </is>
      </c>
      <c r="D1" s="2" t="inlineStr">
        <is>
          <t>Result</t>
        </is>
      </c>
    </row>
    <row r="2">
      <c r="A2" t="inlineStr">
        <is>
          <t>Down L1 Close%</t>
        </is>
      </c>
      <c r="B2">
        <f>Calculator!N26</f>
        <v/>
      </c>
      <c r="C2" t="n">
        <v>60</v>
      </c>
      <c r="D2">
        <f>IF(ABS(B2-C2)&lt;0.000001,"PASS","FAIL")</f>
        <v/>
      </c>
    </row>
    <row r="3">
      <c r="A3" t="inlineStr">
        <is>
          <t>Down L2 Close%</t>
        </is>
      </c>
      <c r="B3">
        <f>Calculator!N27</f>
        <v/>
      </c>
      <c r="C3" t="n">
        <v>30</v>
      </c>
      <c r="D3">
        <f>IF(ABS(B3-C3)&lt;0.000001,"PASS","FAIL")</f>
        <v/>
      </c>
    </row>
    <row r="4">
      <c r="A4" t="inlineStr">
        <is>
          <t>Down Final Main</t>
        </is>
      </c>
      <c r="B4">
        <f>Calculator!T30</f>
        <v/>
      </c>
      <c r="C4" t="n">
        <v>165</v>
      </c>
      <c r="D4">
        <f>IF(ABS(B4-C4)&lt;0.000001,"PASS","FAIL")</f>
        <v/>
      </c>
    </row>
    <row r="5">
      <c r="A5" t="inlineStr">
        <is>
          <t>Down Final Opp</t>
        </is>
      </c>
      <c r="B5">
        <f>Calculator!U30</f>
        <v/>
      </c>
      <c r="C5" t="n">
        <v>175</v>
      </c>
      <c r="D5">
        <f>IF(ABS(B5-C5)&lt;0.000001,"PASS","FAIL")</f>
        <v/>
      </c>
    </row>
    <row r="6">
      <c r="A6" t="inlineStr">
        <is>
          <t>Down Final Skew</t>
        </is>
      </c>
      <c r="B6">
        <f>Calculator!V30</f>
        <v/>
      </c>
      <c r="C6" t="n">
        <v>10</v>
      </c>
      <c r="D6">
        <f>IF(ABS(B6-C6)&lt;0.000001,"PASS","FAIL")</f>
        <v/>
      </c>
    </row>
    <row r="7">
      <c r="A7" t="inlineStr">
        <is>
          <t>Up L1 Close%</t>
        </is>
      </c>
      <c r="B7">
        <f>Calculator!N35</f>
        <v/>
      </c>
      <c r="C7" t="n">
        <v>60</v>
      </c>
      <c r="D7">
        <f>IF(ABS(B7-C7)&lt;0.000001,"PASS","FAIL")</f>
        <v/>
      </c>
    </row>
    <row r="8">
      <c r="A8" t="inlineStr">
        <is>
          <t>Up L2 Close%</t>
        </is>
      </c>
      <c r="B8">
        <f>Calculator!N36</f>
        <v/>
      </c>
      <c r="C8" t="n">
        <v>30</v>
      </c>
      <c r="D8">
        <f>IF(ABS(B8-C8)&lt;0.000001,"PASS","FAIL")</f>
        <v/>
      </c>
    </row>
    <row r="9">
      <c r="A9" t="inlineStr">
        <is>
          <t>Up Final Main</t>
        </is>
      </c>
      <c r="B9">
        <f>Calculator!T39</f>
        <v/>
      </c>
      <c r="C9" t="n">
        <v>165</v>
      </c>
      <c r="D9">
        <f>IF(ABS(B9-C9)&lt;0.000001,"PASS","FAIL")</f>
        <v/>
      </c>
    </row>
    <row r="10">
      <c r="A10" t="inlineStr">
        <is>
          <t>Up Final Opp</t>
        </is>
      </c>
      <c r="B10">
        <f>Calculator!U39</f>
        <v/>
      </c>
      <c r="C10" t="n">
        <v>175</v>
      </c>
      <c r="D10">
        <f>IF(ABS(B10-C10)&lt;0.000001,"PASS","FAIL")</f>
        <v/>
      </c>
    </row>
    <row r="11">
      <c r="A11" t="inlineStr">
        <is>
          <t>Up Final Skew</t>
        </is>
      </c>
      <c r="B11">
        <f>Calculator!V39</f>
        <v/>
      </c>
      <c r="C11" t="n">
        <v>10</v>
      </c>
      <c r="D11">
        <f>IF(ABS(B11-C11)&lt;0.000001,"PASS","FAIL")</f>
        <v/>
      </c>
    </row>
    <row r="12">
      <c r="A12" t="inlineStr">
        <is>
          <t>Down L1 Rounded Main</t>
        </is>
      </c>
      <c r="B12">
        <f>Calculator!W26</f>
        <v/>
      </c>
      <c r="C12" t="n">
        <v>1.3</v>
      </c>
      <c r="D12">
        <f>IF(ABS(B12-C12)&lt;0.000001,"PASS","FAIL")</f>
        <v/>
      </c>
    </row>
    <row r="13">
      <c r="A13" t="inlineStr">
        <is>
          <t>Down L1 Rounded Opp</t>
        </is>
      </c>
      <c r="B13">
        <f>Calculator!X26</f>
        <v/>
      </c>
      <c r="C13" t="n">
        <v>1.3</v>
      </c>
      <c r="D13">
        <f>IF(ABS(B13-C13)&lt;0.000001,"PASS","FAIL")</f>
        <v/>
      </c>
    </row>
    <row r="14">
      <c r="A14" t="inlineStr">
        <is>
          <t>Down L1 Rounded Skew</t>
        </is>
      </c>
      <c r="B14">
        <f>Calculator!Y26</f>
        <v/>
      </c>
      <c r="C14" t="n">
        <v>0</v>
      </c>
      <c r="D14">
        <f>IF(ABS(B14-C14)&lt;0.000001,"PASS","FAIL")</f>
        <v/>
      </c>
    </row>
    <row r="15">
      <c r="A15" t="inlineStr">
        <is>
          <t>Down L1 Status</t>
        </is>
      </c>
      <c r="B15">
        <f>Calculator!Z26</f>
        <v/>
      </c>
      <c r="C15" t="inlineStr">
        <is>
          <t>OK</t>
        </is>
      </c>
      <c r="D15">
        <f>IF(B15=C15,"PASS","FAIL")</f>
        <v/>
      </c>
    </row>
    <row r="16">
      <c r="A16" t="inlineStr">
        <is>
          <t>Down L2 Rounded Main</t>
        </is>
      </c>
      <c r="B16">
        <f>Calculator!W27</f>
        <v/>
      </c>
      <c r="C16" t="n">
        <v>1.3</v>
      </c>
      <c r="D16">
        <f>IF(ABS(B16-C16)&lt;0.000001,"PASS","FAIL")</f>
        <v/>
      </c>
    </row>
    <row r="17">
      <c r="A17" t="inlineStr">
        <is>
          <t>Down L2 Rounded Opp</t>
        </is>
      </c>
      <c r="B17">
        <f>Calculator!X27</f>
        <v/>
      </c>
      <c r="C17" t="n">
        <v>1.45</v>
      </c>
      <c r="D17">
        <f>IF(ABS(B17-C17)&lt;0.000001,"PASS","FAIL")</f>
        <v/>
      </c>
    </row>
    <row r="18">
      <c r="A18" t="inlineStr">
        <is>
          <t>Down L2 Rounded Skew</t>
        </is>
      </c>
      <c r="B18">
        <f>Calculator!Y27</f>
        <v/>
      </c>
      <c r="C18" t="n">
        <v>0.15</v>
      </c>
      <c r="D18">
        <f>IF(ABS(B18-C18)&lt;0.000001,"PASS","FAIL")</f>
        <v/>
      </c>
    </row>
    <row r="19">
      <c r="A19" t="inlineStr">
        <is>
          <t>Down L2 Status</t>
        </is>
      </c>
      <c r="B19">
        <f>Calculator!Z27</f>
        <v/>
      </c>
      <c r="C19" t="inlineStr">
        <is>
          <t>OK</t>
        </is>
      </c>
      <c r="D19">
        <f>IF(B19=C19,"PASS","FAIL")</f>
        <v/>
      </c>
    </row>
    <row r="20">
      <c r="A20" t="inlineStr">
        <is>
          <t>Down Final Rounded Main</t>
        </is>
      </c>
      <c r="B20">
        <f>Calculator!W30</f>
        <v/>
      </c>
      <c r="C20" t="n">
        <v>1.65</v>
      </c>
      <c r="D20">
        <f>IF(ABS(B20-C20)&lt;0.000001,"PASS","FAIL")</f>
        <v/>
      </c>
    </row>
    <row r="21">
      <c r="A21" t="inlineStr">
        <is>
          <t>Down Final Rounded Opp</t>
        </is>
      </c>
      <c r="B21">
        <f>Calculator!X30</f>
        <v/>
      </c>
      <c r="C21" t="n">
        <v>1.75</v>
      </c>
      <c r="D21">
        <f>IF(ABS(B21-C21)&lt;0.000001,"PASS","FAIL")</f>
        <v/>
      </c>
    </row>
    <row r="22">
      <c r="A22" t="inlineStr">
        <is>
          <t>Down Final Rounded Skew</t>
        </is>
      </c>
      <c r="B22">
        <f>Calculator!Y30</f>
        <v/>
      </c>
      <c r="C22" t="n">
        <v>0.1</v>
      </c>
      <c r="D22">
        <f>IF(ABS(B22-C22)&lt;0.000001,"PASS","FAIL")</f>
        <v/>
      </c>
    </row>
    <row r="23">
      <c r="A23" t="inlineStr">
        <is>
          <t>Down Final Status</t>
        </is>
      </c>
      <c r="B23">
        <f>Calculator!Z30</f>
        <v/>
      </c>
      <c r="C23" t="inlineStr">
        <is>
          <t>OK</t>
        </is>
      </c>
      <c r="D23">
        <f>IF(B23=C23,"PASS","FAIL")</f>
        <v/>
      </c>
    </row>
    <row r="24">
      <c r="A24" t="inlineStr">
        <is>
          <t>Up L1 Rounded Main</t>
        </is>
      </c>
      <c r="B24">
        <f>Calculator!W35</f>
        <v/>
      </c>
      <c r="C24" t="n">
        <v>1.3</v>
      </c>
      <c r="D24">
        <f>IF(ABS(B24-C24)&lt;0.000001,"PASS","FAIL")</f>
        <v/>
      </c>
    </row>
    <row r="25">
      <c r="A25" t="inlineStr">
        <is>
          <t>Up L1 Rounded Opp</t>
        </is>
      </c>
      <c r="B25">
        <f>Calculator!X35</f>
        <v/>
      </c>
      <c r="C25" t="n">
        <v>1.3</v>
      </c>
      <c r="D25">
        <f>IF(ABS(B25-C25)&lt;0.000001,"PASS","FAIL")</f>
        <v/>
      </c>
    </row>
    <row r="26">
      <c r="A26" t="inlineStr">
        <is>
          <t>Up L1 Rounded Skew</t>
        </is>
      </c>
      <c r="B26">
        <f>Calculator!Y35</f>
        <v/>
      </c>
      <c r="C26" t="n">
        <v>0</v>
      </c>
      <c r="D26">
        <f>IF(ABS(B26-C26)&lt;0.000001,"PASS","FAIL")</f>
        <v/>
      </c>
    </row>
    <row r="27">
      <c r="A27" t="inlineStr">
        <is>
          <t>Up L1 Status</t>
        </is>
      </c>
      <c r="B27">
        <f>Calculator!Z35</f>
        <v/>
      </c>
      <c r="C27" t="inlineStr">
        <is>
          <t>OK</t>
        </is>
      </c>
      <c r="D27">
        <f>IF(B27=C27,"PASS","FAIL")</f>
        <v/>
      </c>
    </row>
    <row r="28">
      <c r="A28" t="inlineStr">
        <is>
          <t>Up L2 Rounded Main</t>
        </is>
      </c>
      <c r="B28">
        <f>Calculator!W36</f>
        <v/>
      </c>
      <c r="C28" t="n">
        <v>1.3</v>
      </c>
      <c r="D28">
        <f>IF(ABS(B28-C28)&lt;0.000001,"PASS","FAIL")</f>
        <v/>
      </c>
    </row>
    <row r="29">
      <c r="A29" t="inlineStr">
        <is>
          <t>Up L2 Rounded Opp</t>
        </is>
      </c>
      <c r="B29">
        <f>Calculator!X36</f>
        <v/>
      </c>
      <c r="C29" t="n">
        <v>1.45</v>
      </c>
      <c r="D29">
        <f>IF(ABS(B29-C29)&lt;0.000001,"PASS","FAIL")</f>
        <v/>
      </c>
    </row>
    <row r="30">
      <c r="A30" t="inlineStr">
        <is>
          <t>Up L2 Rounded Skew</t>
        </is>
      </c>
      <c r="B30">
        <f>Calculator!Y36</f>
        <v/>
      </c>
      <c r="C30" t="n">
        <v>0.15</v>
      </c>
      <c r="D30">
        <f>IF(ABS(B30-C30)&lt;0.000001,"PASS","FAIL")</f>
        <v/>
      </c>
    </row>
    <row r="31">
      <c r="A31" t="inlineStr">
        <is>
          <t>Up L2 Status</t>
        </is>
      </c>
      <c r="B31">
        <f>Calculator!Z36</f>
        <v/>
      </c>
      <c r="C31" t="inlineStr">
        <is>
          <t>OK</t>
        </is>
      </c>
      <c r="D31">
        <f>IF(B31=C31,"PASS","FAIL")</f>
        <v/>
      </c>
    </row>
    <row r="32">
      <c r="A32" t="inlineStr">
        <is>
          <t>Up Final Rounded Main</t>
        </is>
      </c>
      <c r="B32">
        <f>Calculator!W39</f>
        <v/>
      </c>
      <c r="C32" t="n">
        <v>1.65</v>
      </c>
      <c r="D32">
        <f>IF(ABS(B32-C32)&lt;0.000001,"PASS","FAIL")</f>
        <v/>
      </c>
    </row>
    <row r="33">
      <c r="A33" t="inlineStr">
        <is>
          <t>Up Final Rounded Opp</t>
        </is>
      </c>
      <c r="B33">
        <f>Calculator!X39</f>
        <v/>
      </c>
      <c r="C33" t="n">
        <v>1.75</v>
      </c>
      <c r="D33">
        <f>IF(ABS(B33-C33)&lt;0.000001,"PASS","FAIL")</f>
        <v/>
      </c>
    </row>
    <row r="34">
      <c r="A34" t="inlineStr">
        <is>
          <t>Up Final Rounded Skew</t>
        </is>
      </c>
      <c r="B34">
        <f>Calculator!Y39</f>
        <v/>
      </c>
      <c r="C34" t="n">
        <v>0.1</v>
      </c>
      <c r="D34">
        <f>IF(ABS(B34-C34)&lt;0.000001,"PASS","FAIL")</f>
        <v/>
      </c>
    </row>
    <row r="35">
      <c r="A35" t="inlineStr">
        <is>
          <t>Up Final Status</t>
        </is>
      </c>
      <c r="B35">
        <f>Calculator!Z39</f>
        <v/>
      </c>
      <c r="C35" t="inlineStr">
        <is>
          <t>OK</t>
        </is>
      </c>
      <c r="D35">
        <f>IF(B35=C35,"PASS","FAIL")</f>
        <v/>
      </c>
    </row>
    <row r="36">
      <c r="A36" t="inlineStr">
        <is>
          <t>Summary Final Rounded Status</t>
        </is>
      </c>
      <c r="B36">
        <f>Calculator!B51</f>
        <v/>
      </c>
      <c r="C36" t="inlineStr">
        <is>
          <t>OK</t>
        </is>
      </c>
      <c r="D36">
        <f>IF(B36=C36,"PASS","FAIL")</f>
        <v/>
      </c>
    </row>
    <row r="37">
      <c r="A37" t="inlineStr">
        <is>
          <t>Summary Final System Status</t>
        </is>
      </c>
      <c r="B37">
        <f>Calculator!B52</f>
        <v/>
      </c>
      <c r="C37" t="inlineStr">
        <is>
          <t>OK</t>
        </is>
      </c>
      <c r="D37">
        <f>IF(B37=C37,"PASS","FAIL")</f>
        <v/>
      </c>
    </row>
    <row r="38">
      <c r="A38" t="inlineStr">
        <is>
          <t>Empty ManualClose uses AutoClose</t>
        </is>
      </c>
      <c r="B38">
        <f>IF(AND(ABS(Calculator!N26-Calculator!M26)&lt;0.000001,ABS(Calculator!N27-Calculator!M27)&lt;0.000001,ABS(Calculator!N35-Calculator!M35)&lt;0.000001),"PASS","FAIL")</f>
        <v/>
      </c>
      <c r="C38" t="inlineStr">
        <is>
          <t>PASS</t>
        </is>
      </c>
      <c r="D38">
        <f>IF(B38=C38,"PASS","FAIL")</f>
        <v/>
      </c>
    </row>
    <row r="39">
      <c r="A39" t="inlineStr">
        <is>
          <t>ManualClose override works</t>
        </is>
      </c>
      <c r="B39">
        <f>IF(AND(MIN(Calculator!J26,IF(50="",Calculator!M26,50))=50,MIN(Calculator!J35,IF(50="",Calculator!M35,50))=50),"PASS","FAIL")</f>
        <v/>
      </c>
      <c r="C39" t="inlineStr">
        <is>
          <t>PASS</t>
        </is>
      </c>
      <c r="D39">
        <f>IF(B39=C39,"PASS","FAIL")</f>
        <v/>
      </c>
    </row>
    <row r="40">
      <c r="A40" t="inlineStr">
        <is>
          <t>Empty ManualClose is blank not zero</t>
        </is>
      </c>
      <c r="B40">
        <f>IF(AND(Calculator!E26="",Calculator!E27="",Calculator!E28="",Calculator!E35="",Calculator!E36="",Calculator!E37=""),"PASS","FAIL")</f>
        <v/>
      </c>
      <c r="C40" t="inlineStr">
        <is>
          <t>PASS</t>
        </is>
      </c>
      <c r="D40">
        <f>IF(B40=C40,"PASS","FAIL")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Инструкция</t>
        </is>
      </c>
    </row>
    <row r="2">
      <c r="A2" t="inlineStr">
        <is>
          <t>1. Ввести StartLot.</t>
        </is>
      </c>
    </row>
    <row r="3">
      <c r="A3" t="inlineStr">
        <is>
          <t>2. Проверить StepPoints.</t>
        </is>
      </c>
    </row>
    <row r="4">
      <c r="A4" t="inlineStr">
        <is>
          <t>3. Выбрать Direction DOWN или UP.</t>
        </is>
      </c>
    </row>
    <row r="5">
      <c r="A5" t="inlineStr">
        <is>
          <t>4. При необходимости изменить Level Grid.</t>
        </is>
      </c>
    </row>
    <row r="6">
      <c r="A6" t="inlineStr">
        <is>
          <t>5. Смотреть Main Table.</t>
        </is>
      </c>
    </row>
    <row r="7">
      <c r="A7" t="inlineStr">
        <is>
          <t>6. Проверить Summary.</t>
        </is>
      </c>
    </row>
    <row r="8">
      <c r="A8" t="inlineStr">
        <is>
          <t>7. Если Status = OK — сетка безопасна по математике.</t>
        </is>
      </c>
    </row>
    <row r="9">
      <c r="A9" t="inlineStr">
        <is>
          <t>8. Если ERROR — использовать нельзя.</t>
        </is>
      </c>
    </row>
    <row r="10">
      <c r="A10" t="inlineStr">
        <is>
          <t>9. Если WARNING — проверить skew и rounded-лоты.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README</t>
        </is>
      </c>
    </row>
    <row r="2">
      <c r="A2" t="inlineStr">
        <is>
          <t>Это простой калькулятор skew-компрессии минусового замка.</t>
        </is>
      </c>
    </row>
    <row r="3">
      <c r="A3" t="inlineStr">
        <is>
          <t>Big — крупный ордер на основной стороне.</t>
        </is>
      </c>
    </row>
    <row r="4">
      <c r="A4" t="inlineStr">
        <is>
          <t>Small — малый ордер на противоположной стороне.</t>
        </is>
      </c>
    </row>
    <row r="5">
      <c r="A5" t="inlineStr">
        <is>
          <t>Safe Close — безопасное частичное закрытие стартового ордера.</t>
        </is>
      </c>
    </row>
    <row r="6">
      <c r="A6" t="inlineStr">
        <is>
          <t>Total Main — суммарный объём основной стороны.</t>
        </is>
      </c>
    </row>
    <row r="7">
      <c r="A7" t="inlineStr">
        <is>
          <t>Total Opposite — суммарный объём противоположной стороны.</t>
        </is>
      </c>
    </row>
    <row r="8">
      <c r="A8" t="inlineStr">
        <is>
          <t>Main &lt;= Opposite обязательно для сохранения защиты.</t>
        </is>
      </c>
    </row>
    <row r="9">
      <c r="A9" t="inlineStr">
        <is>
          <t>Status: OK — безопасно, WARNING — проверить skew/rounded, ERROR — нельзя использовать.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2026-05-20T14:43:22Z</dcterms:created>
  <dcterms:modified xsi:type="dcterms:W3CDTF">2026-05-20T14:43:22Z</dcterms:modified>
</cp:coreProperties>
</file>