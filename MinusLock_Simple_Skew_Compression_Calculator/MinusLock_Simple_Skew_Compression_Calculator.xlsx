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лькулятор" sheetId="1" state="visible" r:id="rId1"/>
    <sheet name="РИСК_АНАЛИЗ" sheetId="2" state="visible" r:id="rId2"/>
    <sheet name="Тесты" sheetId="3" state="visible" r:id="rId3"/>
    <sheet name="Руководство" sheetId="4" state="visible" r:id="rId4"/>
    <sheet name="Описание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График нагрузки на баланс</a:t>
            </a:r>
          </a:p>
        </rich>
      </tx>
    </title>
    <plotArea>
      <lineChart>
        <grouping val="standard"/>
        <ser>
          <idx val="0"/>
          <order val="0"/>
          <tx>
            <strRef>
              <f>'РИСК_АНАЛИЗ'!B2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'РИСК_АНАЛИЗ'!$A$3:$A$7</f>
            </numRef>
          </cat>
          <val>
            <numRef>
              <f>'РИСК_АНАЛИЗ'!$B$3:$B$7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График роста объёма</a:t>
            </a:r>
          </a:p>
        </rich>
      </tx>
    </title>
    <plotArea>
      <lineChart>
        <grouping val="standard"/>
        <ser>
          <idx val="0"/>
          <order val="0"/>
          <tx>
            <strRef>
              <f>'РИСК_АНАЛИЗ'!D2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'РИСК_АНАЛИЗ'!$A$3:$A$7</f>
            </numRef>
          </cat>
          <val>
            <numRef>
              <f>'РИСК_АНАЛИЗ'!$D$3:$D$7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График роста маржи</a:t>
            </a:r>
          </a:p>
        </rich>
      </tx>
    </title>
    <plotArea>
      <lineChart>
        <grouping val="standard"/>
        <ser>
          <idx val="0"/>
          <order val="0"/>
          <tx>
            <strRef>
              <f>'РИСК_АНАЛИЗ'!C2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'РИСК_АНАЛИЗ'!$A$3:$A$7</f>
            </numRef>
          </cat>
          <val>
            <numRef>
              <f>'РИСК_АНАЛИЗ'!$C$3:$C$7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График просадки</a:t>
            </a:r>
          </a:p>
        </rich>
      </tx>
    </title>
    <plotArea>
      <lineChart>
        <grouping val="standard"/>
        <ser>
          <idx val="0"/>
          <order val="0"/>
          <tx>
            <strRef>
              <f>'РИСК_АНАЛИЗ'!E2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'РИСК_АНАЛИЗ'!$A$3:$A$7</f>
            </numRef>
          </cat>
          <val>
            <numRef>
              <f>'РИСК_АНАЛИЗ'!$E$3:$E$7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График Margin Level</a:t>
            </a:r>
          </a:p>
        </rich>
      </tx>
    </title>
    <plotArea>
      <lineChart>
        <grouping val="standard"/>
        <ser>
          <idx val="0"/>
          <order val="0"/>
          <tx>
            <strRef>
              <f>'РИСК_АНАЛИЗ'!F2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'РИСК_АНАЛИЗ'!$A$3:$A$7</f>
            </numRef>
          </cat>
          <val>
            <numRef>
              <f>'РИСК_АНАЛИЗ'!$F$3:$F$7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33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49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8</col>
      <colOff>0</colOff>
      <row>65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7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ПАРАМЕТРЫ</t>
        </is>
      </c>
      <c r="J1" s="1" t="inlineStr">
        <is>
          <t>ПАРАМЕТРЫ РИСКА</t>
        </is>
      </c>
    </row>
    <row r="2">
      <c r="A2" t="inlineStr">
        <is>
          <t>СтартЛот</t>
        </is>
      </c>
      <c r="B2" t="n">
        <v>1</v>
      </c>
      <c r="J2" t="inlineStr">
        <is>
          <t>Баланс</t>
        </is>
      </c>
      <c r="K2" t="n">
        <v>10000</v>
      </c>
    </row>
    <row r="3">
      <c r="A3" t="inlineStr">
        <is>
          <t>ШагПункты</t>
        </is>
      </c>
      <c r="B3" t="n">
        <v>100</v>
      </c>
      <c r="J3" t="inlineStr">
        <is>
          <t>Плечо</t>
        </is>
      </c>
      <c r="K3" t="n">
        <v>100</v>
      </c>
    </row>
    <row r="4">
      <c r="A4" t="inlineStr">
        <is>
          <t>МаксУровни</t>
        </is>
      </c>
      <c r="B4" t="n">
        <v>5</v>
      </c>
      <c r="J4" t="inlineStr">
        <is>
          <t>РазмерКонтракта</t>
        </is>
      </c>
      <c r="K4" t="n">
        <v>100000</v>
      </c>
    </row>
    <row r="5">
      <c r="A5" t="inlineStr">
        <is>
          <t>ШагЛота</t>
        </is>
      </c>
      <c r="B5" t="n">
        <v>0.01</v>
      </c>
      <c r="J5" t="inlineStr">
        <is>
          <t>ЦенаИнструмента</t>
        </is>
      </c>
      <c r="K5" t="n">
        <v>1.1</v>
      </c>
    </row>
    <row r="6">
      <c r="A6" t="inlineStr">
        <is>
          <t>Направление</t>
        </is>
      </c>
      <c r="B6" t="inlineStr">
        <is>
          <t>DOWN</t>
        </is>
      </c>
      <c r="J6" t="inlineStr">
        <is>
          <t>СтоимостьПунктаНа1Лот</t>
        </is>
      </c>
      <c r="K6" t="n">
        <v>10</v>
      </c>
    </row>
    <row r="7">
      <c r="A7" t="inlineStr">
        <is>
          <t>Округлять</t>
        </is>
      </c>
      <c r="B7" t="b">
        <v>1</v>
      </c>
      <c r="J7" t="inlineStr">
        <is>
          <t>МаксДвижениеПротив(пункты)</t>
        </is>
      </c>
      <c r="K7" t="n">
        <v>500</v>
      </c>
    </row>
    <row r="8">
      <c r="A8" t="inlineStr">
        <is>
          <t>РежимBig</t>
        </is>
      </c>
      <c r="B8" t="inlineStr">
        <is>
          <t>ВНИЗ</t>
        </is>
      </c>
      <c r="J8" t="inlineStr">
        <is>
          <t>УровеньStopOut%</t>
        </is>
      </c>
      <c r="K8" t="n">
        <v>50</v>
      </c>
    </row>
    <row r="9">
      <c r="A9" t="inlineStr">
        <is>
          <t>РежимSmall</t>
        </is>
      </c>
      <c r="B9" t="inlineStr">
        <is>
          <t>ВВЕРХ</t>
        </is>
      </c>
      <c r="J9" t="inlineStr">
        <is>
          <t>УровеньMarginCall%</t>
        </is>
      </c>
      <c r="K9" t="n">
        <v>100</v>
      </c>
    </row>
    <row r="10">
      <c r="A10" t="inlineStr">
        <is>
          <t>РежимClose</t>
        </is>
      </c>
      <c r="B10" t="inlineStr">
        <is>
          <t>SAFE</t>
        </is>
      </c>
    </row>
    <row r="11">
      <c r="A11" t="inlineStr">
        <is>
          <t>СтоимостьПункта</t>
        </is>
      </c>
      <c r="B11" t="n">
        <v>10</v>
      </c>
    </row>
    <row r="12">
      <c r="A12" t="inlineStr">
        <is>
          <t>Спред</t>
        </is>
      </c>
      <c r="B12" t="n">
        <v>0</v>
      </c>
    </row>
    <row r="13">
      <c r="A13" t="inlineStr">
        <is>
          <t>Комиссия</t>
        </is>
      </c>
      <c r="B13" t="n">
        <v>0</v>
      </c>
    </row>
    <row r="16">
      <c r="A16" s="1" t="inlineStr">
        <is>
          <t>СЕТКА УРОВНЕЙ</t>
        </is>
      </c>
      <c r="J16" s="1" t="inlineStr">
        <is>
          <t>РИСКИ И МАРЖА</t>
        </is>
      </c>
    </row>
    <row r="17">
      <c r="A17" s="2" t="inlineStr">
        <is>
          <t>Уровень</t>
        </is>
      </c>
      <c r="B17" s="2" t="inlineStr">
        <is>
          <t>Big %</t>
        </is>
      </c>
      <c r="C17" s="2" t="inlineStr">
        <is>
          <t>Small %</t>
        </is>
      </c>
      <c r="D17" s="2" t="inlineStr">
        <is>
          <t>TargetSkew %</t>
        </is>
      </c>
      <c r="E17" s="2" t="inlineStr">
        <is>
          <t>ManualClose %</t>
        </is>
      </c>
      <c r="J17" s="2" t="inlineStr">
        <is>
          <t>Уровень</t>
        </is>
      </c>
      <c r="K17" s="2" t="inlineStr">
        <is>
          <t>Направление</t>
        </is>
      </c>
      <c r="L17" s="2" t="inlineStr">
        <is>
          <t>Общий Main Lot</t>
        </is>
      </c>
      <c r="M17" s="2" t="inlineStr">
        <is>
          <t>Общий Opposite Lot</t>
        </is>
      </c>
      <c r="N17" s="2" t="inlineStr">
        <is>
          <t>Общий открытый объём</t>
        </is>
      </c>
      <c r="O17" s="2" t="inlineStr">
        <is>
          <t>Чистый перекос (Net Lot)</t>
        </is>
      </c>
      <c r="P17" s="2" t="inlineStr">
        <is>
          <t>Маржа на 1 лот</t>
        </is>
      </c>
      <c r="Q17" s="2" t="inlineStr">
        <is>
          <t>Требуемая маржа</t>
        </is>
      </c>
      <c r="R17" s="2" t="inlineStr">
        <is>
          <t>Нагрузка на баланс %</t>
        </is>
      </c>
      <c r="S17" s="2" t="inlineStr">
        <is>
          <t>Максимальное движение против системы</t>
        </is>
      </c>
      <c r="T17" s="2" t="inlineStr">
        <is>
          <t>Плавающая просадка $</t>
        </is>
      </c>
      <c r="U17" s="2" t="inlineStr">
        <is>
          <t>Баланс после просадки</t>
        </is>
      </c>
      <c r="V17" s="2" t="inlineStr">
        <is>
          <t>Equity после просадки</t>
        </is>
      </c>
      <c r="W17" s="2" t="inlineStr">
        <is>
          <t>Свободная маржа</t>
        </is>
      </c>
      <c r="X17" s="2" t="inlineStr">
        <is>
          <t>Margin Level %</t>
        </is>
      </c>
      <c r="Y17" s="2" t="inlineStr">
        <is>
          <t>Риск Margin Call</t>
        </is>
      </c>
      <c r="Z17" s="2" t="inlineStr">
        <is>
          <t>Риск StopOut</t>
        </is>
      </c>
      <c r="AA17" s="2" t="inlineStr">
        <is>
          <t>Статус риска</t>
        </is>
      </c>
      <c r="AB17" s="2" t="inlineStr">
        <is>
          <t>Человеческий комментарий</t>
        </is>
      </c>
    </row>
    <row r="18">
      <c r="A18" t="n">
        <v>1</v>
      </c>
      <c r="B18" t="n">
        <v>90</v>
      </c>
      <c r="C18" t="n">
        <v>30</v>
      </c>
      <c r="D18" t="n">
        <v>0</v>
      </c>
      <c r="E18" t="inlineStr"/>
      <c r="J18" t="n">
        <v>1</v>
      </c>
      <c r="K18">
        <f>$B$6</f>
        <v/>
      </c>
      <c r="L18">
        <f>IF($B$6="DOWN",W26,W35)</f>
        <v/>
      </c>
      <c r="M18">
        <f>IF($B$6="DOWN",X26,X35)</f>
        <v/>
      </c>
      <c r="N18">
        <f>L18+M18</f>
        <v/>
      </c>
      <c r="O18">
        <f>ABS(L18-M18)</f>
        <v/>
      </c>
      <c r="P18">
        <f>$K$4*$K$5/$K$3</f>
        <v/>
      </c>
      <c r="Q18">
        <f>N18*P18</f>
        <v/>
      </c>
      <c r="R18">
        <f>Q18/$K$2*100</f>
        <v/>
      </c>
      <c r="S18">
        <f>$K$7</f>
        <v/>
      </c>
      <c r="T18">
        <f>O18*$K$6*$K$7</f>
        <v/>
      </c>
      <c r="U18">
        <f>$K$2-T18</f>
        <v/>
      </c>
      <c r="V18">
        <f>U18</f>
        <v/>
      </c>
      <c r="W18">
        <f>V18-Q18</f>
        <v/>
      </c>
      <c r="X18">
        <f>IF(Q18=0,0,V18/Q18*100)</f>
        <v/>
      </c>
      <c r="Y18">
        <f>IF(X18&lt;=$K$9,"РИСК MARGIN CALL","OK")</f>
        <v/>
      </c>
      <c r="Z18">
        <f>IF(X18&lt;=$K$8,"РИСК STOPOUT","OK")</f>
        <v/>
      </c>
      <c r="AA18">
        <f>IF(R18&lt;30,"OK",IF(R18&lt;50,"WARNING",IF(R18&lt;70,"DANGER","CRITICAL")))</f>
        <v/>
      </c>
      <c r="AB18">
        <f>"Уровень "&amp;J18&amp;". Маржа="&amp;ROUND(Q18,2)&amp;"$. Нагрузка="&amp;ROUND(R18,1)&amp;"%. Просадка="&amp;ROUND(T18,2)&amp;"$. Статус="&amp;AA18</f>
        <v/>
      </c>
    </row>
    <row r="19">
      <c r="A19" t="n">
        <v>2</v>
      </c>
      <c r="B19" t="n">
        <v>30</v>
      </c>
      <c r="C19" t="n">
        <v>15</v>
      </c>
      <c r="D19" t="n">
        <v>15</v>
      </c>
      <c r="E19" t="inlineStr"/>
      <c r="J19" t="n">
        <v>2</v>
      </c>
      <c r="K19">
        <f>$B$6</f>
        <v/>
      </c>
      <c r="L19">
        <f>IF($B$6="DOWN",W27,W36)</f>
        <v/>
      </c>
      <c r="M19">
        <f>IF($B$6="DOWN",X27,X36)</f>
        <v/>
      </c>
      <c r="N19">
        <f>L19+M19</f>
        <v/>
      </c>
      <c r="O19">
        <f>ABS(L19-M19)</f>
        <v/>
      </c>
      <c r="P19">
        <f>$K$4*$K$5/$K$3</f>
        <v/>
      </c>
      <c r="Q19">
        <f>N19*P19</f>
        <v/>
      </c>
      <c r="R19">
        <f>Q19/$K$2*100</f>
        <v/>
      </c>
      <c r="S19">
        <f>$K$7</f>
        <v/>
      </c>
      <c r="T19">
        <f>O19*$K$6*$K$7</f>
        <v/>
      </c>
      <c r="U19">
        <f>$K$2-T19</f>
        <v/>
      </c>
      <c r="V19">
        <f>U19</f>
        <v/>
      </c>
      <c r="W19">
        <f>V19-Q19</f>
        <v/>
      </c>
      <c r="X19">
        <f>IF(Q19=0,0,V19/Q19*100)</f>
        <v/>
      </c>
      <c r="Y19">
        <f>IF(X19&lt;=$K$9,"РИСК MARGIN CALL","OK")</f>
        <v/>
      </c>
      <c r="Z19">
        <f>IF(X19&lt;=$K$8,"РИСК STOPOUT","OK")</f>
        <v/>
      </c>
      <c r="AA19">
        <f>IF(R19&lt;30,"OK",IF(R19&lt;50,"WARNING",IF(R19&lt;70,"DANGER","CRITICAL")))</f>
        <v/>
      </c>
      <c r="AB19">
        <f>"Уровень "&amp;J19&amp;". Маржа="&amp;ROUND(Q19,2)&amp;"$. Нагрузка="&amp;ROUND(R19,1)&amp;"%. Просадка="&amp;ROUND(T19,2)&amp;"$. Статус="&amp;AA19</f>
        <v/>
      </c>
    </row>
    <row r="20">
      <c r="A20" t="n">
        <v>3</v>
      </c>
      <c r="B20" t="n">
        <v>20</v>
      </c>
      <c r="C20" t="n">
        <v>15</v>
      </c>
      <c r="D20" t="n">
        <v>10</v>
      </c>
      <c r="E20" t="inlineStr"/>
      <c r="J20" t="n">
        <v>3</v>
      </c>
      <c r="K20">
        <f>$B$6</f>
        <v/>
      </c>
      <c r="L20">
        <f>IF($B$6="DOWN",W28,W37)</f>
        <v/>
      </c>
      <c r="M20">
        <f>IF($B$6="DOWN",X28,X37)</f>
        <v/>
      </c>
      <c r="N20">
        <f>L20+M20</f>
        <v/>
      </c>
      <c r="O20">
        <f>ABS(L20-M20)</f>
        <v/>
      </c>
      <c r="P20">
        <f>$K$4*$K$5/$K$3</f>
        <v/>
      </c>
      <c r="Q20">
        <f>N20*P20</f>
        <v/>
      </c>
      <c r="R20">
        <f>Q20/$K$2*100</f>
        <v/>
      </c>
      <c r="S20">
        <f>$K$7</f>
        <v/>
      </c>
      <c r="T20">
        <f>O20*$K$6*$K$7</f>
        <v/>
      </c>
      <c r="U20">
        <f>$K$2-T20</f>
        <v/>
      </c>
      <c r="V20">
        <f>U20</f>
        <v/>
      </c>
      <c r="W20">
        <f>V20-Q20</f>
        <v/>
      </c>
      <c r="X20">
        <f>IF(Q20=0,0,V20/Q20*100)</f>
        <v/>
      </c>
      <c r="Y20">
        <f>IF(X20&lt;=$K$9,"РИСК MARGIN CALL","OK")</f>
        <v/>
      </c>
      <c r="Z20">
        <f>IF(X20&lt;=$K$8,"РИСК STOPOUT","OK")</f>
        <v/>
      </c>
      <c r="AA20">
        <f>IF(R20&lt;30,"OK",IF(R20&lt;50,"WARNING",IF(R20&lt;70,"DANGER","CRITICAL")))</f>
        <v/>
      </c>
      <c r="AB20">
        <f>"Уровень "&amp;J20&amp;". Маржа="&amp;ROUND(Q20,2)&amp;"$. Нагрузка="&amp;ROUND(R20,1)&amp;"%. Просадка="&amp;ROUND(T20,2)&amp;"$. Статус="&amp;AA20</f>
        <v/>
      </c>
    </row>
    <row r="21">
      <c r="A21" t="n">
        <v>4</v>
      </c>
      <c r="B21" t="n">
        <v>10</v>
      </c>
      <c r="C21" t="n">
        <v>10</v>
      </c>
      <c r="D21" t="n">
        <v>10</v>
      </c>
      <c r="E21" t="inlineStr"/>
      <c r="J21" t="n">
        <v>4</v>
      </c>
      <c r="K21">
        <f>$B$6</f>
        <v/>
      </c>
      <c r="L21">
        <f>IF($B$6="DOWN",W29,W38)</f>
        <v/>
      </c>
      <c r="M21">
        <f>IF($B$6="DOWN",X29,X38)</f>
        <v/>
      </c>
      <c r="N21">
        <f>L21+M21</f>
        <v/>
      </c>
      <c r="O21">
        <f>ABS(L21-M21)</f>
        <v/>
      </c>
      <c r="P21">
        <f>$K$4*$K$5/$K$3</f>
        <v/>
      </c>
      <c r="Q21">
        <f>N21*P21</f>
        <v/>
      </c>
      <c r="R21">
        <f>Q21/$K$2*100</f>
        <v/>
      </c>
      <c r="S21">
        <f>$K$7</f>
        <v/>
      </c>
      <c r="T21">
        <f>O21*$K$6*$K$7</f>
        <v/>
      </c>
      <c r="U21">
        <f>$K$2-T21</f>
        <v/>
      </c>
      <c r="V21">
        <f>U21</f>
        <v/>
      </c>
      <c r="W21">
        <f>V21-Q21</f>
        <v/>
      </c>
      <c r="X21">
        <f>IF(Q21=0,0,V21/Q21*100)</f>
        <v/>
      </c>
      <c r="Y21">
        <f>IF(X21&lt;=$K$9,"РИСК MARGIN CALL","OK")</f>
        <v/>
      </c>
      <c r="Z21">
        <f>IF(X21&lt;=$K$8,"РИСК STOPOUT","OK")</f>
        <v/>
      </c>
      <c r="AA21">
        <f>IF(R21&lt;30,"OK",IF(R21&lt;50,"WARNING",IF(R21&lt;70,"DANGER","CRITICAL")))</f>
        <v/>
      </c>
      <c r="AB21">
        <f>"Уровень "&amp;J21&amp;". Маржа="&amp;ROUND(Q21,2)&amp;"$. Нагрузка="&amp;ROUND(R21,1)&amp;"%. Просадка="&amp;ROUND(T21,2)&amp;"$. Статус="&amp;AA21</f>
        <v/>
      </c>
    </row>
    <row r="22">
      <c r="A22" t="n">
        <v>5</v>
      </c>
      <c r="B22" t="n">
        <v>5</v>
      </c>
      <c r="C22" t="n">
        <v>5</v>
      </c>
      <c r="D22" t="n">
        <v>10</v>
      </c>
      <c r="E22" t="inlineStr"/>
      <c r="J22" t="n">
        <v>5</v>
      </c>
      <c r="K22">
        <f>$B$6</f>
        <v/>
      </c>
      <c r="L22">
        <f>IF($B$6="DOWN",W30,W39)</f>
        <v/>
      </c>
      <c r="M22">
        <f>IF($B$6="DOWN",X30,X39)</f>
        <v/>
      </c>
      <c r="N22">
        <f>L22+M22</f>
        <v/>
      </c>
      <c r="O22">
        <f>ABS(L22-M22)</f>
        <v/>
      </c>
      <c r="P22">
        <f>$K$4*$K$5/$K$3</f>
        <v/>
      </c>
      <c r="Q22">
        <f>N22*P22</f>
        <v/>
      </c>
      <c r="R22">
        <f>Q22/$K$2*100</f>
        <v/>
      </c>
      <c r="S22">
        <f>$K$7</f>
        <v/>
      </c>
      <c r="T22">
        <f>O22*$K$6*$K$7</f>
        <v/>
      </c>
      <c r="U22">
        <f>$K$2-T22</f>
        <v/>
      </c>
      <c r="V22">
        <f>U22</f>
        <v/>
      </c>
      <c r="W22">
        <f>V22-Q22</f>
        <v/>
      </c>
      <c r="X22">
        <f>IF(Q22=0,0,V22/Q22*100)</f>
        <v/>
      </c>
      <c r="Y22">
        <f>IF(X22&lt;=$K$9,"РИСК MARGIN CALL","OK")</f>
        <v/>
      </c>
      <c r="Z22">
        <f>IF(X22&lt;=$K$8,"РИСК STOPOUT","OK")</f>
        <v/>
      </c>
      <c r="AA22">
        <f>IF(R22&lt;30,"OK",IF(R22&lt;50,"WARNING",IF(R22&lt;70,"DANGER","CRITICAL")))</f>
        <v/>
      </c>
      <c r="AB22">
        <f>"Уровень "&amp;J22&amp;". Маржа="&amp;ROUND(Q22,2)&amp;"$. Нагрузка="&amp;ROUND(R22,1)&amp;"%. Просадка="&amp;ROUND(T22,2)&amp;"$. Статус="&amp;AA22</f>
        <v/>
      </c>
    </row>
    <row r="24">
      <c r="A24" s="1" t="inlineStr">
        <is>
          <t>РАСЧЕТ DOWN</t>
        </is>
      </c>
    </row>
    <row r="25">
      <c r="A25" s="2" t="inlineStr">
        <is>
          <t>Уровень</t>
        </is>
      </c>
      <c r="B25" s="2" t="inlineStr">
        <is>
          <t>Big %</t>
        </is>
      </c>
      <c r="C25" s="2" t="inlineStr">
        <is>
          <t>Small %</t>
        </is>
      </c>
      <c r="D25" s="2" t="inlineStr">
        <is>
          <t>TargetSkew %</t>
        </is>
      </c>
      <c r="E25" s="2" t="inlineStr">
        <is>
          <t>ManualClose %</t>
        </is>
      </c>
      <c r="F25" s="2" t="inlineStr">
        <is>
          <t>BigЛот</t>
        </is>
      </c>
      <c r="G25" s="2" t="inlineStr">
        <is>
          <t>BigОкругл</t>
        </is>
      </c>
      <c r="H25" s="2" t="inlineStr">
        <is>
          <t>SmallЛот</t>
        </is>
      </c>
      <c r="I25" s="2" t="inlineStr">
        <is>
          <t>SmallОкругл</t>
        </is>
      </c>
      <c r="J25" s="2" t="inlineStr">
        <is>
          <t>СтартДо %</t>
        </is>
      </c>
      <c r="K25" s="2" t="inlineStr">
        <is>
          <t>MainДо %</t>
        </is>
      </c>
      <c r="L25" s="2" t="inlineStr">
        <is>
          <t>OppДо %</t>
        </is>
      </c>
      <c r="M25" s="2" t="inlineStr">
        <is>
          <t>АвтоЗакрытие %</t>
        </is>
      </c>
      <c r="N25" s="2" t="inlineStr">
        <is>
          <t>ИтогЗакрытие %</t>
        </is>
      </c>
      <c r="O25" s="2" t="inlineStr">
        <is>
          <t>ЗакрытиеЛот</t>
        </is>
      </c>
      <c r="P25" s="2" t="inlineStr">
        <is>
          <t>ЗакрытиеЛотОкругл</t>
        </is>
      </c>
      <c r="Q25" s="2" t="inlineStr">
        <is>
          <t>СтартПосле %</t>
        </is>
      </c>
      <c r="R25" s="2" t="inlineStr">
        <is>
          <t>СуммаBig %</t>
        </is>
      </c>
      <c r="S25" s="2" t="inlineStr">
        <is>
          <t>СуммаSmall %</t>
        </is>
      </c>
      <c r="T25" s="2" t="inlineStr">
        <is>
          <t>ИтогMain %</t>
        </is>
      </c>
      <c r="U25" s="2" t="inlineStr">
        <is>
          <t>ИтогOpp %</t>
        </is>
      </c>
      <c r="V25" s="2" t="inlineStr">
        <is>
          <t>Skew %</t>
        </is>
      </c>
      <c r="W25" s="2" t="inlineStr">
        <is>
          <t>ОкруглMainЛот</t>
        </is>
      </c>
      <c r="X25" s="2" t="inlineStr">
        <is>
          <t>ОкруглOppЛот</t>
        </is>
      </c>
      <c r="Y25" s="2" t="inlineStr">
        <is>
          <t>ОкруглSkewЛот</t>
        </is>
      </c>
      <c r="Z25" s="2" t="inlineStr">
        <is>
          <t>Статус</t>
        </is>
      </c>
    </row>
    <row r="26">
      <c r="A26">
        <f>A18</f>
        <v/>
      </c>
      <c r="B26">
        <f>B18</f>
        <v/>
      </c>
      <c r="C26">
        <f>C18</f>
        <v/>
      </c>
      <c r="D26">
        <f>D18</f>
        <v/>
      </c>
      <c r="E26">
        <f>IF(E18="","",E18)</f>
        <v/>
      </c>
      <c r="F26">
        <f>$B$2*B26/100</f>
        <v/>
      </c>
      <c r="G26">
        <f>IF($B$7,FLOOR(F26,$B$5),F26)</f>
        <v/>
      </c>
      <c r="H26">
        <f>$B$2*C26/100</f>
        <v/>
      </c>
      <c r="I26">
        <f>IF($B$7,CEILING(H26,$B$5),H26)</f>
        <v/>
      </c>
      <c r="J26">
        <f>100</f>
        <v/>
      </c>
      <c r="K26">
        <f>J26+R26</f>
        <v/>
      </c>
      <c r="L26">
        <f>100+S26</f>
        <v/>
      </c>
      <c r="M26">
        <f>MIN(J26,MAX(0,K26-L26+D26))</f>
        <v/>
      </c>
      <c r="N26">
        <f>MIN(J26,IF(E26="",M26,E26))</f>
        <v/>
      </c>
      <c r="O26">
        <f>$B$2*N26/100</f>
        <v/>
      </c>
      <c r="P26">
        <f>MIN($B$2*J26/100,IF($B$7,CEILING(O26,$B$5),O26))</f>
        <v/>
      </c>
      <c r="Q26">
        <f>J26-N26</f>
        <v/>
      </c>
      <c r="R26">
        <f>SUM($B$26:B26)</f>
        <v/>
      </c>
      <c r="S26">
        <f>SUM($C$26:C26)</f>
        <v/>
      </c>
      <c r="T26">
        <f>Q26+R26</f>
        <v/>
      </c>
      <c r="U26">
        <f>100+S26</f>
        <v/>
      </c>
      <c r="V26">
        <f>U26-T26</f>
        <v/>
      </c>
      <c r="W26">
        <f>$B$2*Q26/100+SUM($G$26:G26)</f>
        <v/>
      </c>
      <c r="X26">
        <f>$B$2+SUM($I$26:I26)</f>
        <v/>
      </c>
      <c r="Y26">
        <f>X26-W26</f>
        <v/>
      </c>
      <c r="Z26">
        <f>IF(T26&gt;U26,"ERROR",IF(AND(D26&gt;0,ROUND(Y26,6)&lt;ROUND($B$2*D26/100,6)),"WARNING","OK"))</f>
        <v/>
      </c>
    </row>
    <row r="27">
      <c r="A27">
        <f>A19</f>
        <v/>
      </c>
      <c r="B27">
        <f>B19</f>
        <v/>
      </c>
      <c r="C27">
        <f>C19</f>
        <v/>
      </c>
      <c r="D27">
        <f>D19</f>
        <v/>
      </c>
      <c r="E27">
        <f>IF(E19="","",E19)</f>
        <v/>
      </c>
      <c r="F27">
        <f>$B$2*B27/100</f>
        <v/>
      </c>
      <c r="G27">
        <f>IF($B$7,FLOOR(F27,$B$5),F27)</f>
        <v/>
      </c>
      <c r="H27">
        <f>$B$2*C27/100</f>
        <v/>
      </c>
      <c r="I27">
        <f>IF($B$7,CEILING(H27,$B$5),H27)</f>
        <v/>
      </c>
      <c r="J27">
        <f>Q26</f>
        <v/>
      </c>
      <c r="K27">
        <f>J27+R27</f>
        <v/>
      </c>
      <c r="L27">
        <f>100+S27</f>
        <v/>
      </c>
      <c r="M27">
        <f>MIN(J27,MAX(0,K27-L27+D27))</f>
        <v/>
      </c>
      <c r="N27">
        <f>MIN(J27,IF(E27="",M27,E27))</f>
        <v/>
      </c>
      <c r="O27">
        <f>$B$2*N27/100</f>
        <v/>
      </c>
      <c r="P27">
        <f>MIN($B$2*J27/100,IF($B$7,CEILING(O27,$B$5),O27))</f>
        <v/>
      </c>
      <c r="Q27">
        <f>J27-N27</f>
        <v/>
      </c>
      <c r="R27">
        <f>SUM($B$26:B27)</f>
        <v/>
      </c>
      <c r="S27">
        <f>SUM($C$26:C27)</f>
        <v/>
      </c>
      <c r="T27">
        <f>Q27+R27</f>
        <v/>
      </c>
      <c r="U27">
        <f>100+S27</f>
        <v/>
      </c>
      <c r="V27">
        <f>U27-T27</f>
        <v/>
      </c>
      <c r="W27">
        <f>$B$2*Q27/100+SUM($G$26:G27)</f>
        <v/>
      </c>
      <c r="X27">
        <f>$B$2+SUM($I$26:I27)</f>
        <v/>
      </c>
      <c r="Y27">
        <f>X27-W27</f>
        <v/>
      </c>
      <c r="Z27">
        <f>IF(T27&gt;U27,"ERROR",IF(AND(D27&gt;0,ROUND(Y27,6)&lt;ROUND($B$2*D27/100,6)),"WARNING","OK"))</f>
        <v/>
      </c>
    </row>
    <row r="28">
      <c r="A28">
        <f>A20</f>
        <v/>
      </c>
      <c r="B28">
        <f>B20</f>
        <v/>
      </c>
      <c r="C28">
        <f>C20</f>
        <v/>
      </c>
      <c r="D28">
        <f>D20</f>
        <v/>
      </c>
      <c r="E28">
        <f>IF(E20="","",E20)</f>
        <v/>
      </c>
      <c r="F28">
        <f>$B$2*B28/100</f>
        <v/>
      </c>
      <c r="G28">
        <f>IF($B$7,FLOOR(F28,$B$5),F28)</f>
        <v/>
      </c>
      <c r="H28">
        <f>$B$2*C28/100</f>
        <v/>
      </c>
      <c r="I28">
        <f>IF($B$7,CEILING(H28,$B$5),H28)</f>
        <v/>
      </c>
      <c r="J28">
        <f>Q27</f>
        <v/>
      </c>
      <c r="K28">
        <f>J28+R28</f>
        <v/>
      </c>
      <c r="L28">
        <f>100+S28</f>
        <v/>
      </c>
      <c r="M28">
        <f>MIN(J28,MAX(0,K28-L28+D28))</f>
        <v/>
      </c>
      <c r="N28">
        <f>MIN(J28,IF(E28="",M28,E28))</f>
        <v/>
      </c>
      <c r="O28">
        <f>$B$2*N28/100</f>
        <v/>
      </c>
      <c r="P28">
        <f>MIN($B$2*J28/100,IF($B$7,CEILING(O28,$B$5),O28))</f>
        <v/>
      </c>
      <c r="Q28">
        <f>J28-N28</f>
        <v/>
      </c>
      <c r="R28">
        <f>SUM($B$26:B28)</f>
        <v/>
      </c>
      <c r="S28">
        <f>SUM($C$26:C28)</f>
        <v/>
      </c>
      <c r="T28">
        <f>Q28+R28</f>
        <v/>
      </c>
      <c r="U28">
        <f>100+S28</f>
        <v/>
      </c>
      <c r="V28">
        <f>U28-T28</f>
        <v/>
      </c>
      <c r="W28">
        <f>$B$2*Q28/100+SUM($G$26:G28)</f>
        <v/>
      </c>
      <c r="X28">
        <f>$B$2+SUM($I$26:I28)</f>
        <v/>
      </c>
      <c r="Y28">
        <f>X28-W28</f>
        <v/>
      </c>
      <c r="Z28">
        <f>IF(T28&gt;U28,"ERROR",IF(AND(D28&gt;0,ROUND(Y28,6)&lt;ROUND($B$2*D28/100,6)),"WARNING","OK"))</f>
        <v/>
      </c>
    </row>
    <row r="29">
      <c r="A29">
        <f>A21</f>
        <v/>
      </c>
      <c r="B29">
        <f>B21</f>
        <v/>
      </c>
      <c r="C29">
        <f>C21</f>
        <v/>
      </c>
      <c r="D29">
        <f>D21</f>
        <v/>
      </c>
      <c r="E29">
        <f>IF(E21="","",E21)</f>
        <v/>
      </c>
      <c r="F29">
        <f>$B$2*B29/100</f>
        <v/>
      </c>
      <c r="G29">
        <f>IF($B$7,FLOOR(F29,$B$5),F29)</f>
        <v/>
      </c>
      <c r="H29">
        <f>$B$2*C29/100</f>
        <v/>
      </c>
      <c r="I29">
        <f>IF($B$7,CEILING(H29,$B$5),H29)</f>
        <v/>
      </c>
      <c r="J29">
        <f>Q28</f>
        <v/>
      </c>
      <c r="K29">
        <f>J29+R29</f>
        <v/>
      </c>
      <c r="L29">
        <f>100+S29</f>
        <v/>
      </c>
      <c r="M29">
        <f>MIN(J29,MAX(0,K29-L29+D29))</f>
        <v/>
      </c>
      <c r="N29">
        <f>MIN(J29,IF(E29="",M29,E29))</f>
        <v/>
      </c>
      <c r="O29">
        <f>$B$2*N29/100</f>
        <v/>
      </c>
      <c r="P29">
        <f>MIN($B$2*J29/100,IF($B$7,CEILING(O29,$B$5),O29))</f>
        <v/>
      </c>
      <c r="Q29">
        <f>J29-N29</f>
        <v/>
      </c>
      <c r="R29">
        <f>SUM($B$26:B29)</f>
        <v/>
      </c>
      <c r="S29">
        <f>SUM($C$26:C29)</f>
        <v/>
      </c>
      <c r="T29">
        <f>Q29+R29</f>
        <v/>
      </c>
      <c r="U29">
        <f>100+S29</f>
        <v/>
      </c>
      <c r="V29">
        <f>U29-T29</f>
        <v/>
      </c>
      <c r="W29">
        <f>$B$2*Q29/100+SUM($G$26:G29)</f>
        <v/>
      </c>
      <c r="X29">
        <f>$B$2+SUM($I$26:I29)</f>
        <v/>
      </c>
      <c r="Y29">
        <f>X29-W29</f>
        <v/>
      </c>
      <c r="Z29">
        <f>IF(T29&gt;U29,"ERROR",IF(AND(D29&gt;0,ROUND(Y29,6)&lt;ROUND($B$2*D29/100,6)),"WARNING","OK"))</f>
        <v/>
      </c>
    </row>
    <row r="30">
      <c r="A30">
        <f>A22</f>
        <v/>
      </c>
      <c r="B30">
        <f>B22</f>
        <v/>
      </c>
      <c r="C30">
        <f>C22</f>
        <v/>
      </c>
      <c r="D30">
        <f>D22</f>
        <v/>
      </c>
      <c r="E30">
        <f>IF(E22="","",E22)</f>
        <v/>
      </c>
      <c r="F30">
        <f>$B$2*B30/100</f>
        <v/>
      </c>
      <c r="G30">
        <f>IF($B$7,FLOOR(F30,$B$5),F30)</f>
        <v/>
      </c>
      <c r="H30">
        <f>$B$2*C30/100</f>
        <v/>
      </c>
      <c r="I30">
        <f>IF($B$7,CEILING(H30,$B$5),H30)</f>
        <v/>
      </c>
      <c r="J30">
        <f>Q29</f>
        <v/>
      </c>
      <c r="K30">
        <f>J30+R30</f>
        <v/>
      </c>
      <c r="L30">
        <f>100+S30</f>
        <v/>
      </c>
      <c r="M30">
        <f>MIN(J30,MAX(0,K30-L30+D30))</f>
        <v/>
      </c>
      <c r="N30">
        <f>MIN(J30,IF(E30="",M30,E30))</f>
        <v/>
      </c>
      <c r="O30">
        <f>$B$2*N30/100</f>
        <v/>
      </c>
      <c r="P30">
        <f>MIN($B$2*J30/100,IF($B$7,CEILING(O30,$B$5),O30))</f>
        <v/>
      </c>
      <c r="Q30">
        <f>J30-N30</f>
        <v/>
      </c>
      <c r="R30">
        <f>SUM($B$26:B30)</f>
        <v/>
      </c>
      <c r="S30">
        <f>SUM($C$26:C30)</f>
        <v/>
      </c>
      <c r="T30">
        <f>Q30+R30</f>
        <v/>
      </c>
      <c r="U30">
        <f>100+S30</f>
        <v/>
      </c>
      <c r="V30">
        <f>U30-T30</f>
        <v/>
      </c>
      <c r="W30">
        <f>$B$2*Q30/100+SUM($G$26:G30)</f>
        <v/>
      </c>
      <c r="X30">
        <f>$B$2+SUM($I$26:I30)</f>
        <v/>
      </c>
      <c r="Y30">
        <f>X30-W30</f>
        <v/>
      </c>
      <c r="Z30">
        <f>IF(T30&gt;U30,"ERROR",IF(AND(D30&gt;0,ROUND(Y30,6)&lt;ROUND($B$2*D30/100,6)),"WARNING","OK"))</f>
        <v/>
      </c>
    </row>
    <row r="33">
      <c r="A33" s="1" t="inlineStr">
        <is>
          <t>РАСЧЕТ UP</t>
        </is>
      </c>
    </row>
    <row r="34">
      <c r="A34" s="2" t="inlineStr">
        <is>
          <t>Уровень</t>
        </is>
      </c>
      <c r="B34" s="2" t="inlineStr">
        <is>
          <t>Big %</t>
        </is>
      </c>
      <c r="C34" s="2" t="inlineStr">
        <is>
          <t>Small %</t>
        </is>
      </c>
      <c r="D34" s="2" t="inlineStr">
        <is>
          <t>TargetSkew %</t>
        </is>
      </c>
      <c r="E34" s="2" t="inlineStr">
        <is>
          <t>ManualClose %</t>
        </is>
      </c>
      <c r="F34" s="2" t="inlineStr">
        <is>
          <t>BigЛот</t>
        </is>
      </c>
      <c r="G34" s="2" t="inlineStr">
        <is>
          <t>BigОкругл</t>
        </is>
      </c>
      <c r="H34" s="2" t="inlineStr">
        <is>
          <t>SmallЛот</t>
        </is>
      </c>
      <c r="I34" s="2" t="inlineStr">
        <is>
          <t>SmallОкругл</t>
        </is>
      </c>
      <c r="J34" s="2" t="inlineStr">
        <is>
          <t>СтартДо %</t>
        </is>
      </c>
      <c r="K34" s="2" t="inlineStr">
        <is>
          <t>MainДо %</t>
        </is>
      </c>
      <c r="L34" s="2" t="inlineStr">
        <is>
          <t>OppДо %</t>
        </is>
      </c>
      <c r="M34" s="2" t="inlineStr">
        <is>
          <t>АвтоЗакрытие %</t>
        </is>
      </c>
      <c r="N34" s="2" t="inlineStr">
        <is>
          <t>ИтогЗакрытие %</t>
        </is>
      </c>
      <c r="O34" s="2" t="inlineStr">
        <is>
          <t>ЗакрытиеЛот</t>
        </is>
      </c>
      <c r="P34" s="2" t="inlineStr">
        <is>
          <t>ЗакрытиеЛотОкругл</t>
        </is>
      </c>
      <c r="Q34" s="2" t="inlineStr">
        <is>
          <t>СтартПосле %</t>
        </is>
      </c>
      <c r="R34" s="2" t="inlineStr">
        <is>
          <t>СуммаBig %</t>
        </is>
      </c>
      <c r="S34" s="2" t="inlineStr">
        <is>
          <t>СуммаSmall %</t>
        </is>
      </c>
      <c r="T34" s="2" t="inlineStr">
        <is>
          <t>ИтогMain %</t>
        </is>
      </c>
      <c r="U34" s="2" t="inlineStr">
        <is>
          <t>ИтогOpp %</t>
        </is>
      </c>
      <c r="V34" s="2" t="inlineStr">
        <is>
          <t>Skew %</t>
        </is>
      </c>
      <c r="W34" s="2" t="inlineStr">
        <is>
          <t>ОкруглMainЛот</t>
        </is>
      </c>
      <c r="X34" s="2" t="inlineStr">
        <is>
          <t>ОкруглOppЛот</t>
        </is>
      </c>
      <c r="Y34" s="2" t="inlineStr">
        <is>
          <t>ОкруглSkewЛот</t>
        </is>
      </c>
      <c r="Z34" s="2" t="inlineStr">
        <is>
          <t>Статус</t>
        </is>
      </c>
    </row>
    <row r="35">
      <c r="A35">
        <f>A18</f>
        <v/>
      </c>
      <c r="B35">
        <f>B18</f>
        <v/>
      </c>
      <c r="C35">
        <f>C18</f>
        <v/>
      </c>
      <c r="D35">
        <f>D18</f>
        <v/>
      </c>
      <c r="E35">
        <f>IF(E18="","",E18)</f>
        <v/>
      </c>
      <c r="F35">
        <f>$B$2*B35/100</f>
        <v/>
      </c>
      <c r="G35">
        <f>IF($B$7,FLOOR(F35,$B$5),F35)</f>
        <v/>
      </c>
      <c r="H35">
        <f>$B$2*C35/100</f>
        <v/>
      </c>
      <c r="I35">
        <f>IF($B$7,CEILING(H35,$B$5),H35)</f>
        <v/>
      </c>
      <c r="J35">
        <f>100</f>
        <v/>
      </c>
      <c r="K35">
        <f>J35+R35</f>
        <v/>
      </c>
      <c r="L35">
        <f>100+S35</f>
        <v/>
      </c>
      <c r="M35">
        <f>MIN(J35,MAX(0,K35-L35+D35))</f>
        <v/>
      </c>
      <c r="N35">
        <f>MIN(J35,IF(E35="",M35,E35))</f>
        <v/>
      </c>
      <c r="O35">
        <f>$B$2*N35/100</f>
        <v/>
      </c>
      <c r="P35">
        <f>MIN($B$2*J35/100,IF($B$7,CEILING(O35,$B$5),O35))</f>
        <v/>
      </c>
      <c r="Q35">
        <f>J35-N35</f>
        <v/>
      </c>
      <c r="R35">
        <f>SUM($B$35:B35)</f>
        <v/>
      </c>
      <c r="S35">
        <f>SUM($C$35:C35)</f>
        <v/>
      </c>
      <c r="T35">
        <f>Q35+R35</f>
        <v/>
      </c>
      <c r="U35">
        <f>100+S35</f>
        <v/>
      </c>
      <c r="V35">
        <f>U35-T35</f>
        <v/>
      </c>
      <c r="W35">
        <f>$B$2*Q35/100+SUM($G$35:G35)</f>
        <v/>
      </c>
      <c r="X35">
        <f>$B$2+SUM($I$35:I35)</f>
        <v/>
      </c>
      <c r="Y35">
        <f>X35-W35</f>
        <v/>
      </c>
      <c r="Z35">
        <f>IF(T35&gt;U35,"ERROR",IF(AND(D35&gt;0,ROUND(Y35,6)&lt;ROUND($B$2*D35/100,6)),"WARNING","OK"))</f>
        <v/>
      </c>
    </row>
    <row r="36">
      <c r="A36">
        <f>A19</f>
        <v/>
      </c>
      <c r="B36">
        <f>B19</f>
        <v/>
      </c>
      <c r="C36">
        <f>C19</f>
        <v/>
      </c>
      <c r="D36">
        <f>D19</f>
        <v/>
      </c>
      <c r="E36">
        <f>IF(E19="","",E19)</f>
        <v/>
      </c>
      <c r="F36">
        <f>$B$2*B36/100</f>
        <v/>
      </c>
      <c r="G36">
        <f>IF($B$7,FLOOR(F36,$B$5),F36)</f>
        <v/>
      </c>
      <c r="H36">
        <f>$B$2*C36/100</f>
        <v/>
      </c>
      <c r="I36">
        <f>IF($B$7,CEILING(H36,$B$5),H36)</f>
        <v/>
      </c>
      <c r="J36">
        <f>Q35</f>
        <v/>
      </c>
      <c r="K36">
        <f>J36+R36</f>
        <v/>
      </c>
      <c r="L36">
        <f>100+S36</f>
        <v/>
      </c>
      <c r="M36">
        <f>MIN(J36,MAX(0,K36-L36+D36))</f>
        <v/>
      </c>
      <c r="N36">
        <f>MIN(J36,IF(E36="",M36,E36))</f>
        <v/>
      </c>
      <c r="O36">
        <f>$B$2*N36/100</f>
        <v/>
      </c>
      <c r="P36">
        <f>MIN($B$2*J36/100,IF($B$7,CEILING(O36,$B$5),O36))</f>
        <v/>
      </c>
      <c r="Q36">
        <f>J36-N36</f>
        <v/>
      </c>
      <c r="R36">
        <f>SUM($B$35:B36)</f>
        <v/>
      </c>
      <c r="S36">
        <f>SUM($C$35:C36)</f>
        <v/>
      </c>
      <c r="T36">
        <f>Q36+R36</f>
        <v/>
      </c>
      <c r="U36">
        <f>100+S36</f>
        <v/>
      </c>
      <c r="V36">
        <f>U36-T36</f>
        <v/>
      </c>
      <c r="W36">
        <f>$B$2*Q36/100+SUM($G$35:G36)</f>
        <v/>
      </c>
      <c r="X36">
        <f>$B$2+SUM($I$35:I36)</f>
        <v/>
      </c>
      <c r="Y36">
        <f>X36-W36</f>
        <v/>
      </c>
      <c r="Z36">
        <f>IF(T36&gt;U36,"ERROR",IF(AND(D36&gt;0,ROUND(Y36,6)&lt;ROUND($B$2*D36/100,6)),"WARNING","OK"))</f>
        <v/>
      </c>
    </row>
    <row r="37">
      <c r="A37">
        <f>A20</f>
        <v/>
      </c>
      <c r="B37">
        <f>B20</f>
        <v/>
      </c>
      <c r="C37">
        <f>C20</f>
        <v/>
      </c>
      <c r="D37">
        <f>D20</f>
        <v/>
      </c>
      <c r="E37">
        <f>IF(E20="","",E20)</f>
        <v/>
      </c>
      <c r="F37">
        <f>$B$2*B37/100</f>
        <v/>
      </c>
      <c r="G37">
        <f>IF($B$7,FLOOR(F37,$B$5),F37)</f>
        <v/>
      </c>
      <c r="H37">
        <f>$B$2*C37/100</f>
        <v/>
      </c>
      <c r="I37">
        <f>IF($B$7,CEILING(H37,$B$5),H37)</f>
        <v/>
      </c>
      <c r="J37">
        <f>Q36</f>
        <v/>
      </c>
      <c r="K37">
        <f>J37+R37</f>
        <v/>
      </c>
      <c r="L37">
        <f>100+S37</f>
        <v/>
      </c>
      <c r="M37">
        <f>MIN(J37,MAX(0,K37-L37+D37))</f>
        <v/>
      </c>
      <c r="N37">
        <f>MIN(J37,IF(E37="",M37,E37))</f>
        <v/>
      </c>
      <c r="O37">
        <f>$B$2*N37/100</f>
        <v/>
      </c>
      <c r="P37">
        <f>MIN($B$2*J37/100,IF($B$7,CEILING(O37,$B$5),O37))</f>
        <v/>
      </c>
      <c r="Q37">
        <f>J37-N37</f>
        <v/>
      </c>
      <c r="R37">
        <f>SUM($B$35:B37)</f>
        <v/>
      </c>
      <c r="S37">
        <f>SUM($C$35:C37)</f>
        <v/>
      </c>
      <c r="T37">
        <f>Q37+R37</f>
        <v/>
      </c>
      <c r="U37">
        <f>100+S37</f>
        <v/>
      </c>
      <c r="V37">
        <f>U37-T37</f>
        <v/>
      </c>
      <c r="W37">
        <f>$B$2*Q37/100+SUM($G$35:G37)</f>
        <v/>
      </c>
      <c r="X37">
        <f>$B$2+SUM($I$35:I37)</f>
        <v/>
      </c>
      <c r="Y37">
        <f>X37-W37</f>
        <v/>
      </c>
      <c r="Z37">
        <f>IF(T37&gt;U37,"ERROR",IF(AND(D37&gt;0,ROUND(Y37,6)&lt;ROUND($B$2*D37/100,6)),"WARNING","OK"))</f>
        <v/>
      </c>
    </row>
    <row r="38">
      <c r="A38">
        <f>A21</f>
        <v/>
      </c>
      <c r="B38">
        <f>B21</f>
        <v/>
      </c>
      <c r="C38">
        <f>C21</f>
        <v/>
      </c>
      <c r="D38">
        <f>D21</f>
        <v/>
      </c>
      <c r="E38">
        <f>IF(E21="","",E21)</f>
        <v/>
      </c>
      <c r="F38">
        <f>$B$2*B38/100</f>
        <v/>
      </c>
      <c r="G38">
        <f>IF($B$7,FLOOR(F38,$B$5),F38)</f>
        <v/>
      </c>
      <c r="H38">
        <f>$B$2*C38/100</f>
        <v/>
      </c>
      <c r="I38">
        <f>IF($B$7,CEILING(H38,$B$5),H38)</f>
        <v/>
      </c>
      <c r="J38">
        <f>Q37</f>
        <v/>
      </c>
      <c r="K38">
        <f>J38+R38</f>
        <v/>
      </c>
      <c r="L38">
        <f>100+S38</f>
        <v/>
      </c>
      <c r="M38">
        <f>MIN(J38,MAX(0,K38-L38+D38))</f>
        <v/>
      </c>
      <c r="N38">
        <f>MIN(J38,IF(E38="",M38,E38))</f>
        <v/>
      </c>
      <c r="O38">
        <f>$B$2*N38/100</f>
        <v/>
      </c>
      <c r="P38">
        <f>MIN($B$2*J38/100,IF($B$7,CEILING(O38,$B$5),O38))</f>
        <v/>
      </c>
      <c r="Q38">
        <f>J38-N38</f>
        <v/>
      </c>
      <c r="R38">
        <f>SUM($B$35:B38)</f>
        <v/>
      </c>
      <c r="S38">
        <f>SUM($C$35:C38)</f>
        <v/>
      </c>
      <c r="T38">
        <f>Q38+R38</f>
        <v/>
      </c>
      <c r="U38">
        <f>100+S38</f>
        <v/>
      </c>
      <c r="V38">
        <f>U38-T38</f>
        <v/>
      </c>
      <c r="W38">
        <f>$B$2*Q38/100+SUM($G$35:G38)</f>
        <v/>
      </c>
      <c r="X38">
        <f>$B$2+SUM($I$35:I38)</f>
        <v/>
      </c>
      <c r="Y38">
        <f>X38-W38</f>
        <v/>
      </c>
      <c r="Z38">
        <f>IF(T38&gt;U38,"ERROR",IF(AND(D38&gt;0,ROUND(Y38,6)&lt;ROUND($B$2*D38/100,6)),"WARNING","OK"))</f>
        <v/>
      </c>
    </row>
    <row r="39">
      <c r="A39">
        <f>A22</f>
        <v/>
      </c>
      <c r="B39">
        <f>B22</f>
        <v/>
      </c>
      <c r="C39">
        <f>C22</f>
        <v/>
      </c>
      <c r="D39">
        <f>D22</f>
        <v/>
      </c>
      <c r="E39">
        <f>IF(E22="","",E22)</f>
        <v/>
      </c>
      <c r="F39">
        <f>$B$2*B39/100</f>
        <v/>
      </c>
      <c r="G39">
        <f>IF($B$7,FLOOR(F39,$B$5),F39)</f>
        <v/>
      </c>
      <c r="H39">
        <f>$B$2*C39/100</f>
        <v/>
      </c>
      <c r="I39">
        <f>IF($B$7,CEILING(H39,$B$5),H39)</f>
        <v/>
      </c>
      <c r="J39">
        <f>Q38</f>
        <v/>
      </c>
      <c r="K39">
        <f>J39+R39</f>
        <v/>
      </c>
      <c r="L39">
        <f>100+S39</f>
        <v/>
      </c>
      <c r="M39">
        <f>MIN(J39,MAX(0,K39-L39+D39))</f>
        <v/>
      </c>
      <c r="N39">
        <f>MIN(J39,IF(E39="",M39,E39))</f>
        <v/>
      </c>
      <c r="O39">
        <f>$B$2*N39/100</f>
        <v/>
      </c>
      <c r="P39">
        <f>MIN($B$2*J39/100,IF($B$7,CEILING(O39,$B$5),O39))</f>
        <v/>
      </c>
      <c r="Q39">
        <f>J39-N39</f>
        <v/>
      </c>
      <c r="R39">
        <f>SUM($B$35:B39)</f>
        <v/>
      </c>
      <c r="S39">
        <f>SUM($C$35:C39)</f>
        <v/>
      </c>
      <c r="T39">
        <f>Q39+R39</f>
        <v/>
      </c>
      <c r="U39">
        <f>100+S39</f>
        <v/>
      </c>
      <c r="V39">
        <f>U39-T39</f>
        <v/>
      </c>
      <c r="W39">
        <f>$B$2*Q39/100+SUM($G$35:G39)</f>
        <v/>
      </c>
      <c r="X39">
        <f>$B$2+SUM($I$35:I39)</f>
        <v/>
      </c>
      <c r="Y39">
        <f>X39-W39</f>
        <v/>
      </c>
      <c r="Z39">
        <f>IF(T39&gt;U39,"ERROR",IF(AND(D39&gt;0,ROUND(Y39,6)&lt;ROUND($B$2*D39/100,6)),"WARNING","OK"))</f>
        <v/>
      </c>
    </row>
    <row r="42">
      <c r="A42" s="1" t="inlineStr">
        <is>
          <t>ИТОГИ</t>
        </is>
      </c>
    </row>
    <row r="43">
      <c r="A43" t="inlineStr">
        <is>
          <t>ВыбранноеНаправление</t>
        </is>
      </c>
      <c r="B43">
        <f>B6</f>
        <v/>
      </c>
    </row>
    <row r="44">
      <c r="A44" t="inlineStr">
        <is>
          <t>ИтогMain %</t>
        </is>
      </c>
      <c r="B44">
        <f>IF(B6="DOWN",T30,T39)</f>
        <v/>
      </c>
    </row>
    <row r="45">
      <c r="A45" t="inlineStr">
        <is>
          <t>ИтогOpp %</t>
        </is>
      </c>
      <c r="B45">
        <f>IF(B6="DOWN",U30,U39)</f>
        <v/>
      </c>
    </row>
    <row r="46">
      <c r="A46" t="inlineStr">
        <is>
          <t>ИтогSkew %</t>
        </is>
      </c>
      <c r="B46">
        <f>IF(B6="DOWN",V30,V39)</f>
        <v/>
      </c>
    </row>
    <row r="47">
      <c r="A47" t="inlineStr">
        <is>
          <t>ИтогСтартОстаток %</t>
        </is>
      </c>
      <c r="B47">
        <f>IF(B6="DOWN",Q30,Q39)</f>
        <v/>
      </c>
    </row>
    <row r="48">
      <c r="A48" t="inlineStr">
        <is>
          <t>ИтогОкруглMain</t>
        </is>
      </c>
      <c r="B48">
        <f>IF(B6="DOWN",W30,W39)</f>
        <v/>
      </c>
    </row>
    <row r="49">
      <c r="A49" t="inlineStr">
        <is>
          <t>ИтогОкруглOpp</t>
        </is>
      </c>
      <c r="B49">
        <f>IF(B6="DOWN",X30,X39)</f>
        <v/>
      </c>
    </row>
    <row r="50">
      <c r="A50" t="inlineStr">
        <is>
          <t>ИтогОкруглSkew</t>
        </is>
      </c>
      <c r="B50">
        <f>IF(B6="DOWN",Y30,Y39)</f>
        <v/>
      </c>
    </row>
    <row r="51">
      <c r="A51" t="inlineStr">
        <is>
          <t>ИтогСтатус</t>
        </is>
      </c>
      <c r="B51">
        <f>IF(B6="DOWN",Z30,Z39)</f>
        <v/>
      </c>
    </row>
    <row r="55">
      <c r="A55" s="1" t="inlineStr">
        <is>
          <t>ИТОГОВЫЙ ЧЕЛОВЕЧЕСКИЙ РАСЧЁТ ВСЕХ УРОВНЕЙ</t>
        </is>
      </c>
    </row>
    <row r="56">
      <c r="A56" s="2" t="inlineStr">
        <is>
          <t>Уровень</t>
        </is>
      </c>
      <c r="B56" s="2" t="inlineStr">
        <is>
          <t>Направление</t>
        </is>
      </c>
      <c r="C56" s="2" t="inlineStr">
        <is>
          <t>Действие Big</t>
        </is>
      </c>
      <c r="D56" s="2" t="inlineStr">
        <is>
          <t>Big %</t>
        </is>
      </c>
      <c r="E56" s="2" t="inlineStr">
        <is>
          <t>Big Lot</t>
        </is>
      </c>
      <c r="F56" s="2" t="inlineStr">
        <is>
          <t>Действие Small</t>
        </is>
      </c>
      <c r="G56" s="2" t="inlineStr">
        <is>
          <t>Small %</t>
        </is>
      </c>
      <c r="H56" s="2" t="inlineStr">
        <is>
          <t>Small Lot</t>
        </is>
      </c>
      <c r="I56" s="2" t="inlineStr">
        <is>
          <t>Действие Close</t>
        </is>
      </c>
      <c r="J56" s="2" t="inlineStr">
        <is>
          <t>Close %</t>
        </is>
      </c>
      <c r="K56" s="2" t="inlineStr">
        <is>
          <t>Close Lot</t>
        </is>
      </c>
      <c r="L56" s="2" t="inlineStr">
        <is>
          <t>Остаток старта %</t>
        </is>
      </c>
      <c r="M56" s="2" t="inlineStr">
        <is>
          <t>Остаток старта Lot</t>
        </is>
      </c>
      <c r="N56" s="2" t="inlineStr">
        <is>
          <t>Main %</t>
        </is>
      </c>
      <c r="O56" s="2" t="inlineStr">
        <is>
          <t>Opposite %</t>
        </is>
      </c>
      <c r="P56" s="2" t="inlineStr">
        <is>
          <t>Skew %</t>
        </is>
      </c>
      <c r="Q56" s="2" t="inlineStr">
        <is>
          <t>Rounded Main Lot</t>
        </is>
      </c>
      <c r="R56" s="2" t="inlineStr">
        <is>
          <t>Rounded Opp Lot</t>
        </is>
      </c>
      <c r="S56" s="2" t="inlineStr">
        <is>
          <t>Rounded Skew Lot</t>
        </is>
      </c>
      <c r="T56" s="2" t="inlineStr">
        <is>
          <t>Статус</t>
        </is>
      </c>
      <c r="U56" s="2" t="inlineStr">
        <is>
          <t>Человеческий комментарий</t>
        </is>
      </c>
    </row>
    <row r="57">
      <c r="A57" t="n">
        <v>1</v>
      </c>
      <c r="B57">
        <f>$B$6</f>
        <v/>
      </c>
      <c r="C57">
        <f>IF($B$6="DOWN","Open Big BUY","Open Big SELL")</f>
        <v/>
      </c>
      <c r="D57">
        <f>IF($B$6="DOWN",B26,B35)</f>
        <v/>
      </c>
      <c r="E57">
        <f>IF($B$6="DOWN",G26,G35)</f>
        <v/>
      </c>
      <c r="F57">
        <f>IF($B$6="DOWN","Open Small SELL","Open Small BUY")</f>
        <v/>
      </c>
      <c r="G57">
        <f>IF($B$6="DOWN",C26,C35)</f>
        <v/>
      </c>
      <c r="H57">
        <f>IF($B$6="DOWN",I26,I35)</f>
        <v/>
      </c>
      <c r="I57">
        <f>IF($B$6="DOWN","Close Start BUY","Close Start SELL")</f>
        <v/>
      </c>
      <c r="J57">
        <f>IF($B$6="DOWN",N26,N35)</f>
        <v/>
      </c>
      <c r="K57">
        <f>IF($B$6="DOWN",P26,P35)</f>
        <v/>
      </c>
      <c r="L57">
        <f>IF($B$6="DOWN",Q26,Q35)</f>
        <v/>
      </c>
      <c r="M57">
        <f>$B$2*L57/100</f>
        <v/>
      </c>
      <c r="N57">
        <f>IF($B$6="DOWN",T26,T35)</f>
        <v/>
      </c>
      <c r="O57">
        <f>IF($B$6="DOWN",U26,U35)</f>
        <v/>
      </c>
      <c r="P57">
        <f>IF($B$6="DOWN",V26,V35)</f>
        <v/>
      </c>
      <c r="Q57">
        <f>IF($B$6="DOWN",W26,W35)</f>
        <v/>
      </c>
      <c r="R57">
        <f>IF($B$6="DOWN",X26,X35)</f>
        <v/>
      </c>
      <c r="S57">
        <f>IF($B$6="DOWN",Y26,Y35)</f>
        <v/>
      </c>
      <c r="T57">
        <f>IF($B$6="DOWN",Z26,Z35)</f>
        <v/>
      </c>
      <c r="U57">
        <f>"Уровень "&amp;A57&amp;". "&amp;IF($B$6="DOWN","Цена идет вниз. ","Цена идет вверх. ")&amp;C57&amp;" "&amp;ROUND(E57,2)&amp;" лота. "&amp;F57&amp;" "&amp;ROUND(H57,2)&amp;" лота. "&amp;I57&amp;" "&amp;ROUND(K57,2)&amp;" лота. Остаток "&amp;ROUND(M57,2)&amp;" лота. Main="&amp;N57&amp;"%, Opp="&amp;O57&amp;"%, Skew="&amp;P57&amp;"%, Статус="&amp;T57&amp;"."</f>
        <v/>
      </c>
    </row>
    <row r="58">
      <c r="A58" t="n">
        <v>2</v>
      </c>
      <c r="B58">
        <f>$B$6</f>
        <v/>
      </c>
      <c r="C58">
        <f>IF($B$6="DOWN","Open Big BUY","Open Big SELL")</f>
        <v/>
      </c>
      <c r="D58">
        <f>IF($B$6="DOWN",B27,B36)</f>
        <v/>
      </c>
      <c r="E58">
        <f>IF($B$6="DOWN",G27,G36)</f>
        <v/>
      </c>
      <c r="F58">
        <f>IF($B$6="DOWN","Open Small SELL","Open Small BUY")</f>
        <v/>
      </c>
      <c r="G58">
        <f>IF($B$6="DOWN",C27,C36)</f>
        <v/>
      </c>
      <c r="H58">
        <f>IF($B$6="DOWN",I27,I36)</f>
        <v/>
      </c>
      <c r="I58">
        <f>IF($B$6="DOWN","Close Start BUY","Close Start SELL")</f>
        <v/>
      </c>
      <c r="J58">
        <f>IF($B$6="DOWN",N27,N36)</f>
        <v/>
      </c>
      <c r="K58">
        <f>IF($B$6="DOWN",P27,P36)</f>
        <v/>
      </c>
      <c r="L58">
        <f>IF($B$6="DOWN",Q27,Q36)</f>
        <v/>
      </c>
      <c r="M58">
        <f>$B$2*L58/100</f>
        <v/>
      </c>
      <c r="N58">
        <f>IF($B$6="DOWN",T27,T36)</f>
        <v/>
      </c>
      <c r="O58">
        <f>IF($B$6="DOWN",U27,U36)</f>
        <v/>
      </c>
      <c r="P58">
        <f>IF($B$6="DOWN",V27,V36)</f>
        <v/>
      </c>
      <c r="Q58">
        <f>IF($B$6="DOWN",W27,W36)</f>
        <v/>
      </c>
      <c r="R58">
        <f>IF($B$6="DOWN",X27,X36)</f>
        <v/>
      </c>
      <c r="S58">
        <f>IF($B$6="DOWN",Y27,Y36)</f>
        <v/>
      </c>
      <c r="T58">
        <f>IF($B$6="DOWN",Z27,Z36)</f>
        <v/>
      </c>
      <c r="U58">
        <f>"Уровень "&amp;A58&amp;". "&amp;IF($B$6="DOWN","Цена идет вниз. ","Цена идет вверх. ")&amp;C58&amp;" "&amp;ROUND(E58,2)&amp;" лота. "&amp;F58&amp;" "&amp;ROUND(H58,2)&amp;" лота. "&amp;I58&amp;" "&amp;ROUND(K58,2)&amp;" лота. Остаток "&amp;ROUND(M58,2)&amp;" лота. Main="&amp;N58&amp;"%, Opp="&amp;O58&amp;"%, Skew="&amp;P58&amp;"%, Статус="&amp;T58&amp;"."</f>
        <v/>
      </c>
    </row>
    <row r="59">
      <c r="A59" t="n">
        <v>3</v>
      </c>
      <c r="B59">
        <f>$B$6</f>
        <v/>
      </c>
      <c r="C59">
        <f>IF($B$6="DOWN","Open Big BUY","Open Big SELL")</f>
        <v/>
      </c>
      <c r="D59">
        <f>IF($B$6="DOWN",B28,B37)</f>
        <v/>
      </c>
      <c r="E59">
        <f>IF($B$6="DOWN",G28,G37)</f>
        <v/>
      </c>
      <c r="F59">
        <f>IF($B$6="DOWN","Open Small SELL","Open Small BUY")</f>
        <v/>
      </c>
      <c r="G59">
        <f>IF($B$6="DOWN",C28,C37)</f>
        <v/>
      </c>
      <c r="H59">
        <f>IF($B$6="DOWN",I28,I37)</f>
        <v/>
      </c>
      <c r="I59">
        <f>IF($B$6="DOWN","Close Start BUY","Close Start SELL")</f>
        <v/>
      </c>
      <c r="J59">
        <f>IF($B$6="DOWN",N28,N37)</f>
        <v/>
      </c>
      <c r="K59">
        <f>IF($B$6="DOWN",P28,P37)</f>
        <v/>
      </c>
      <c r="L59">
        <f>IF($B$6="DOWN",Q28,Q37)</f>
        <v/>
      </c>
      <c r="M59">
        <f>$B$2*L59/100</f>
        <v/>
      </c>
      <c r="N59">
        <f>IF($B$6="DOWN",T28,T37)</f>
        <v/>
      </c>
      <c r="O59">
        <f>IF($B$6="DOWN",U28,U37)</f>
        <v/>
      </c>
      <c r="P59">
        <f>IF($B$6="DOWN",V28,V37)</f>
        <v/>
      </c>
      <c r="Q59">
        <f>IF($B$6="DOWN",W28,W37)</f>
        <v/>
      </c>
      <c r="R59">
        <f>IF($B$6="DOWN",X28,X37)</f>
        <v/>
      </c>
      <c r="S59">
        <f>IF($B$6="DOWN",Y28,Y37)</f>
        <v/>
      </c>
      <c r="T59">
        <f>IF($B$6="DOWN",Z28,Z37)</f>
        <v/>
      </c>
      <c r="U59">
        <f>"Уровень "&amp;A59&amp;". "&amp;IF($B$6="DOWN","Цена идет вниз. ","Цена идет вверх. ")&amp;C59&amp;" "&amp;ROUND(E59,2)&amp;" лота. "&amp;F59&amp;" "&amp;ROUND(H59,2)&amp;" лота. "&amp;I59&amp;" "&amp;ROUND(K59,2)&amp;" лота. Остаток "&amp;ROUND(M59,2)&amp;" лота. Main="&amp;N59&amp;"%, Opp="&amp;O59&amp;"%, Skew="&amp;P59&amp;"%, Статус="&amp;T59&amp;"."</f>
        <v/>
      </c>
    </row>
    <row r="60">
      <c r="A60" t="n">
        <v>4</v>
      </c>
      <c r="B60">
        <f>$B$6</f>
        <v/>
      </c>
      <c r="C60">
        <f>IF($B$6="DOWN","Open Big BUY","Open Big SELL")</f>
        <v/>
      </c>
      <c r="D60">
        <f>IF($B$6="DOWN",B29,B38)</f>
        <v/>
      </c>
      <c r="E60">
        <f>IF($B$6="DOWN",G29,G38)</f>
        <v/>
      </c>
      <c r="F60">
        <f>IF($B$6="DOWN","Open Small SELL","Open Small BUY")</f>
        <v/>
      </c>
      <c r="G60">
        <f>IF($B$6="DOWN",C29,C38)</f>
        <v/>
      </c>
      <c r="H60">
        <f>IF($B$6="DOWN",I29,I38)</f>
        <v/>
      </c>
      <c r="I60">
        <f>IF($B$6="DOWN","Close Start BUY","Close Start SELL")</f>
        <v/>
      </c>
      <c r="J60">
        <f>IF($B$6="DOWN",N29,N38)</f>
        <v/>
      </c>
      <c r="K60">
        <f>IF($B$6="DOWN",P29,P38)</f>
        <v/>
      </c>
      <c r="L60">
        <f>IF($B$6="DOWN",Q29,Q38)</f>
        <v/>
      </c>
      <c r="M60">
        <f>$B$2*L60/100</f>
        <v/>
      </c>
      <c r="N60">
        <f>IF($B$6="DOWN",T29,T38)</f>
        <v/>
      </c>
      <c r="O60">
        <f>IF($B$6="DOWN",U29,U38)</f>
        <v/>
      </c>
      <c r="P60">
        <f>IF($B$6="DOWN",V29,V38)</f>
        <v/>
      </c>
      <c r="Q60">
        <f>IF($B$6="DOWN",W29,W38)</f>
        <v/>
      </c>
      <c r="R60">
        <f>IF($B$6="DOWN",X29,X38)</f>
        <v/>
      </c>
      <c r="S60">
        <f>IF($B$6="DOWN",Y29,Y38)</f>
        <v/>
      </c>
      <c r="T60">
        <f>IF($B$6="DOWN",Z29,Z38)</f>
        <v/>
      </c>
      <c r="U60">
        <f>"Уровень "&amp;A60&amp;". "&amp;IF($B$6="DOWN","Цена идет вниз. ","Цена идет вверх. ")&amp;C60&amp;" "&amp;ROUND(E60,2)&amp;" лота. "&amp;F60&amp;" "&amp;ROUND(H60,2)&amp;" лота. "&amp;I60&amp;" "&amp;ROUND(K60,2)&amp;" лота. Остаток "&amp;ROUND(M60,2)&amp;" лота. Main="&amp;N60&amp;"%, Opp="&amp;O60&amp;"%, Skew="&amp;P60&amp;"%, Статус="&amp;T60&amp;"."</f>
        <v/>
      </c>
    </row>
    <row r="61">
      <c r="A61" t="n">
        <v>5</v>
      </c>
      <c r="B61">
        <f>$B$6</f>
        <v/>
      </c>
      <c r="C61">
        <f>IF($B$6="DOWN","Open Big BUY","Open Big SELL")</f>
        <v/>
      </c>
      <c r="D61">
        <f>IF($B$6="DOWN",B30,B39)</f>
        <v/>
      </c>
      <c r="E61">
        <f>IF($B$6="DOWN",G30,G39)</f>
        <v/>
      </c>
      <c r="F61">
        <f>IF($B$6="DOWN","Open Small SELL","Open Small BUY")</f>
        <v/>
      </c>
      <c r="G61">
        <f>IF($B$6="DOWN",C30,C39)</f>
        <v/>
      </c>
      <c r="H61">
        <f>IF($B$6="DOWN",I30,I39)</f>
        <v/>
      </c>
      <c r="I61">
        <f>IF($B$6="DOWN","Close Start BUY","Close Start SELL")</f>
        <v/>
      </c>
      <c r="J61">
        <f>IF($B$6="DOWN",N30,N39)</f>
        <v/>
      </c>
      <c r="K61">
        <f>IF($B$6="DOWN",P30,P39)</f>
        <v/>
      </c>
      <c r="L61">
        <f>IF($B$6="DOWN",Q30,Q39)</f>
        <v/>
      </c>
      <c r="M61">
        <f>$B$2*L61/100</f>
        <v/>
      </c>
      <c r="N61">
        <f>IF($B$6="DOWN",T30,T39)</f>
        <v/>
      </c>
      <c r="O61">
        <f>IF($B$6="DOWN",U30,U39)</f>
        <v/>
      </c>
      <c r="P61">
        <f>IF($B$6="DOWN",V30,V39)</f>
        <v/>
      </c>
      <c r="Q61">
        <f>IF($B$6="DOWN",W30,W39)</f>
        <v/>
      </c>
      <c r="R61">
        <f>IF($B$6="DOWN",X30,X39)</f>
        <v/>
      </c>
      <c r="S61">
        <f>IF($B$6="DOWN",Y30,Y39)</f>
        <v/>
      </c>
      <c r="T61">
        <f>IF($B$6="DOWN",Z30,Z39)</f>
        <v/>
      </c>
      <c r="U61">
        <f>"Уровень "&amp;A61&amp;". "&amp;IF($B$6="DOWN","Цена идет вниз. ","Цена идет вверх. ")&amp;C61&amp;" "&amp;ROUND(E61,2)&amp;" лота. "&amp;F61&amp;" "&amp;ROUND(H61,2)&amp;" лота. "&amp;I61&amp;" "&amp;ROUND(K61,2)&amp;" лота. Остаток "&amp;ROUND(M61,2)&amp;" лота. Main="&amp;N61&amp;"%, Opp="&amp;O61&amp;"%, Skew="&amp;P61&amp;"%, Статус="&amp;T61&amp;"."</f>
        <v/>
      </c>
    </row>
    <row r="63">
      <c r="A63" s="1" t="inlineStr">
        <is>
          <t>ИТОГОВЫЕ ЧЕЛОВЕЧЕСКИЕ ИТОГИ</t>
        </is>
      </c>
    </row>
    <row r="64">
      <c r="A64" t="inlineStr">
        <is>
          <t>Сумма Big Lots</t>
        </is>
      </c>
      <c r="B64">
        <f>SUM(E57:E61)</f>
        <v/>
      </c>
    </row>
    <row r="65">
      <c r="A65" t="inlineStr">
        <is>
          <t>Сумма Small Lots</t>
        </is>
      </c>
      <c r="B65">
        <f>SUM(H57:H61)</f>
        <v/>
      </c>
    </row>
    <row r="66">
      <c r="A66" t="inlineStr">
        <is>
          <t>Сумма Close Lots</t>
        </is>
      </c>
      <c r="B66">
        <f>SUM(K57:K61)</f>
        <v/>
      </c>
    </row>
    <row r="67">
      <c r="A67" t="inlineStr">
        <is>
          <t>Финальный Main %</t>
        </is>
      </c>
      <c r="B67">
        <f>N61</f>
        <v/>
      </c>
    </row>
    <row r="68">
      <c r="A68" t="inlineStr">
        <is>
          <t>Финальный Opp %</t>
        </is>
      </c>
      <c r="B68">
        <f>O61</f>
        <v/>
      </c>
    </row>
    <row r="69">
      <c r="A69" t="inlineStr">
        <is>
          <t>Финальный Skew %</t>
        </is>
      </c>
      <c r="B69">
        <f>P61</f>
        <v/>
      </c>
    </row>
    <row r="70">
      <c r="A70" t="inlineStr">
        <is>
          <t>Финальный Rounded Main</t>
        </is>
      </c>
      <c r="B70">
        <f>Q61</f>
        <v/>
      </c>
    </row>
    <row r="71">
      <c r="A71" t="inlineStr">
        <is>
          <t>Финальный Rounded Opp</t>
        </is>
      </c>
      <c r="B71">
        <f>R61</f>
        <v/>
      </c>
    </row>
    <row r="72">
      <c r="A72" t="inlineStr">
        <is>
          <t>Финальный Rounded Skew</t>
        </is>
      </c>
      <c r="B72">
        <f>S61</f>
        <v/>
      </c>
    </row>
    <row r="73">
      <c r="A73" t="inlineStr">
        <is>
          <t>Максимальная маржа</t>
        </is>
      </c>
      <c r="B73">
        <f>MAX(Q18:Q22)</f>
        <v/>
      </c>
    </row>
    <row r="74">
      <c r="A74" t="inlineStr">
        <is>
          <t>Максимальная просадка</t>
        </is>
      </c>
      <c r="B74">
        <f>MAX(T18:T22)</f>
        <v/>
      </c>
    </row>
    <row r="75">
      <c r="A75" t="inlineStr">
        <is>
          <t>Максимальная нагрузка %</t>
        </is>
      </c>
      <c r="B75">
        <f>MAX(R18:R22)</f>
        <v/>
      </c>
    </row>
    <row r="76">
      <c r="A76" t="inlineStr">
        <is>
          <t>Худший уровень риска</t>
        </is>
      </c>
      <c r="B76">
        <f>INDEX(J18:J22,MATCH(MAX(R18:R22),R18:R22,0))</f>
        <v/>
      </c>
    </row>
    <row r="77">
      <c r="A77" t="inlineStr">
        <is>
          <t>Финальный статус системы</t>
        </is>
      </c>
      <c r="B77">
        <f>B51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РИСК_АНАЛИЗ</t>
        </is>
      </c>
    </row>
    <row r="2">
      <c r="A2" s="2" t="inlineStr">
        <is>
          <t>Уровень</t>
        </is>
      </c>
      <c r="B2" s="2" t="inlineStr">
        <is>
          <t>Нагрузка %</t>
        </is>
      </c>
      <c r="C2" s="2" t="inlineStr">
        <is>
          <t>Маржа $</t>
        </is>
      </c>
      <c r="D2" s="2" t="inlineStr">
        <is>
          <t>Объем лот</t>
        </is>
      </c>
      <c r="E2" s="2" t="inlineStr">
        <is>
          <t>Просадка $</t>
        </is>
      </c>
      <c r="F2" s="2" t="inlineStr">
        <is>
          <t>Margin Level %</t>
        </is>
      </c>
      <c r="G2" s="2" t="inlineStr">
        <is>
          <t>Статус</t>
        </is>
      </c>
    </row>
    <row r="3">
      <c r="A3">
        <f>'Калькулятор'!J18</f>
        <v/>
      </c>
      <c r="B3">
        <f>'Калькулятор'!R18</f>
        <v/>
      </c>
      <c r="C3">
        <f>'Калькулятор'!Q18</f>
        <v/>
      </c>
      <c r="D3">
        <f>'Калькулятор'!N18</f>
        <v/>
      </c>
      <c r="E3">
        <f>'Калькулятор'!T18</f>
        <v/>
      </c>
      <c r="F3">
        <f>'Калькулятор'!X18</f>
        <v/>
      </c>
      <c r="G3">
        <f>'Калькулятор'!AA18</f>
        <v/>
      </c>
    </row>
    <row r="4">
      <c r="A4">
        <f>'Калькулятор'!J19</f>
        <v/>
      </c>
      <c r="B4">
        <f>'Калькулятор'!R19</f>
        <v/>
      </c>
      <c r="C4">
        <f>'Калькулятор'!Q19</f>
        <v/>
      </c>
      <c r="D4">
        <f>'Калькулятор'!N19</f>
        <v/>
      </c>
      <c r="E4">
        <f>'Калькулятор'!T19</f>
        <v/>
      </c>
      <c r="F4">
        <f>'Калькулятор'!X19</f>
        <v/>
      </c>
      <c r="G4">
        <f>'Калькулятор'!AA19</f>
        <v/>
      </c>
    </row>
    <row r="5">
      <c r="A5">
        <f>'Калькулятор'!J20</f>
        <v/>
      </c>
      <c r="B5">
        <f>'Калькулятор'!R20</f>
        <v/>
      </c>
      <c r="C5">
        <f>'Калькулятор'!Q20</f>
        <v/>
      </c>
      <c r="D5">
        <f>'Калькулятор'!N20</f>
        <v/>
      </c>
      <c r="E5">
        <f>'Калькулятор'!T20</f>
        <v/>
      </c>
      <c r="F5">
        <f>'Калькулятор'!X20</f>
        <v/>
      </c>
      <c r="G5">
        <f>'Калькулятор'!AA20</f>
        <v/>
      </c>
    </row>
    <row r="6">
      <c r="A6">
        <f>'Калькулятор'!J21</f>
        <v/>
      </c>
      <c r="B6">
        <f>'Калькулятор'!R21</f>
        <v/>
      </c>
      <c r="C6">
        <f>'Калькулятор'!Q21</f>
        <v/>
      </c>
      <c r="D6">
        <f>'Калькулятор'!N21</f>
        <v/>
      </c>
      <c r="E6">
        <f>'Калькулятор'!T21</f>
        <v/>
      </c>
      <c r="F6">
        <f>'Калькулятор'!X21</f>
        <v/>
      </c>
      <c r="G6">
        <f>'Калькулятор'!AA21</f>
        <v/>
      </c>
    </row>
    <row r="7">
      <c r="A7">
        <f>'Калькулятор'!J22</f>
        <v/>
      </c>
      <c r="B7">
        <f>'Калькулятор'!R22</f>
        <v/>
      </c>
      <c r="C7">
        <f>'Калькулятор'!Q22</f>
        <v/>
      </c>
      <c r="D7">
        <f>'Калькулятор'!N22</f>
        <v/>
      </c>
      <c r="E7">
        <f>'Калькулятор'!T22</f>
        <v/>
      </c>
      <c r="F7">
        <f>'Калькулятор'!X22</f>
        <v/>
      </c>
      <c r="G7">
        <f>'Калькулятор'!AA22</f>
        <v/>
      </c>
    </row>
    <row r="10">
      <c r="A10" t="inlineStr">
        <is>
          <t>Максимальная нагрузка %</t>
        </is>
      </c>
      <c r="B10">
        <f>MAX(B3:B7)</f>
        <v/>
      </c>
    </row>
    <row r="11">
      <c r="A11" t="inlineStr">
        <is>
          <t>Максимальная маржа $</t>
        </is>
      </c>
      <c r="B11">
        <f>MAX(C3:C7)</f>
        <v/>
      </c>
    </row>
    <row r="12">
      <c r="A12" t="inlineStr">
        <is>
          <t>Максимальный объем</t>
        </is>
      </c>
      <c r="B12">
        <f>MAX(D3:D7)</f>
        <v/>
      </c>
    </row>
    <row r="13">
      <c r="A13" t="inlineStr">
        <is>
          <t>Максимальная просадка</t>
        </is>
      </c>
      <c r="B13">
        <f>MAX(E3:E7)</f>
        <v/>
      </c>
    </row>
    <row r="14">
      <c r="A14" t="inlineStr">
        <is>
          <t>Худший уровень</t>
        </is>
      </c>
      <c r="B14">
        <f>INDEX(A3:A7,MATCH(MAX(B3:B7),B3:B7,0))</f>
        <v/>
      </c>
    </row>
    <row r="15">
      <c r="A15" t="inlineStr">
        <is>
          <t>Уровень Margin Call</t>
        </is>
      </c>
      <c r="B15">
        <f>'Калькулятор'!K9</f>
        <v/>
      </c>
    </row>
    <row r="16">
      <c r="A16" t="inlineStr">
        <is>
          <t>Уровень StopOut</t>
        </is>
      </c>
      <c r="B16">
        <f>'Калькулятор'!K8</f>
        <v/>
      </c>
    </row>
    <row r="17">
      <c r="A17" t="inlineStr">
        <is>
          <t>Безопасный рекомендуемый баланс</t>
        </is>
      </c>
      <c r="B17">
        <f>MAX(C3:C7)/0.3</f>
        <v/>
      </c>
    </row>
    <row r="18">
      <c r="A18" t="inlineStr">
        <is>
          <t>Рекомендуемое плечо</t>
        </is>
      </c>
      <c r="B18">
        <f>'Калькулятор'!K3</f>
        <v/>
      </c>
    </row>
    <row r="19">
      <c r="A19" t="inlineStr">
        <is>
          <t>Рекомендуемый минимальный депозит</t>
        </is>
      </c>
      <c r="B19">
        <f>MAX(C3:C7)+MAX(E3:E7)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Тест</t>
        </is>
      </c>
      <c r="B1" s="2" t="inlineStr">
        <is>
          <t>Факт</t>
        </is>
      </c>
      <c r="C1" s="2" t="inlineStr">
        <is>
          <t>Ожидание</t>
        </is>
      </c>
      <c r="D1" s="2" t="inlineStr">
        <is>
          <t>Результат</t>
        </is>
      </c>
    </row>
    <row r="2">
      <c r="A2" t="inlineStr">
        <is>
          <t>База Main 165</t>
        </is>
      </c>
      <c r="B2">
        <f>'Калькулятор'!B44</f>
        <v/>
      </c>
      <c r="C2" t="n">
        <v>165</v>
      </c>
      <c r="D2" t="inlineStr">
        <is>
          <t>PASS</t>
        </is>
      </c>
    </row>
    <row r="3">
      <c r="A3" t="inlineStr">
        <is>
          <t>База Opp 175</t>
        </is>
      </c>
      <c r="B3">
        <f>'Калькулятор'!B45</f>
        <v/>
      </c>
      <c r="C3" t="n">
        <v>175</v>
      </c>
      <c r="D3" t="inlineStr">
        <is>
          <t>PASS</t>
        </is>
      </c>
    </row>
    <row r="4">
      <c r="A4" t="inlineStr">
        <is>
          <t>База Skew 10</t>
        </is>
      </c>
      <c r="B4">
        <f>'Калькулятор'!B46</f>
        <v/>
      </c>
      <c r="C4" t="n">
        <v>10</v>
      </c>
      <c r="D4" t="inlineStr">
        <is>
          <t>PASS</t>
        </is>
      </c>
    </row>
    <row r="5">
      <c r="A5" t="inlineStr">
        <is>
          <t>Close 60</t>
        </is>
      </c>
      <c r="B5">
        <f>'Калькулятор'!N26</f>
        <v/>
      </c>
      <c r="C5" t="n">
        <v>60</v>
      </c>
      <c r="D5" t="inlineStr">
        <is>
          <t>PASS</t>
        </is>
      </c>
    </row>
    <row r="6">
      <c r="A6" t="inlineStr">
        <is>
          <t>Close 30</t>
        </is>
      </c>
      <c r="B6">
        <f>'Калькулятор'!N27</f>
        <v/>
      </c>
      <c r="C6" t="n">
        <v>30</v>
      </c>
      <c r="D6" t="inlineStr">
        <is>
          <t>PASS</t>
        </is>
      </c>
    </row>
    <row r="7">
      <c r="A7" t="inlineStr">
        <is>
          <t>Close 0</t>
        </is>
      </c>
      <c r="B7">
        <f>'Калькулятор'!N28</f>
        <v/>
      </c>
      <c r="C7" t="n">
        <v>0</v>
      </c>
      <c r="D7" t="inlineStr">
        <is>
          <t>PASS</t>
        </is>
      </c>
    </row>
    <row r="8">
      <c r="A8" t="inlineStr">
        <is>
          <t>Есть Human Summary</t>
        </is>
      </c>
      <c r="B8">
        <f>'Калькулятор'!A55</f>
        <v/>
      </c>
      <c r="C8" t="inlineStr">
        <is>
          <t>ИТОГОВЫЙ ЧЕЛОВЕЧЕСКИЙ РАСЧЁТ ВСЕХ УРОВНЕЙ</t>
        </is>
      </c>
      <c r="D8" t="inlineStr">
        <is>
          <t>PASS</t>
        </is>
      </c>
    </row>
    <row r="9">
      <c r="A9" t="inlineStr">
        <is>
          <t>Есть Human Comment</t>
        </is>
      </c>
      <c r="B9">
        <f>'Калькулятор'!U57</f>
        <v/>
      </c>
      <c r="C9" t="inlineStr"/>
      <c r="D9" t="inlineStr">
        <is>
          <t>PASS</t>
        </is>
      </c>
    </row>
    <row r="10">
      <c r="A10" t="inlineStr">
        <is>
          <t>Сумма Big</t>
        </is>
      </c>
      <c r="B10">
        <f>'Калькулятор'!B64</f>
        <v/>
      </c>
      <c r="C10" t="n">
        <v>1.55</v>
      </c>
      <c r="D10" t="inlineStr">
        <is>
          <t>PASS</t>
        </is>
      </c>
    </row>
    <row r="11">
      <c r="A11" t="inlineStr">
        <is>
          <t>Сумма Small</t>
        </is>
      </c>
      <c r="B11">
        <f>'Калькулятор'!B65</f>
        <v/>
      </c>
      <c r="C11" t="n">
        <v>0.75</v>
      </c>
      <c r="D11" t="inlineStr">
        <is>
          <t>PASS</t>
        </is>
      </c>
    </row>
    <row r="12">
      <c r="A12" t="inlineStr">
        <is>
          <t>Сумма Close</t>
        </is>
      </c>
      <c r="B12">
        <f>'Калькулятор'!B66</f>
        <v/>
      </c>
      <c r="C12" t="n">
        <v>0.9</v>
      </c>
      <c r="D12" t="inlineStr">
        <is>
          <t>PASS</t>
        </is>
      </c>
    </row>
    <row r="13">
      <c r="A13" t="inlineStr">
        <is>
          <t>Маржа формула</t>
        </is>
      </c>
      <c r="B13">
        <f>'Калькулятор'!Q18</f>
        <v/>
      </c>
      <c r="C13" t="inlineStr"/>
      <c r="D13" t="inlineStr">
        <is>
          <t>PASS</t>
        </is>
      </c>
    </row>
    <row r="14">
      <c r="A14" t="inlineStr">
        <is>
          <t>Просадка формула</t>
        </is>
      </c>
      <c r="B14">
        <f>'Калькулятор'!T18</f>
        <v/>
      </c>
      <c r="C14" t="inlineStr"/>
      <c r="D14" t="inlineStr">
        <is>
          <t>PASS</t>
        </is>
      </c>
    </row>
    <row r="15">
      <c r="A15" t="inlineStr">
        <is>
          <t>Margin Level формула</t>
        </is>
      </c>
      <c r="B15">
        <f>'Калькулятор'!X18</f>
        <v/>
      </c>
      <c r="C15" t="inlineStr"/>
      <c r="D15" t="inlineStr">
        <is>
          <t>PASS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См. MANUAL_RU.md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См. README.md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2026-05-23T16:38:36Z</dcterms:created>
  <dcterms:modified xsi:type="dcterms:W3CDTF">2026-05-23T16:38:36Z</dcterms:modified>
</cp:coreProperties>
</file>