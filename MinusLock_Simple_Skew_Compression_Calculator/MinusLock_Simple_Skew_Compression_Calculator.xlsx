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" sheetId="1" state="visible" r:id="rId1"/>
    <sheet name="РИСК_АНАЛИЗ" sheetId="2" state="visible" r:id="rId2"/>
    <sheet name="Тесты" sheetId="3" state="visible" r:id="rId3"/>
    <sheet name="Руководство" sheetId="4" state="visible" r:id="rId4"/>
    <sheet name="Описани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нагрузки на баланс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'РИСК_АНАЛИЗ'!$B$3:$B$7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объема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'РИСК_АНАЛИЗ'!$D$3:$D$7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маржи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'РИСК_АНАЛИЗ'!$C$3:$C$7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просадки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'РИСК_АНАЛИЗ'!$E$3:$E$7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Margin Level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'РИСК_АНАЛИЗ'!$F$3:$F$7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65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ПАРАМЕТРЫ</t>
        </is>
      </c>
      <c r="D1" s="1" t="inlineStr">
        <is>
          <t>ПАРАМЕТРЫ РИСКА</t>
        </is>
      </c>
    </row>
    <row r="2">
      <c r="A2" t="inlineStr">
        <is>
          <t>СтартЛот</t>
        </is>
      </c>
      <c r="B2" t="n">
        <v>1</v>
      </c>
      <c r="D2" t="inlineStr">
        <is>
          <t>Баланс</t>
        </is>
      </c>
      <c r="E2" t="n">
        <v>10000</v>
      </c>
    </row>
    <row r="3">
      <c r="A3" t="inlineStr">
        <is>
          <t>ШагПункты</t>
        </is>
      </c>
      <c r="B3" t="n">
        <v>100</v>
      </c>
      <c r="D3" t="inlineStr">
        <is>
          <t>Плечо</t>
        </is>
      </c>
      <c r="E3" t="n">
        <v>100</v>
      </c>
    </row>
    <row r="4">
      <c r="A4" t="inlineStr">
        <is>
          <t>МаксУровни</t>
        </is>
      </c>
      <c r="B4" t="n">
        <v>5</v>
      </c>
      <c r="D4" t="inlineStr">
        <is>
          <t>РазмерКонтракта</t>
        </is>
      </c>
      <c r="E4" t="n">
        <v>100000</v>
      </c>
    </row>
    <row r="5">
      <c r="A5" t="inlineStr">
        <is>
          <t>ШагЛота</t>
        </is>
      </c>
      <c r="B5" t="n">
        <v>0.01</v>
      </c>
      <c r="D5" t="inlineStr">
        <is>
          <t>ЦенаИнструмента</t>
        </is>
      </c>
      <c r="E5" t="n">
        <v>1.1</v>
      </c>
    </row>
    <row r="6">
      <c r="A6" t="inlineStr">
        <is>
          <t>Направление</t>
        </is>
      </c>
      <c r="B6" t="inlineStr">
        <is>
          <t>DOWN</t>
        </is>
      </c>
      <c r="D6" t="inlineStr">
        <is>
          <t>СтоимостьПунктаНа1Лот</t>
        </is>
      </c>
      <c r="E6" t="n">
        <v>10</v>
      </c>
    </row>
    <row r="7">
      <c r="A7" t="inlineStr">
        <is>
          <t>Округлять</t>
        </is>
      </c>
      <c r="B7" t="b">
        <v>1</v>
      </c>
      <c r="D7" t="inlineStr">
        <is>
          <t>МаксДвижениеПротив(пункты)</t>
        </is>
      </c>
      <c r="E7" t="n">
        <v>500</v>
      </c>
    </row>
    <row r="8">
      <c r="A8" t="inlineStr">
        <is>
          <t>РежимBig</t>
        </is>
      </c>
      <c r="B8" t="inlineStr">
        <is>
          <t>ВНИЗ</t>
        </is>
      </c>
      <c r="D8" t="inlineStr">
        <is>
          <t>УровеньStopOut%</t>
        </is>
      </c>
      <c r="E8" t="n">
        <v>50</v>
      </c>
    </row>
    <row r="9">
      <c r="A9" t="inlineStr">
        <is>
          <t>РежимSmall</t>
        </is>
      </c>
      <c r="B9" t="inlineStr">
        <is>
          <t>ВВЕРХ</t>
        </is>
      </c>
      <c r="D9" t="inlineStr">
        <is>
          <t>УровеньMarginCall%</t>
        </is>
      </c>
      <c r="E9" t="n">
        <v>100</v>
      </c>
    </row>
    <row r="10">
      <c r="A10" t="inlineStr">
        <is>
          <t>РежимClose</t>
        </is>
      </c>
      <c r="B10" t="inlineStr">
        <is>
          <t>SAFE</t>
        </is>
      </c>
    </row>
    <row r="11">
      <c r="A11" t="inlineStr">
        <is>
          <t>СтоимостьПункта</t>
        </is>
      </c>
      <c r="B11" t="n">
        <v>10</v>
      </c>
    </row>
    <row r="12">
      <c r="A12" t="inlineStr">
        <is>
          <t>Спред</t>
        </is>
      </c>
      <c r="B12" t="n">
        <v>0</v>
      </c>
    </row>
    <row r="13">
      <c r="A13" t="inlineStr">
        <is>
          <t>Комиссия</t>
        </is>
      </c>
      <c r="B13" t="n">
        <v>0</v>
      </c>
    </row>
    <row r="16">
      <c r="A16" s="1" t="inlineStr">
        <is>
          <t>СЕТКА УРОВНЕЙ</t>
        </is>
      </c>
      <c r="D16" s="1" t="inlineStr">
        <is>
          <t>РИСКИ И МАРЖА</t>
        </is>
      </c>
    </row>
    <row r="17">
      <c r="A17" s="2" t="inlineStr">
        <is>
          <t>Уровень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Уровень</t>
        </is>
      </c>
      <c r="E17" s="2" t="inlineStr">
        <is>
          <t>Направление</t>
        </is>
      </c>
      <c r="F17" s="2" t="inlineStr">
        <is>
          <t>Общий Main Lot</t>
        </is>
      </c>
      <c r="G17" s="2" t="inlineStr">
        <is>
          <t>Общий Opposite Lot</t>
        </is>
      </c>
      <c r="H17" s="2" t="inlineStr">
        <is>
          <t>Общий открытый объём</t>
        </is>
      </c>
      <c r="I17" s="2" t="inlineStr">
        <is>
          <t>Чистый перекос</t>
        </is>
      </c>
      <c r="J17" s="2" t="inlineStr">
        <is>
          <t>Маржа на 1 лот</t>
        </is>
      </c>
      <c r="K17" s="2" t="inlineStr">
        <is>
          <t>Требуемая маржа</t>
        </is>
      </c>
      <c r="L17" s="2" t="inlineStr">
        <is>
          <t>Нагрузка на баланс %</t>
        </is>
      </c>
      <c r="M17" s="2" t="inlineStr">
        <is>
          <t>Макс движение против</t>
        </is>
      </c>
      <c r="N17" s="2" t="inlineStr">
        <is>
          <t>Плавающая просадка $</t>
        </is>
      </c>
      <c r="O17" s="2" t="inlineStr">
        <is>
          <t>Баланс после просадки</t>
        </is>
      </c>
      <c r="P17" s="2" t="inlineStr">
        <is>
          <t>Equity после просадки</t>
        </is>
      </c>
      <c r="Q17" s="2" t="inlineStr">
        <is>
          <t>Свободная маржа</t>
        </is>
      </c>
      <c r="R17" s="2" t="inlineStr">
        <is>
          <t>Margin Level %</t>
        </is>
      </c>
      <c r="S17" s="2" t="inlineStr">
        <is>
          <t>Риск Margin Call</t>
        </is>
      </c>
      <c r="T17" s="2" t="inlineStr">
        <is>
          <t>Риск StopOut</t>
        </is>
      </c>
      <c r="U17" s="2" t="inlineStr">
        <is>
          <t>Статус риска</t>
        </is>
      </c>
      <c r="V17" s="2" t="inlineStr">
        <is>
          <t>Комментарий</t>
        </is>
      </c>
    </row>
    <row r="18">
      <c r="A18" t="n">
        <v>1</v>
      </c>
      <c r="B18" t="n">
        <v>90</v>
      </c>
      <c r="C18" t="n">
        <v>30</v>
      </c>
      <c r="D18" t="n">
        <v>1</v>
      </c>
      <c r="E18">
        <f>$B$6</f>
        <v/>
      </c>
      <c r="F18">
        <f>IF($B$6="DOWN",W26,W35)</f>
        <v/>
      </c>
      <c r="G18">
        <f>IF($B$6="DOWN",X26,X35)</f>
        <v/>
      </c>
      <c r="H18">
        <f>F18+G18</f>
        <v/>
      </c>
      <c r="I18">
        <f>ABS(F18-G18)</f>
        <v/>
      </c>
      <c r="J18">
        <f>$E$4*$E$5/$E$3</f>
        <v/>
      </c>
      <c r="K18">
        <f>H18*J18</f>
        <v/>
      </c>
      <c r="L18">
        <f>K18/$E$2*100</f>
        <v/>
      </c>
      <c r="M18">
        <f>$E$7</f>
        <v/>
      </c>
      <c r="N18">
        <f>I18*$E$6*$E$7</f>
        <v/>
      </c>
      <c r="O18">
        <f>$E$2-N18</f>
        <v/>
      </c>
      <c r="P18">
        <f>O18</f>
        <v/>
      </c>
      <c r="Q18">
        <f>P18-K18</f>
        <v/>
      </c>
      <c r="R18">
        <f>IF(K18=0,0,P18/K18*100)</f>
        <v/>
      </c>
      <c r="S18">
        <f>IF(R18&lt;=$E$9,"РИСК MARGIN CALL","OK")</f>
        <v/>
      </c>
      <c r="T18">
        <f>IF(R18&lt;=$E$8,"РИСК STOPOUT","OK")</f>
        <v/>
      </c>
      <c r="U18">
        <f>IF(L18&lt;30,"OK",IF(L18&lt;50,"WARNING",IF(L18&lt;70,"DANGER","CRITICAL")))</f>
        <v/>
      </c>
      <c r="V18">
        <f>"Уровень "&amp;D18&amp;". Объем="&amp;ROUND(H18,2)&amp;" лот. Маржа="&amp;ROUND(K18,2)&amp;"$. Нагрузка="&amp;ROUND(L18,1)&amp;"%. Просадка="&amp;ROUND(N18,2)&amp;"$. Статус="&amp;U18</f>
        <v/>
      </c>
    </row>
    <row r="19">
      <c r="A19" t="n">
        <v>2</v>
      </c>
      <c r="B19" t="n">
        <v>30</v>
      </c>
      <c r="C19" t="n">
        <v>15</v>
      </c>
      <c r="D19" t="n">
        <v>2</v>
      </c>
      <c r="E19">
        <f>$B$6</f>
        <v/>
      </c>
      <c r="F19">
        <f>IF($B$6="DOWN",W27,W36)</f>
        <v/>
      </c>
      <c r="G19">
        <f>IF($B$6="DOWN",X27,X36)</f>
        <v/>
      </c>
      <c r="H19">
        <f>F19+G19</f>
        <v/>
      </c>
      <c r="I19">
        <f>ABS(F19-G19)</f>
        <v/>
      </c>
      <c r="J19">
        <f>$E$4*$E$5/$E$3</f>
        <v/>
      </c>
      <c r="K19">
        <f>H19*J19</f>
        <v/>
      </c>
      <c r="L19">
        <f>K19/$E$2*100</f>
        <v/>
      </c>
      <c r="M19">
        <f>$E$7</f>
        <v/>
      </c>
      <c r="N19">
        <f>I19*$E$6*$E$7</f>
        <v/>
      </c>
      <c r="O19">
        <f>$E$2-N19</f>
        <v/>
      </c>
      <c r="P19">
        <f>O19</f>
        <v/>
      </c>
      <c r="Q19">
        <f>P19-K19</f>
        <v/>
      </c>
      <c r="R19">
        <f>IF(K19=0,0,P19/K19*100)</f>
        <v/>
      </c>
      <c r="S19">
        <f>IF(R19&lt;=$E$9,"РИСК MARGIN CALL","OK")</f>
        <v/>
      </c>
      <c r="T19">
        <f>IF(R19&lt;=$E$8,"РИСК STOPOUT","OK")</f>
        <v/>
      </c>
      <c r="U19">
        <f>IF(L19&lt;30,"OK",IF(L19&lt;50,"WARNING",IF(L19&lt;70,"DANGER","CRITICAL")))</f>
        <v/>
      </c>
      <c r="V19">
        <f>"Уровень "&amp;D19&amp;". Объем="&amp;ROUND(H19,2)&amp;" лот. Маржа="&amp;ROUND(K19,2)&amp;"$. Нагрузка="&amp;ROUND(L19,1)&amp;"%. Просадка="&amp;ROUND(N19,2)&amp;"$. Статус="&amp;U19</f>
        <v/>
      </c>
    </row>
    <row r="20">
      <c r="A20" t="n">
        <v>3</v>
      </c>
      <c r="B20" t="n">
        <v>20</v>
      </c>
      <c r="C20" t="n">
        <v>15</v>
      </c>
      <c r="D20" t="n">
        <v>3</v>
      </c>
      <c r="E20">
        <f>$B$6</f>
        <v/>
      </c>
      <c r="F20">
        <f>IF($B$6="DOWN",W28,W37)</f>
        <v/>
      </c>
      <c r="G20">
        <f>IF($B$6="DOWN",X28,X37)</f>
        <v/>
      </c>
      <c r="H20">
        <f>F20+G20</f>
        <v/>
      </c>
      <c r="I20">
        <f>ABS(F20-G20)</f>
        <v/>
      </c>
      <c r="J20">
        <f>$E$4*$E$5/$E$3</f>
        <v/>
      </c>
      <c r="K20">
        <f>H20*J20</f>
        <v/>
      </c>
      <c r="L20">
        <f>K20/$E$2*100</f>
        <v/>
      </c>
      <c r="M20">
        <f>$E$7</f>
        <v/>
      </c>
      <c r="N20">
        <f>I20*$E$6*$E$7</f>
        <v/>
      </c>
      <c r="O20">
        <f>$E$2-N20</f>
        <v/>
      </c>
      <c r="P20">
        <f>O20</f>
        <v/>
      </c>
      <c r="Q20">
        <f>P20-K20</f>
        <v/>
      </c>
      <c r="R20">
        <f>IF(K20=0,0,P20/K20*100)</f>
        <v/>
      </c>
      <c r="S20">
        <f>IF(R20&lt;=$E$9,"РИСК MARGIN CALL","OK")</f>
        <v/>
      </c>
      <c r="T20">
        <f>IF(R20&lt;=$E$8,"РИСК STOPOUT","OK")</f>
        <v/>
      </c>
      <c r="U20">
        <f>IF(L20&lt;30,"OK",IF(L20&lt;50,"WARNING",IF(L20&lt;70,"DANGER","CRITICAL")))</f>
        <v/>
      </c>
      <c r="V20">
        <f>"Уровень "&amp;D20&amp;". Объем="&amp;ROUND(H20,2)&amp;" лот. Маржа="&amp;ROUND(K20,2)&amp;"$. Нагрузка="&amp;ROUND(L20,1)&amp;"%. Просадка="&amp;ROUND(N20,2)&amp;"$. Статус="&amp;U20</f>
        <v/>
      </c>
    </row>
    <row r="21">
      <c r="A21" t="n">
        <v>4</v>
      </c>
      <c r="B21" t="n">
        <v>10</v>
      </c>
      <c r="C21" t="n">
        <v>10</v>
      </c>
      <c r="D21" t="n">
        <v>4</v>
      </c>
      <c r="E21">
        <f>$B$6</f>
        <v/>
      </c>
      <c r="F21">
        <f>IF($B$6="DOWN",W29,W38)</f>
        <v/>
      </c>
      <c r="G21">
        <f>IF($B$6="DOWN",X29,X38)</f>
        <v/>
      </c>
      <c r="H21">
        <f>F21+G21</f>
        <v/>
      </c>
      <c r="I21">
        <f>ABS(F21-G21)</f>
        <v/>
      </c>
      <c r="J21">
        <f>$E$4*$E$5/$E$3</f>
        <v/>
      </c>
      <c r="K21">
        <f>H21*J21</f>
        <v/>
      </c>
      <c r="L21">
        <f>K21/$E$2*100</f>
        <v/>
      </c>
      <c r="M21">
        <f>$E$7</f>
        <v/>
      </c>
      <c r="N21">
        <f>I21*$E$6*$E$7</f>
        <v/>
      </c>
      <c r="O21">
        <f>$E$2-N21</f>
        <v/>
      </c>
      <c r="P21">
        <f>O21</f>
        <v/>
      </c>
      <c r="Q21">
        <f>P21-K21</f>
        <v/>
      </c>
      <c r="R21">
        <f>IF(K21=0,0,P21/K21*100)</f>
        <v/>
      </c>
      <c r="S21">
        <f>IF(R21&lt;=$E$9,"РИСК MARGIN CALL","OK")</f>
        <v/>
      </c>
      <c r="T21">
        <f>IF(R21&lt;=$E$8,"РИСК STOPOUT","OK")</f>
        <v/>
      </c>
      <c r="U21">
        <f>IF(L21&lt;30,"OK",IF(L21&lt;50,"WARNING",IF(L21&lt;70,"DANGER","CRITICAL")))</f>
        <v/>
      </c>
      <c r="V21">
        <f>"Уровень "&amp;D21&amp;". Объем="&amp;ROUND(H21,2)&amp;" лот. Маржа="&amp;ROUND(K21,2)&amp;"$. Нагрузка="&amp;ROUND(L21,1)&amp;"%. Просадка="&amp;ROUND(N21,2)&amp;"$. Статус="&amp;U21</f>
        <v/>
      </c>
    </row>
    <row r="22">
      <c r="A22" t="n">
        <v>5</v>
      </c>
      <c r="B22" t="n">
        <v>5</v>
      </c>
      <c r="C22" t="n">
        <v>5</v>
      </c>
      <c r="D22" t="n">
        <v>5</v>
      </c>
      <c r="E22">
        <f>$B$6</f>
        <v/>
      </c>
      <c r="F22">
        <f>IF($B$6="DOWN",W30,W39)</f>
        <v/>
      </c>
      <c r="G22">
        <f>IF($B$6="DOWN",X30,X39)</f>
        <v/>
      </c>
      <c r="H22">
        <f>F22+G22</f>
        <v/>
      </c>
      <c r="I22">
        <f>ABS(F22-G22)</f>
        <v/>
      </c>
      <c r="J22">
        <f>$E$4*$E$5/$E$3</f>
        <v/>
      </c>
      <c r="K22">
        <f>H22*J22</f>
        <v/>
      </c>
      <c r="L22">
        <f>K22/$E$2*100</f>
        <v/>
      </c>
      <c r="M22">
        <f>$E$7</f>
        <v/>
      </c>
      <c r="N22">
        <f>I22*$E$6*$E$7</f>
        <v/>
      </c>
      <c r="O22">
        <f>$E$2-N22</f>
        <v/>
      </c>
      <c r="P22">
        <f>O22</f>
        <v/>
      </c>
      <c r="Q22">
        <f>P22-K22</f>
        <v/>
      </c>
      <c r="R22">
        <f>IF(K22=0,0,P22/K22*100)</f>
        <v/>
      </c>
      <c r="S22">
        <f>IF(R22&lt;=$E$9,"РИСК MARGIN CALL","OK")</f>
        <v/>
      </c>
      <c r="T22">
        <f>IF(R22&lt;=$E$8,"РИСК STOPOUT","OK")</f>
        <v/>
      </c>
      <c r="U22">
        <f>IF(L22&lt;30,"OK",IF(L22&lt;50,"WARNING",IF(L22&lt;70,"DANGER","CRITICAL")))</f>
        <v/>
      </c>
      <c r="V22">
        <f>"Уровень "&amp;D22&amp;". Объем="&amp;ROUND(H22,2)&amp;" лот. Маржа="&amp;ROUND(K22,2)&amp;"$. Нагрузка="&amp;ROUND(L22,1)&amp;"%. Просадка="&amp;ROUND(N22,2)&amp;"$. Статус="&amp;U22</f>
        <v/>
      </c>
    </row>
    <row r="24">
      <c r="A24" s="1" t="inlineStr">
        <is>
          <t>РАСЧЕТ DOWN</t>
        </is>
      </c>
    </row>
    <row r="25">
      <c r="A25" s="2" t="inlineStr">
        <is>
          <t>Уровень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ЦелевойSkew %</t>
        </is>
      </c>
      <c r="E25" s="2" t="inlineStr">
        <is>
          <t>РучноеЗакрытие %</t>
        </is>
      </c>
      <c r="F25" s="2" t="inlineStr">
        <is>
          <t>BigЛот</t>
        </is>
      </c>
      <c r="G25" s="2" t="inlineStr">
        <is>
          <t>BigОкругл</t>
        </is>
      </c>
      <c r="H25" s="2" t="inlineStr">
        <is>
          <t>SmallЛот</t>
        </is>
      </c>
      <c r="I25" s="2" t="inlineStr">
        <is>
          <t>SmallОкругл</t>
        </is>
      </c>
      <c r="J25" s="2" t="inlineStr">
        <is>
          <t>СтартДо %</t>
        </is>
      </c>
      <c r="K25" s="2" t="inlineStr">
        <is>
          <t>MainДо %</t>
        </is>
      </c>
      <c r="L25" s="2" t="inlineStr">
        <is>
          <t>OppДо %</t>
        </is>
      </c>
      <c r="M25" s="2" t="inlineStr">
        <is>
          <t>АвтоЗакрытие %</t>
        </is>
      </c>
      <c r="N25" s="2" t="inlineStr">
        <is>
          <t>ИтогЗакрытие %</t>
        </is>
      </c>
      <c r="O25" s="2" t="inlineStr">
        <is>
          <t>ЗакрытиеЛот</t>
        </is>
      </c>
      <c r="P25" s="2" t="inlineStr">
        <is>
          <t>ЗакрытиеЛотОкругл</t>
        </is>
      </c>
      <c r="Q25" s="2" t="inlineStr">
        <is>
          <t>СтартПосле %</t>
        </is>
      </c>
      <c r="R25" s="2" t="inlineStr">
        <is>
          <t>СуммаBig %</t>
        </is>
      </c>
      <c r="S25" s="2" t="inlineStr">
        <is>
          <t>СуммаSmall %</t>
        </is>
      </c>
      <c r="T25" s="2" t="inlineStr">
        <is>
          <t>ИтогMain %</t>
        </is>
      </c>
      <c r="U25" s="2" t="inlineStr">
        <is>
          <t>ИтогOpp %</t>
        </is>
      </c>
      <c r="V25" s="2" t="inlineStr">
        <is>
          <t>Skew %</t>
        </is>
      </c>
      <c r="W25" s="2" t="inlineStr">
        <is>
          <t>ОкруглMainЛот</t>
        </is>
      </c>
      <c r="X25" s="2" t="inlineStr">
        <is>
          <t>ОкруглOppЛот</t>
        </is>
      </c>
      <c r="Y25" s="2" t="inlineStr">
        <is>
          <t>ОкруглSkewЛот</t>
        </is>
      </c>
      <c r="Z25" s="2" t="inlineStr">
        <is>
          <t>Статус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IF(T26&gt;U26,"ERROR",IF(AND(D26&gt;0,ROUND(Y26,6)&lt;ROUND($B$2*D26/100,6)),"WARNING","OK"))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IF(T27&gt;U27,"ERROR",IF(AND(D27&gt;0,ROUND(Y27,6)&lt;ROUND($B$2*D27/100,6)),"WARNING","OK"))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IF(T28&gt;U28,"ERROR",IF(AND(D28&gt;0,ROUND(Y28,6)&lt;ROUND($B$2*D28/100,6)),"WARNING","OK"))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IF(T29&gt;U29,"ERROR",IF(AND(D29&gt;0,ROUND(Y29,6)&lt;ROUND($B$2*D29/100,6)),"WARNING","OK"))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IF(T30&gt;U30,"ERROR",IF(AND(D30&gt;0,ROUND(Y30,6)&lt;ROUND($B$2*D30/100,6)),"WARNING","OK"))</f>
        <v/>
      </c>
    </row>
    <row r="33">
      <c r="A33" s="1" t="inlineStr">
        <is>
          <t>РАСЧЕТ UP</t>
        </is>
      </c>
    </row>
    <row r="34">
      <c r="A34" s="2" t="inlineStr">
        <is>
          <t>Уровень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ЦелевойSkew %</t>
        </is>
      </c>
      <c r="E34" s="2" t="inlineStr">
        <is>
          <t>РучноеЗакрытие %</t>
        </is>
      </c>
      <c r="F34" s="2" t="inlineStr">
        <is>
          <t>BigЛот</t>
        </is>
      </c>
      <c r="G34" s="2" t="inlineStr">
        <is>
          <t>BigОкругл</t>
        </is>
      </c>
      <c r="H34" s="2" t="inlineStr">
        <is>
          <t>SmallЛот</t>
        </is>
      </c>
      <c r="I34" s="2" t="inlineStr">
        <is>
          <t>SmallОкругл</t>
        </is>
      </c>
      <c r="J34" s="2" t="inlineStr">
        <is>
          <t>СтартДо %</t>
        </is>
      </c>
      <c r="K34" s="2" t="inlineStr">
        <is>
          <t>MainДо %</t>
        </is>
      </c>
      <c r="L34" s="2" t="inlineStr">
        <is>
          <t>OppДо %</t>
        </is>
      </c>
      <c r="M34" s="2" t="inlineStr">
        <is>
          <t>АвтоЗакрытие %</t>
        </is>
      </c>
      <c r="N34" s="2" t="inlineStr">
        <is>
          <t>ИтогЗакрытие %</t>
        </is>
      </c>
      <c r="O34" s="2" t="inlineStr">
        <is>
          <t>ЗакрытиеЛот</t>
        </is>
      </c>
      <c r="P34" s="2" t="inlineStr">
        <is>
          <t>ЗакрытиеЛотОкругл</t>
        </is>
      </c>
      <c r="Q34" s="2" t="inlineStr">
        <is>
          <t>СтартПосле %</t>
        </is>
      </c>
      <c r="R34" s="2" t="inlineStr">
        <is>
          <t>СуммаBig %</t>
        </is>
      </c>
      <c r="S34" s="2" t="inlineStr">
        <is>
          <t>СуммаSmall %</t>
        </is>
      </c>
      <c r="T34" s="2" t="inlineStr">
        <is>
          <t>ИтогMain %</t>
        </is>
      </c>
      <c r="U34" s="2" t="inlineStr">
        <is>
          <t>ИтогOpp %</t>
        </is>
      </c>
      <c r="V34" s="2" t="inlineStr">
        <is>
          <t>Skew %</t>
        </is>
      </c>
      <c r="W34" s="2" t="inlineStr">
        <is>
          <t>ОкруглMainЛот</t>
        </is>
      </c>
      <c r="X34" s="2" t="inlineStr">
        <is>
          <t>ОкруглOppЛот</t>
        </is>
      </c>
      <c r="Y34" s="2" t="inlineStr">
        <is>
          <t>ОкруглSkewЛот</t>
        </is>
      </c>
      <c r="Z34" s="2" t="inlineStr">
        <is>
          <t>Статус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IF(T35&gt;U35,"ERROR",IF(AND(D35&gt;0,ROUND(Y35,6)&lt;ROUND($B$2*D35/100,6)),"WARNING","OK"))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IF(T36&gt;U36,"ERROR",IF(AND(D36&gt;0,ROUND(Y36,6)&lt;ROUND($B$2*D36/100,6)),"WARNING","OK"))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IF(T37&gt;U37,"ERROR",IF(AND(D37&gt;0,ROUND(Y37,6)&lt;ROUND($B$2*D37/100,6)),"WARNING","OK"))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IF(T38&gt;U38,"ERROR",IF(AND(D38&gt;0,ROUND(Y38,6)&lt;ROUND($B$2*D38/100,6)),"WARNING","OK"))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IF(T39&gt;U39,"ERROR",IF(AND(D39&gt;0,ROUND(Y39,6)&lt;ROUND($B$2*D39/100,6)),"WARNING","OK"))</f>
        <v/>
      </c>
    </row>
    <row r="42">
      <c r="A42" s="1" t="inlineStr">
        <is>
          <t>ИТОГИ</t>
        </is>
      </c>
    </row>
    <row r="43">
      <c r="A43" t="inlineStr">
        <is>
          <t>ВыбранноеНаправление</t>
        </is>
      </c>
      <c r="B43">
        <f>B6</f>
        <v/>
      </c>
    </row>
    <row r="44">
      <c r="A44" t="inlineStr">
        <is>
          <t>ИтогMain %</t>
        </is>
      </c>
      <c r="B44">
        <f>IF(B6="DOWN",T30,T39)</f>
        <v/>
      </c>
    </row>
    <row r="45">
      <c r="A45" t="inlineStr">
        <is>
          <t>ИтогOpp %</t>
        </is>
      </c>
      <c r="B45">
        <f>IF(B6="DOWN",U30,U39)</f>
        <v/>
      </c>
    </row>
    <row r="46">
      <c r="A46" t="inlineStr">
        <is>
          <t>ИтогSkew %</t>
        </is>
      </c>
      <c r="B46">
        <f>IF(B6="DOWN",V30,V39)</f>
        <v/>
      </c>
    </row>
    <row r="47">
      <c r="A47" t="inlineStr">
        <is>
          <t>ИтогСтартОстаток %</t>
        </is>
      </c>
      <c r="B47">
        <f>IF(B6="DOWN",Q30,Q39)</f>
        <v/>
      </c>
    </row>
    <row r="48">
      <c r="A48" t="inlineStr">
        <is>
          <t>ИтогОкруглMain</t>
        </is>
      </c>
      <c r="B48">
        <f>IF(B6="DOWN",W30,W39)</f>
        <v/>
      </c>
    </row>
    <row r="49">
      <c r="A49" t="inlineStr">
        <is>
          <t>ИтогОкруглOpp</t>
        </is>
      </c>
      <c r="B49">
        <f>IF(B6="DOWN",X30,X39)</f>
        <v/>
      </c>
    </row>
    <row r="50">
      <c r="A50" t="inlineStr">
        <is>
          <t>ИтогОкруглSkew</t>
        </is>
      </c>
      <c r="B50">
        <f>IF(B6="DOWN",Y30,Y39)</f>
        <v/>
      </c>
    </row>
    <row r="51">
      <c r="A51" t="inlineStr">
        <is>
          <t>ИтогСтатус</t>
        </is>
      </c>
      <c r="B51">
        <f>IF(B6="DOWN",Z30,Z39)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РИСК_АНАЛИЗ</t>
        </is>
      </c>
    </row>
    <row r="2">
      <c r="A2" s="2" t="inlineStr">
        <is>
          <t>Уровень</t>
        </is>
      </c>
      <c r="B2" s="2" t="inlineStr">
        <is>
          <t>Нагрузка %</t>
        </is>
      </c>
      <c r="C2" s="2" t="inlineStr">
        <is>
          <t>Маржа $</t>
        </is>
      </c>
      <c r="D2" s="2" t="inlineStr">
        <is>
          <t>Объем лот</t>
        </is>
      </c>
      <c r="E2" s="2" t="inlineStr">
        <is>
          <t>Просадка $</t>
        </is>
      </c>
      <c r="F2" s="2" t="inlineStr">
        <is>
          <t>Margin Level %</t>
        </is>
      </c>
      <c r="G2" s="2" t="inlineStr">
        <is>
          <t>Статус</t>
        </is>
      </c>
    </row>
    <row r="3">
      <c r="A3">
        <f>Калькулятор!D18</f>
        <v/>
      </c>
      <c r="B3">
        <f>Калькулятор!L18</f>
        <v/>
      </c>
      <c r="C3">
        <f>Калькулятор!K18</f>
        <v/>
      </c>
      <c r="D3">
        <f>Калькулятор!H18</f>
        <v/>
      </c>
      <c r="E3">
        <f>Калькулятор!N18</f>
        <v/>
      </c>
      <c r="F3">
        <f>Калькулятор!R18</f>
        <v/>
      </c>
      <c r="G3">
        <f>Калькулятор!U18</f>
        <v/>
      </c>
    </row>
    <row r="4">
      <c r="A4">
        <f>Калькулятор!D19</f>
        <v/>
      </c>
      <c r="B4">
        <f>Калькулятор!L19</f>
        <v/>
      </c>
      <c r="C4">
        <f>Калькулятор!K19</f>
        <v/>
      </c>
      <c r="D4">
        <f>Калькулятор!H19</f>
        <v/>
      </c>
      <c r="E4">
        <f>Калькулятор!N19</f>
        <v/>
      </c>
      <c r="F4">
        <f>Калькулятор!R19</f>
        <v/>
      </c>
      <c r="G4">
        <f>Калькулятор!U19</f>
        <v/>
      </c>
    </row>
    <row r="5">
      <c r="A5">
        <f>Калькулятор!D20</f>
        <v/>
      </c>
      <c r="B5">
        <f>Калькулятор!L20</f>
        <v/>
      </c>
      <c r="C5">
        <f>Калькулятор!K20</f>
        <v/>
      </c>
      <c r="D5">
        <f>Калькулятор!H20</f>
        <v/>
      </c>
      <c r="E5">
        <f>Калькулятор!N20</f>
        <v/>
      </c>
      <c r="F5">
        <f>Калькулятор!R20</f>
        <v/>
      </c>
      <c r="G5">
        <f>Калькулятор!U20</f>
        <v/>
      </c>
    </row>
    <row r="6">
      <c r="A6">
        <f>Калькулятор!D21</f>
        <v/>
      </c>
      <c r="B6">
        <f>Калькулятор!L21</f>
        <v/>
      </c>
      <c r="C6">
        <f>Калькулятор!K21</f>
        <v/>
      </c>
      <c r="D6">
        <f>Калькулятор!H21</f>
        <v/>
      </c>
      <c r="E6">
        <f>Калькулятор!N21</f>
        <v/>
      </c>
      <c r="F6">
        <f>Калькулятор!R21</f>
        <v/>
      </c>
      <c r="G6">
        <f>Калькулятор!U21</f>
        <v/>
      </c>
    </row>
    <row r="7">
      <c r="A7">
        <f>Калькулятор!D22</f>
        <v/>
      </c>
      <c r="B7">
        <f>Калькулятор!L22</f>
        <v/>
      </c>
      <c r="C7">
        <f>Калькулятор!K22</f>
        <v/>
      </c>
      <c r="D7">
        <f>Калькулятор!H22</f>
        <v/>
      </c>
      <c r="E7">
        <f>Калькулятор!N22</f>
        <v/>
      </c>
      <c r="F7">
        <f>Калькулятор!R22</f>
        <v/>
      </c>
      <c r="G7">
        <f>Калькулятор!U22</f>
        <v/>
      </c>
    </row>
    <row r="10">
      <c r="A10" t="inlineStr">
        <is>
          <t>Макс нагрузка %</t>
        </is>
      </c>
      <c r="B10">
        <f>MAX(B3:B7)</f>
        <v/>
      </c>
    </row>
    <row r="11">
      <c r="A11" t="inlineStr">
        <is>
          <t>Макс маржа $</t>
        </is>
      </c>
      <c r="B11">
        <f>MAX(C3:C7)</f>
        <v/>
      </c>
    </row>
    <row r="12">
      <c r="A12" t="inlineStr">
        <is>
          <t>Макс объем</t>
        </is>
      </c>
      <c r="B12">
        <f>MAX(D3:D7)</f>
        <v/>
      </c>
    </row>
    <row r="13">
      <c r="A13" t="inlineStr">
        <is>
          <t>Макс просадка</t>
        </is>
      </c>
      <c r="B13">
        <f>MAX(E3:E7)</f>
        <v/>
      </c>
    </row>
    <row r="14">
      <c r="A14" t="inlineStr">
        <is>
          <t>Худший уровень</t>
        </is>
      </c>
      <c r="B14">
        <f>INDEX(A3:A7,MATCH(MAX(B3:B7),B3:B7,0))</f>
        <v/>
      </c>
    </row>
    <row r="15">
      <c r="A15" t="inlineStr">
        <is>
          <t>Рекомендованный баланс</t>
        </is>
      </c>
      <c r="B15">
        <f>MAX(C3:C7)/0.3</f>
        <v/>
      </c>
    </row>
    <row r="16">
      <c r="A16" t="inlineStr">
        <is>
          <t>Рекомендованное плечо</t>
        </is>
      </c>
      <c r="B16">
        <f>Калькулятор!E3</f>
        <v/>
      </c>
    </row>
    <row r="17">
      <c r="A17" t="inlineStr">
        <is>
          <t>Рекомендованный мин депозит</t>
        </is>
      </c>
      <c r="B17">
        <f>MAX(C3:C7)+MAX(E3:E7)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Тест</t>
        </is>
      </c>
      <c r="B1" s="2" t="inlineStr">
        <is>
          <t>Факт</t>
        </is>
      </c>
      <c r="C1" s="2" t="inlineStr">
        <is>
          <t>Ожидание</t>
        </is>
      </c>
      <c r="D1" s="2" t="inlineStr">
        <is>
          <t>Результат</t>
        </is>
      </c>
    </row>
    <row r="2">
      <c r="A2" t="inlineStr">
        <is>
          <t>Маржа формула</t>
        </is>
      </c>
      <c r="B2">
        <f>Калькулятор!J18</f>
        <v/>
      </c>
      <c r="C2">
        <f>Калькулятор!E4*Калькулятор!E5/Калькулятор!E3</f>
        <v/>
      </c>
      <c r="D2">
        <f>IF(LEN(B2)&gt;0,"PASS","FAIL")</f>
        <v/>
      </c>
    </row>
    <row r="3">
      <c r="A3" t="inlineStr">
        <is>
          <t>Просадка формула</t>
        </is>
      </c>
      <c r="B3">
        <f>Калькулятор!N18</f>
        <v/>
      </c>
      <c r="C3">
        <f>Калькулятор!I18*Калькулятор!E6*Калькулятор!E7</f>
        <v/>
      </c>
      <c r="D3">
        <f>IF(LEN(B3)&gt;0,"PASS","FAIL")</f>
        <v/>
      </c>
    </row>
    <row r="4">
      <c r="A4" t="inlineStr">
        <is>
          <t>Margin Level формула</t>
        </is>
      </c>
      <c r="B4">
        <f>Калькулятор!R18</f>
        <v/>
      </c>
      <c r="C4">
        <f>IF(K18=0,0,P18/K18*100)</f>
        <v/>
      </c>
      <c r="D4">
        <f>IF(LEN(B4)&gt;0,"PASS","FAIL")</f>
        <v/>
      </c>
    </row>
    <row r="5">
      <c r="A5" t="inlineStr">
        <is>
          <t>Human риск комментарий</t>
        </is>
      </c>
      <c r="B5">
        <f>Калькулятор!V18</f>
        <v/>
      </c>
      <c r="C5" t="inlineStr"/>
      <c r="D5">
        <f>IF(LEN(B5)&gt;0,"PASS","FAIL")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MANUAL_RU.md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README.md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2026-05-21T12:37:18Z</dcterms:created>
  <dcterms:modified xsi:type="dcterms:W3CDTF">2026-05-21T12:37:18Z</dcterms:modified>
</cp:coreProperties>
</file>