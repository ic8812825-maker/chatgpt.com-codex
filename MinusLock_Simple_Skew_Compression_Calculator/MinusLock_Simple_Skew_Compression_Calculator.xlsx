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Tests" sheetId="2" state="visible" r:id="rId2"/>
    <sheet name="Manual" sheetId="3" state="visible" r:id="rId3"/>
    <sheet name="READM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Y26&lt;($B$2*D26/100)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Y27&lt;($B$2*D27/100)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Y28&lt;($B$2*D28/100)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Y29&lt;($B$2*D29/100)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Y30&lt;($B$2*D30/100)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Y35&lt;($B$2*D35/100)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Y36&lt;($B$2*D36/100)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Y37&lt;($B$2*D37/100)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Y38&lt;($B$2*D38/100)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Y39&lt;($B$2*D39/100)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Down L1 Rounded Main</t>
        </is>
      </c>
      <c r="B12">
        <f>Calculator!W26</f>
        <v/>
      </c>
      <c r="C12" t="n">
        <v>1.3</v>
      </c>
      <c r="D12">
        <f>IF(ABS(B12-C12)&lt;0.000001,"PASS","FAIL")</f>
        <v/>
      </c>
    </row>
    <row r="13">
      <c r="A13" t="inlineStr">
        <is>
          <t>Down L1 Rounded Opp</t>
        </is>
      </c>
      <c r="B13">
        <f>Calculator!X26</f>
        <v/>
      </c>
      <c r="C13" t="n">
        <v>1.3</v>
      </c>
      <c r="D13">
        <f>IF(ABS(B13-C13)&lt;0.000001,"PASS","FAIL")</f>
        <v/>
      </c>
    </row>
    <row r="14">
      <c r="A14" t="inlineStr">
        <is>
          <t>Down L1 Rounded Skew</t>
        </is>
      </c>
      <c r="B14">
        <f>Calculator!Y26</f>
        <v/>
      </c>
      <c r="C14" t="n">
        <v>0</v>
      </c>
      <c r="D14">
        <f>IF(ABS(B14-C14)&lt;0.000001,"PASS","FAIL")</f>
        <v/>
      </c>
    </row>
    <row r="15">
      <c r="A15" t="inlineStr">
        <is>
          <t>Down L1 Status</t>
        </is>
      </c>
      <c r="B15">
        <f>Calculator!Z26</f>
        <v/>
      </c>
      <c r="C15" t="inlineStr">
        <is>
          <t>OK</t>
        </is>
      </c>
      <c r="D15">
        <f>IF(B15=C15,"PASS","FAIL")</f>
        <v/>
      </c>
    </row>
    <row r="16">
      <c r="A16" t="inlineStr">
        <is>
          <t>Down L2 Rounded Main</t>
        </is>
      </c>
      <c r="B16">
        <f>Calculator!W27</f>
        <v/>
      </c>
      <c r="C16" t="n">
        <v>1.3</v>
      </c>
      <c r="D16">
        <f>IF(ABS(B16-C16)&lt;0.000001,"PASS","FAIL")</f>
        <v/>
      </c>
    </row>
    <row r="17">
      <c r="A17" t="inlineStr">
        <is>
          <t>Down L2 Rounded Opp</t>
        </is>
      </c>
      <c r="B17">
        <f>Calculator!X27</f>
        <v/>
      </c>
      <c r="C17" t="n">
        <v>1.45</v>
      </c>
      <c r="D17">
        <f>IF(ABS(B17-C17)&lt;0.000001,"PASS","FAIL")</f>
        <v/>
      </c>
    </row>
    <row r="18">
      <c r="A18" t="inlineStr">
        <is>
          <t>Down L2 Rounded Skew</t>
        </is>
      </c>
      <c r="B18">
        <f>Calculator!Y27</f>
        <v/>
      </c>
      <c r="C18" t="n">
        <v>0.15</v>
      </c>
      <c r="D18">
        <f>IF(ABS(B18-C18)&lt;0.000001,"PASS","FAIL")</f>
        <v/>
      </c>
    </row>
    <row r="19">
      <c r="A19" t="inlineStr">
        <is>
          <t>Down L2 Status</t>
        </is>
      </c>
      <c r="B19">
        <f>Calculator!Z27</f>
        <v/>
      </c>
      <c r="C19" t="inlineStr">
        <is>
          <t>OK</t>
        </is>
      </c>
      <c r="D19">
        <f>IF(B19=C19,"PASS","FAIL")</f>
        <v/>
      </c>
    </row>
    <row r="20">
      <c r="A20" t="inlineStr">
        <is>
          <t>Down Final Rounded Main</t>
        </is>
      </c>
      <c r="B20">
        <f>Calculator!W30</f>
        <v/>
      </c>
      <c r="C20" t="n">
        <v>1.65</v>
      </c>
      <c r="D20">
        <f>IF(ABS(B20-C20)&lt;0.000001,"PASS","FAIL")</f>
        <v/>
      </c>
    </row>
    <row r="21">
      <c r="A21" t="inlineStr">
        <is>
          <t>Down Final Rounded Opp</t>
        </is>
      </c>
      <c r="B21">
        <f>Calculator!X30</f>
        <v/>
      </c>
      <c r="C21" t="n">
        <v>1.75</v>
      </c>
      <c r="D21">
        <f>IF(ABS(B21-C21)&lt;0.000001,"PASS","FAIL")</f>
        <v/>
      </c>
    </row>
    <row r="22">
      <c r="A22" t="inlineStr">
        <is>
          <t>Down Final Rounded Skew</t>
        </is>
      </c>
      <c r="B22">
        <f>Calculator!Y30</f>
        <v/>
      </c>
      <c r="C22" t="n">
        <v>0.1</v>
      </c>
      <c r="D22">
        <f>IF(ABS(B22-C22)&lt;0.000001,"PASS","FAIL")</f>
        <v/>
      </c>
    </row>
    <row r="23">
      <c r="A23" t="inlineStr">
        <is>
          <t>Down Final Status</t>
        </is>
      </c>
      <c r="B23">
        <f>Calculator!Z30</f>
        <v/>
      </c>
      <c r="C23" t="inlineStr">
        <is>
          <t>OK</t>
        </is>
      </c>
      <c r="D23">
        <f>IF(B23=C23,"PASS","FAIL")</f>
        <v/>
      </c>
    </row>
    <row r="24">
      <c r="A24" t="inlineStr">
        <is>
          <t>Up L1 Rounded Main</t>
        </is>
      </c>
      <c r="B24">
        <f>Calculator!W35</f>
        <v/>
      </c>
      <c r="C24" t="n">
        <v>1.3</v>
      </c>
      <c r="D24">
        <f>IF(ABS(B24-C24)&lt;0.000001,"PASS","FAIL")</f>
        <v/>
      </c>
    </row>
    <row r="25">
      <c r="A25" t="inlineStr">
        <is>
          <t>Up L1 Rounded Opp</t>
        </is>
      </c>
      <c r="B25">
        <f>Calculator!X35</f>
        <v/>
      </c>
      <c r="C25" t="n">
        <v>1.3</v>
      </c>
      <c r="D25">
        <f>IF(ABS(B25-C25)&lt;0.000001,"PASS","FAIL")</f>
        <v/>
      </c>
    </row>
    <row r="26">
      <c r="A26" t="inlineStr">
        <is>
          <t>Up L1 Rounded Skew</t>
        </is>
      </c>
      <c r="B26">
        <f>Calculator!Y35</f>
        <v/>
      </c>
      <c r="C26" t="n">
        <v>0</v>
      </c>
      <c r="D26">
        <f>IF(ABS(B26-C26)&lt;0.000001,"PASS","FAIL")</f>
        <v/>
      </c>
    </row>
    <row r="27">
      <c r="A27" t="inlineStr">
        <is>
          <t>Up L1 Status</t>
        </is>
      </c>
      <c r="B27">
        <f>Calculator!Z35</f>
        <v/>
      </c>
      <c r="C27" t="inlineStr">
        <is>
          <t>OK</t>
        </is>
      </c>
      <c r="D27">
        <f>IF(B27=C27,"PASS","FAIL")</f>
        <v/>
      </c>
    </row>
    <row r="28">
      <c r="A28" t="inlineStr">
        <is>
          <t>Up L2 Rounded Main</t>
        </is>
      </c>
      <c r="B28">
        <f>Calculator!W36</f>
        <v/>
      </c>
      <c r="C28" t="n">
        <v>1.3</v>
      </c>
      <c r="D28">
        <f>IF(ABS(B28-C28)&lt;0.000001,"PASS","FAIL")</f>
        <v/>
      </c>
    </row>
    <row r="29">
      <c r="A29" t="inlineStr">
        <is>
          <t>Up L2 Rounded Opp</t>
        </is>
      </c>
      <c r="B29">
        <f>Calculator!X36</f>
        <v/>
      </c>
      <c r="C29" t="n">
        <v>1.45</v>
      </c>
      <c r="D29">
        <f>IF(ABS(B29-C29)&lt;0.000001,"PASS","FAIL")</f>
        <v/>
      </c>
    </row>
    <row r="30">
      <c r="A30" t="inlineStr">
        <is>
          <t>Up L2 Rounded Skew</t>
        </is>
      </c>
      <c r="B30">
        <f>Calculator!Y36</f>
        <v/>
      </c>
      <c r="C30" t="n">
        <v>0.15</v>
      </c>
      <c r="D30">
        <f>IF(ABS(B30-C30)&lt;0.000001,"PASS","FAIL")</f>
        <v/>
      </c>
    </row>
    <row r="31">
      <c r="A31" t="inlineStr">
        <is>
          <t>Up L2 Status</t>
        </is>
      </c>
      <c r="B31">
        <f>Calculator!Z36</f>
        <v/>
      </c>
      <c r="C31" t="inlineStr">
        <is>
          <t>OK</t>
        </is>
      </c>
      <c r="D31">
        <f>IF(B31=C31,"PASS","FAIL")</f>
        <v/>
      </c>
    </row>
    <row r="32">
      <c r="A32" t="inlineStr">
        <is>
          <t>Up Final Rounded Main</t>
        </is>
      </c>
      <c r="B32">
        <f>Calculator!W39</f>
        <v/>
      </c>
      <c r="C32" t="n">
        <v>1.65</v>
      </c>
      <c r="D32">
        <f>IF(ABS(B32-C32)&lt;0.000001,"PASS","FAIL")</f>
        <v/>
      </c>
    </row>
    <row r="33">
      <c r="A33" t="inlineStr">
        <is>
          <t>Up Final Rounded Opp</t>
        </is>
      </c>
      <c r="B33">
        <f>Calculator!X39</f>
        <v/>
      </c>
      <c r="C33" t="n">
        <v>1.75</v>
      </c>
      <c r="D33">
        <f>IF(ABS(B33-C33)&lt;0.000001,"PASS","FAIL")</f>
        <v/>
      </c>
    </row>
    <row r="34">
      <c r="A34" t="inlineStr">
        <is>
          <t>Up Final Rounded Skew</t>
        </is>
      </c>
      <c r="B34">
        <f>Calculator!Y39</f>
        <v/>
      </c>
      <c r="C34" t="n">
        <v>0.1</v>
      </c>
      <c r="D34">
        <f>IF(ABS(B34-C34)&lt;0.000001,"PASS","FAIL")</f>
        <v/>
      </c>
    </row>
    <row r="35">
      <c r="A35" t="inlineStr">
        <is>
          <t>Up Final Status</t>
        </is>
      </c>
      <c r="B35">
        <f>Calculator!Z39</f>
        <v/>
      </c>
      <c r="C35" t="inlineStr">
        <is>
          <t>OK</t>
        </is>
      </c>
      <c r="D35">
        <f>IF(B35=C35,"PASS","FAIL")</f>
        <v/>
      </c>
    </row>
    <row r="36">
      <c r="A36" t="inlineStr">
        <is>
          <t>Down Level1 Status</t>
        </is>
      </c>
      <c r="B36">
        <f>Calculator!Z26</f>
        <v/>
      </c>
      <c r="C36" t="inlineStr">
        <is>
          <t>OK</t>
        </is>
      </c>
      <c r="D36">
        <f>IF(B36=C36,"PASS","FAIL")</f>
        <v/>
      </c>
    </row>
    <row r="37">
      <c r="A37" t="inlineStr">
        <is>
          <t>Down Level2 Status</t>
        </is>
      </c>
      <c r="B37">
        <f>Calculator!Z27</f>
        <v/>
      </c>
      <c r="C37" t="inlineStr">
        <is>
          <t>OK</t>
        </is>
      </c>
      <c r="D37">
        <f>IF(B37=C37,"PASS","FAIL")</f>
        <v/>
      </c>
    </row>
    <row r="38">
      <c r="A38" t="inlineStr">
        <is>
          <t>Down Level5 Status</t>
        </is>
      </c>
      <c r="B38">
        <f>Calculator!Z30</f>
        <v/>
      </c>
      <c r="C38" t="inlineStr">
        <is>
          <t>OK</t>
        </is>
      </c>
      <c r="D38">
        <f>IF(B38=C38,"PASS","FAIL")</f>
        <v/>
      </c>
    </row>
    <row r="39">
      <c r="A39" t="inlineStr">
        <is>
          <t>Up Level1 Status</t>
        </is>
      </c>
      <c r="B39">
        <f>Calculator!Z35</f>
        <v/>
      </c>
      <c r="C39" t="inlineStr">
        <is>
          <t>OK</t>
        </is>
      </c>
      <c r="D39">
        <f>IF(B39=C39,"PASS","FAIL")</f>
        <v/>
      </c>
    </row>
    <row r="40">
      <c r="A40" t="inlineStr">
        <is>
          <t>Up Level2 Status</t>
        </is>
      </c>
      <c r="B40">
        <f>Calculator!Z36</f>
        <v/>
      </c>
      <c r="C40" t="inlineStr">
        <is>
          <t>OK</t>
        </is>
      </c>
      <c r="D40">
        <f>IF(B40=C40,"PASS","FAIL")</f>
        <v/>
      </c>
    </row>
    <row r="41">
      <c r="A41" t="inlineStr">
        <is>
          <t>Up Level5 Status</t>
        </is>
      </c>
      <c r="B41">
        <f>Calculator!Z39</f>
        <v/>
      </c>
      <c r="C41" t="inlineStr">
        <is>
          <t>OK</t>
        </is>
      </c>
      <c r="D41">
        <f>IF(B41=C41,"PASS","FAIL")</f>
        <v/>
      </c>
    </row>
    <row r="42">
      <c r="A42" t="inlineStr">
        <is>
          <t>Summary Final Rounded Status</t>
        </is>
      </c>
      <c r="B42">
        <f>Calculator!B51</f>
        <v/>
      </c>
      <c r="C42" t="inlineStr">
        <is>
          <t>OK</t>
        </is>
      </c>
      <c r="D42">
        <f>IF(B42=C42,"PASS","FAIL")</f>
        <v/>
      </c>
    </row>
    <row r="43">
      <c r="A43" t="inlineStr">
        <is>
          <t>Summary Final System Status</t>
        </is>
      </c>
      <c r="B43">
        <f>Calculator!B52</f>
        <v/>
      </c>
      <c r="C43" t="inlineStr">
        <is>
          <t>OK</t>
        </is>
      </c>
      <c r="D43">
        <f>IF(B43=C43,"PASS","FAIL")</f>
        <v/>
      </c>
    </row>
    <row r="44">
      <c r="A44" t="inlineStr">
        <is>
          <t>Empty ManualClose uses AutoClose</t>
        </is>
      </c>
      <c r="B44">
        <f>IF(AND(ABS(Calculator!N26-Calculator!M26)&lt;0.000001,ABS(Calculator!N27-Calculator!M27)&lt;0.000001,ABS(Calculator!N35-Calculator!M35)&lt;0.000001),"PASS","FAIL")</f>
        <v/>
      </c>
      <c r="C44" t="inlineStr">
        <is>
          <t>PASS</t>
        </is>
      </c>
      <c r="D44">
        <f>IF(B44=C44,"PASS","FAIL")</f>
        <v/>
      </c>
    </row>
    <row r="45">
      <c r="A45" t="inlineStr">
        <is>
          <t>ManualClose override works</t>
        </is>
      </c>
      <c r="B45">
        <f>IF(AND(MIN(Calculator!J26,IF(50="",Calculator!M26,50))=50,MIN(Calculator!J35,IF(50="",Calculator!M35,50))=50),"PASS","FAIL")</f>
        <v/>
      </c>
      <c r="C45" t="inlineStr">
        <is>
          <t>PASS</t>
        </is>
      </c>
      <c r="D45">
        <f>IF(B45=C45,"PASS","FAIL")</f>
        <v/>
      </c>
    </row>
    <row r="46">
      <c r="A46" t="inlineStr">
        <is>
          <t>Empty ManualClose is blank not zero</t>
        </is>
      </c>
      <c r="B46">
        <f>IF(AND(Calculator!E26="",Calculator!E27="",Calculator!E28="",Calculator!E35="",Calculator!E36="",Calculator!E37=""),"PASS","FAIL")</f>
        <v/>
      </c>
      <c r="C46" t="inlineStr">
        <is>
          <t>PASS</t>
        </is>
      </c>
      <c r="D46">
        <f>IF(B46=C46,"PASS","FAIL")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Если Status = OK — сетка безопасна по математике.</t>
        </is>
      </c>
    </row>
    <row r="9">
      <c r="A9" t="inlineStr">
        <is>
          <t>8. Если ERROR — использовать нельзя.</t>
        </is>
      </c>
    </row>
    <row r="10">
      <c r="A10" t="inlineStr">
        <is>
          <t>9. Если WARNING — проверить skew и rounded-лоты.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Main &lt;= Opposite обязательно для сохранения защиты.</t>
        </is>
      </c>
    </row>
    <row r="9">
      <c r="A9" t="inlineStr">
        <is>
          <t>Status: OK — безопасно, WARNING — проверить skew/rounded, ERROR — нельзя использовать.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2026-05-20T15:25:29Z</dcterms:created>
  <dcterms:modified xsi:type="dcterms:W3CDTF">2026-05-20T15:25:29Z</dcterms:modified>
</cp:coreProperties>
</file>