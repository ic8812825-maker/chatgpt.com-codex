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MINIFS(H7:H206,B7:B206,"SELL",H7:H206,"&lt;0")</f>
        <v/>
      </c>
    </row>
    <row r="222">
      <c r="A222" t="inlineStr">
        <is>
          <t>TailTicket</t>
        </is>
      </c>
      <c r="B222">
        <f>IFERROR(MINIFS(A7:A206,B7:B206,"SELL",H7:H206,B221),"N/A")</f>
        <v/>
      </c>
    </row>
    <row r="223">
      <c r="A223" t="inlineStr">
        <is>
          <t>TailLot</t>
        </is>
      </c>
      <c r="B223">
        <f>IF(B222="N/A",0,XLOOKUP(B222,A7:A206,D7:D206,0))</f>
        <v/>
      </c>
    </row>
    <row r="224">
      <c r="A224" t="inlineStr">
        <is>
          <t>TailLossMoney</t>
        </is>
      </c>
      <c r="B224">
        <f>IF(B222="N/A",0,ABS(XLOOKUP(B222,A7:A206,H7:H206,0)))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MINIFS(H7:H206,B7:B206,"BUY",H7:H206,"&lt;0")</f>
        <v/>
      </c>
    </row>
    <row r="222">
      <c r="A222" t="inlineStr">
        <is>
          <t>TailTicket</t>
        </is>
      </c>
      <c r="B222">
        <f>IFERROR(MINIFS(A7:A206,B7:B206,"BUY",H7:H206,B221),"N/A")</f>
        <v/>
      </c>
    </row>
    <row r="223">
      <c r="A223" t="inlineStr">
        <is>
          <t>TailLot</t>
        </is>
      </c>
      <c r="B223">
        <f>IF(B222="N/A",0,XLOOKUP(B222,A7:A206,D7:D206,0))</f>
        <v/>
      </c>
    </row>
    <row r="224">
      <c r="A224" t="inlineStr">
        <is>
          <t>TailLossMoney</t>
        </is>
      </c>
      <c r="B224">
        <f>IF(B222="N/A",0,ABS(XLOOKUP(B222,A7:A206,H7:H206,0)))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XLOOKUP(B4,Settings!A21:A24,Settings!B21:B24)</f>
        <v/>
      </c>
    </row>
    <row r="6">
      <c r="A6" t="inlineStr">
        <is>
          <t>SmallRatio</t>
        </is>
      </c>
      <c r="B6">
        <f>XLOOKUP(B4,Settings!A21:A24,Settings!C21:C24)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IF(Scenario_UP!B4&gt;=INDEX(Scenario_UP!E4:E7,B4),"YES","NO")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Costs</t>
        </is>
      </c>
      <c r="L20" s="1" t="inlineStr">
        <is>
          <t>CycleProfit</t>
        </is>
      </c>
      <c r="M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LET(Lots,C21+F21,Mult,IF(Settings!$B$19="FULL_CYCLE",2,1),SpreadCost,Settings!$B$12*Settings!$B$4*Lots*Mult,CommissionCost,Settings!$B$13*Lots*Mult,SwapCost,Settings!$B$14*Lots,SpreadCost+CommissionCost+SwapCost)</f>
        <v/>
      </c>
      <c r="L21">
        <f>I21+J21-K21</f>
        <v/>
      </c>
      <c r="M21">
        <f>IF(L21&gt;0,"YES","NO")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LET(Lots,C22+F22,Mult,IF(Settings!$B$19="FULL_CYCLE",2,1),SpreadCost,Settings!$B$12*Settings!$B$4*Lots*Mult,CommissionCost,Settings!$B$13*Lots*Mult,SwapCost,Settings!$B$14*Lots,SpreadCost+CommissionCost+SwapCost)</f>
        <v/>
      </c>
      <c r="L22">
        <f>I22+J22-K22</f>
        <v/>
      </c>
      <c r="M22">
        <f>IF(L22&gt;0,"YES","NO")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LET(Lots,C23+F23,Mult,IF(Settings!$B$19="FULL_CYCLE",2,1),SpreadCost,Settings!$B$12*Settings!$B$4*Lots*Mult,CommissionCost,Settings!$B$13*Lots*Mult,SwapCost,Settings!$B$14*Lots,SpreadCost+CommissionCost+SwapCost)</f>
        <v/>
      </c>
      <c r="L23">
        <f>I23+J23-K23</f>
        <v/>
      </c>
      <c r="M23">
        <f>IF(L23&gt;0,"YES","NO")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LET(Lots,C24+F24,Mult,IF(Settings!$B$19="FULL_CYCLE",2,1),SpreadCost,Settings!$B$12*Settings!$B$4*Lots*Mult,CommissionCost,Settings!$B$13*Lots*Mult,SwapCost,Settings!$B$14*Lots,SpreadCost+CommissionCost+SwapCost)</f>
        <v/>
      </c>
      <c r="L24">
        <f>I24+J24-K24</f>
        <v/>
      </c>
      <c r="M24">
        <f>IF(L24&gt;0,"YES","NO")</f>
        <v/>
      </c>
    </row>
    <row r="30">
      <c r="A30" t="inlineStr">
        <is>
          <t>SelectedSectionID</t>
        </is>
      </c>
      <c r="B30">
        <f>IFERROR(INDEX(A21:A24,MATCH("YES",M21:M24,0)),"NONE")</f>
        <v/>
      </c>
    </row>
    <row r="31">
      <c r="A31" t="inlineStr">
        <is>
          <t>CycleProfit</t>
        </is>
      </c>
      <c r="B31">
        <f>IF(B30="NONE",0,XLOOKUP(B30,A21:A24,L21:L24,0))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XLOOKUP(B4,Settings!A21:A24,Settings!B21:B24)</f>
        <v/>
      </c>
    </row>
    <row r="6">
      <c r="A6" t="inlineStr">
        <is>
          <t>SmallRatio</t>
        </is>
      </c>
      <c r="B6">
        <f>XLOOKUP(B4,Settings!A21:A24,Settings!C21:C24)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IF(Scenario_DOWN!B4&lt;=INDEX(Scenario_DOWN!E9:E12,B4),"YES","NO")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Costs</t>
        </is>
      </c>
      <c r="L20" s="1" t="inlineStr">
        <is>
          <t>CycleProfit</t>
        </is>
      </c>
      <c r="M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LET(Lots,C21+F21,Mult,IF(Settings!$B$19="FULL_CYCLE",2,1),SpreadCost,Settings!$B$12*Settings!$B$4*Lots*Mult,CommissionCost,Settings!$B$13*Lots*Mult,SwapCost,Settings!$B$14*Lots,SpreadCost+CommissionCost+SwapCost)</f>
        <v/>
      </c>
      <c r="L21">
        <f>I21+J21-K21</f>
        <v/>
      </c>
      <c r="M21">
        <f>IF(L21&gt;0,"YES","NO")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LET(Lots,C22+F22,Mult,IF(Settings!$B$19="FULL_CYCLE",2,1),SpreadCost,Settings!$B$12*Settings!$B$4*Lots*Mult,CommissionCost,Settings!$B$13*Lots*Mult,SwapCost,Settings!$B$14*Lots,SpreadCost+CommissionCost+SwapCost)</f>
        <v/>
      </c>
      <c r="L22">
        <f>I22+J22-K22</f>
        <v/>
      </c>
      <c r="M22">
        <f>IF(L22&gt;0,"YES","NO")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LET(Lots,C23+F23,Mult,IF(Settings!$B$19="FULL_CYCLE",2,1),SpreadCost,Settings!$B$12*Settings!$B$4*Lots*Mult,CommissionCost,Settings!$B$13*Lots*Mult,SwapCost,Settings!$B$14*Lots,SpreadCost+CommissionCost+SwapCost)</f>
        <v/>
      </c>
      <c r="L23">
        <f>I23+J23-K23</f>
        <v/>
      </c>
      <c r="M23">
        <f>IF(L23&gt;0,"YES","NO")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LET(Lots,C24+F24,Mult,IF(Settings!$B$19="FULL_CYCLE",2,1),SpreadCost,Settings!$B$12*Settings!$B$4*Lots*Mult,CommissionCost,Settings!$B$13*Lots*Mult,SwapCost,Settings!$B$14*Lots,SpreadCost+CommissionCost+SwapCost)</f>
        <v/>
      </c>
      <c r="L24">
        <f>I24+J24-K24</f>
        <v/>
      </c>
      <c r="M24">
        <f>IF(L24&gt;0,"YES","NO")</f>
        <v/>
      </c>
    </row>
    <row r="30">
      <c r="A30" t="inlineStr">
        <is>
          <t>SelectedSectionID</t>
        </is>
      </c>
      <c r="B30">
        <f>IFERROR(INDEX(A21:A24,MATCH("YES",M21:M24,0)),"NONE")</f>
        <v/>
      </c>
    </row>
    <row r="31">
      <c r="A31" t="inlineStr">
        <is>
          <t>CycleProfit</t>
        </is>
      </c>
      <c r="B31">
        <f>IF(B30="NONE",0,XLOOKUP(B30,A21:A24,L21:L24,0))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 t="n">
        <v>400</v>
      </c>
    </row>
    <row r="6">
      <c r="A6" t="inlineStr">
        <is>
          <t>CanCloseSection</t>
        </is>
      </c>
      <c r="B6" t="inlineStr">
        <is>
          <t>NO</t>
        </is>
      </c>
    </row>
    <row r="7">
      <c r="A7" t="inlineStr">
        <is>
          <t>RecoveryFundAfterCycle</t>
        </is>
      </c>
      <c r="B7" t="n">
        <v>100</v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 t="n">
        <v>0.14</v>
      </c>
    </row>
    <row r="15">
      <c r="A15" t="inlineStr">
        <is>
          <t>NextLevel</t>
        </is>
      </c>
      <c r="B15" t="n">
        <v>2</v>
      </c>
    </row>
    <row r="16">
      <c r="A16" t="inlineStr">
        <is>
          <t>NextBigLotAfterRecovery</t>
        </is>
      </c>
      <c r="B16">
        <f>FLOOR(B14*XLOOKUP(B15,Settings!A21:A24,Settings!B21:B24),Settings!$B$7)</f>
        <v/>
      </c>
    </row>
    <row r="17">
      <c r="A17" t="inlineStr">
        <is>
          <t>NextSmallLotAfterRecovery</t>
        </is>
      </c>
      <c r="B17">
        <f>FLOOR(B14*XLOOKUP(B15,Settings!A21:A24,Settings!C21:C24),Settings!$B$7)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FLOOR(B14*XLOOKUP(B15,Settings!A21:A24,Settings!B21:B24),Settings!$B$7)</f>
        <v/>
      </c>
    </row>
    <row r="17">
      <c r="A17" t="inlineStr">
        <is>
          <t>NextSmallLotAfterRecovery</t>
        </is>
      </c>
      <c r="B17">
        <f>FLOOR(B14*XLOOKUP(B15,Settings!A21:A24,Settings!C21:C24),Settings!$B$7)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 t="n">
        <v>-12</v>
      </c>
      <c r="C3">
        <f>SUM(Scenario_DOWN!H7:H206)</f>
        <v/>
      </c>
    </row>
    <row r="4">
      <c r="A4" t="inlineStr">
        <is>
          <t>GlobalReserveAfter</t>
        </is>
      </c>
      <c r="B4" t="n">
        <v>18</v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IF(OR(SectionCalculator_UP!B14="NO",SectionCalculator_UP!B12="YES"),"OK","ERROR")</f>
        <v/>
      </c>
      <c r="C5">
        <f>IF(OR(SectionCalculator_DOWN!B14="NO",SectionCalculator_DOWN!B12="YES"),"OK","ERROR")</f>
        <v/>
      </c>
    </row>
    <row r="6">
      <c r="A6" t="inlineStr">
        <is>
          <t>No opposite cascade active</t>
        </is>
      </c>
      <c r="B6">
        <f>IF(SectionCalculator_UP!B13="YES","OK","ERROR")</f>
        <v/>
      </c>
      <c r="C6">
        <f>IF(SectionCalculator_DOWN!B13="YES","OK","ERROR")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"NEXT ACTION UP:"&amp;CHAR(10)&amp;BasketSummary!B13&amp;CHAR(10)&amp;"NEXT ACTION DOWN:"&amp;CHAR(10)&amp;BasketSummary!C13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2026-05-09T21:56:35Z</dcterms:created>
  <dcterms:modified xsi:type="dcterms:W3CDTF">2026-05-09T22:21:14Z</dcterms:modified>
</cp:coreProperties>
</file>