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ttings" sheetId="1" state="visible" r:id="rId3"/>
    <sheet name="CurrentPositions" sheetId="2" state="visible" r:id="rId4"/>
    <sheet name="Scenario_UP" sheetId="3" state="visible" r:id="rId5"/>
    <sheet name="Scenario_DOWN" sheetId="4" state="visible" r:id="rId6"/>
    <sheet name="SectionCalculator_UP" sheetId="5" state="visible" r:id="rId7"/>
    <sheet name="SectionCalculator_DOWN" sheetId="6" state="visible" r:id="rId8"/>
    <sheet name="TailRecovery_UP" sheetId="7" state="visible" r:id="rId9"/>
    <sheet name="TailRecovery_DOWN" sheetId="8" state="visible" r:id="rId10"/>
    <sheet name="BasketSummary" sheetId="9" state="visible" r:id="rId11"/>
    <sheet name="Validation" sheetId="10" state="visible" r:id="rId12"/>
    <sheet name="Log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<sst xmlns="http://schemas.openxmlformats.org/spreadsheetml/2006/main" count="267" uniqueCount="124">
  <si>
    <t xml:space="preserve">Field</t>
  </si>
  <si>
    <t xml:space="preserve">Value</t>
  </si>
  <si>
    <t xml:space="preserve">Symbol</t>
  </si>
  <si>
    <t xml:space="preserve">EURUSD</t>
  </si>
  <si>
    <t xml:space="preserve">Point</t>
  </si>
  <si>
    <t xml:space="preserve">PointValuePerLot</t>
  </si>
  <si>
    <t xml:space="preserve">StepPoints</t>
  </si>
  <si>
    <t xml:space="preserve">MinLot</t>
  </si>
  <si>
    <t xml:space="preserve">LotStep</t>
  </si>
  <si>
    <t xml:space="preserve">MaxActiveSections</t>
  </si>
  <si>
    <t xml:space="preserve">ReservePercent</t>
  </si>
  <si>
    <t xml:space="preserve">RecoveryPercent</t>
  </si>
  <si>
    <t xml:space="preserve">BasketTarget</t>
  </si>
  <si>
    <t xml:space="preserve">MaxSpreadPoints</t>
  </si>
  <si>
    <t xml:space="preserve">CommissionPerLot</t>
  </si>
  <si>
    <t xml:space="preserve">SwapPerLot</t>
  </si>
  <si>
    <t xml:space="preserve">MaxTotalLot</t>
  </si>
  <si>
    <t xml:space="preserve">MaxNetLot</t>
  </si>
  <si>
    <t xml:space="preserve">GlobalReserve</t>
  </si>
  <si>
    <t xml:space="preserve">RecoveryFund</t>
  </si>
  <si>
    <t xml:space="preserve">CostMode</t>
  </si>
  <si>
    <t xml:space="preserve">FULL_CYCLE</t>
  </si>
  <si>
    <t xml:space="preserve">Level</t>
  </si>
  <si>
    <t xml:space="preserve">BigRatio</t>
  </si>
  <si>
    <t xml:space="preserve">SmallRatio</t>
  </si>
  <si>
    <t xml:space="preserve">Ticket</t>
  </si>
  <si>
    <t xml:space="preserve">Type</t>
  </si>
  <si>
    <t xml:space="preserve">Role</t>
  </si>
  <si>
    <t xml:space="preserve">Lot</t>
  </si>
  <si>
    <t xml:space="preserve">OpenPrice</t>
  </si>
  <si>
    <t xml:space="preserve">CurrentPrice</t>
  </si>
  <si>
    <t xml:space="preserve">PointsPnL</t>
  </si>
  <si>
    <t xml:space="preserve">MoneyPnL</t>
  </si>
  <si>
    <t xml:space="preserve">IsTail</t>
  </si>
  <si>
    <t xml:space="preserve">SectionID</t>
  </si>
  <si>
    <t xml:space="preserve">BUY</t>
  </si>
  <si>
    <t xml:space="preserve">MAIN</t>
  </si>
  <si>
    <t xml:space="preserve">NO</t>
  </si>
  <si>
    <t xml:space="preserve">SELL</t>
  </si>
  <si>
    <t xml:space="preserve">TAIL</t>
  </si>
  <si>
    <t xml:space="preserve">YES</t>
  </si>
  <si>
    <t xml:space="preserve">SECTION_BIG</t>
  </si>
  <si>
    <t xml:space="preserve">S1</t>
  </si>
  <si>
    <t xml:space="preserve">SECTION_SMALL</t>
  </si>
  <si>
    <t xml:space="preserve">AverageBuyPrice</t>
  </si>
  <si>
    <t xml:space="preserve">AverageSellPrice</t>
  </si>
  <si>
    <t xml:space="preserve">MoveUpPoints</t>
  </si>
  <si>
    <t xml:space="preserve">Center</t>
  </si>
  <si>
    <t xml:space="preserve">ScenarioPrice</t>
  </si>
  <si>
    <t xml:space="preserve">UpperLevel1</t>
  </si>
  <si>
    <t xml:space="preserve">UpperLevel2</t>
  </si>
  <si>
    <t xml:space="preserve">UpperLevel3</t>
  </si>
  <si>
    <t xml:space="preserve">ScenarioPointsPnL</t>
  </si>
  <si>
    <t xml:space="preserve">ScenarioMoneyPnL</t>
  </si>
  <si>
    <t xml:space="preserve">UpperLevel4</t>
  </si>
  <si>
    <t xml:space="preserve">LowerLevel1</t>
  </si>
  <si>
    <t xml:space="preserve">LowerLevel2</t>
  </si>
  <si>
    <t xml:space="preserve">LowerLevel3</t>
  </si>
  <si>
    <t xml:space="preserve">LowerLevel4</t>
  </si>
  <si>
    <t xml:space="preserve">TailType</t>
  </si>
  <si>
    <t xml:space="preserve">TailWorstPnL</t>
  </si>
  <si>
    <t xml:space="preserve">TailTicket</t>
  </si>
  <si>
    <t xml:space="preserve">TailLot</t>
  </si>
  <si>
    <t xml:space="preserve">TailLossMoney</t>
  </si>
  <si>
    <t xml:space="preserve">TailLossPerLot</t>
  </si>
  <si>
    <t xml:space="preserve">MoveDownPoints</t>
  </si>
  <si>
    <t xml:space="preserve">NextLevel</t>
  </si>
  <si>
    <t xml:space="preserve">BigLot</t>
  </si>
  <si>
    <t xml:space="preserve">SmallLot</t>
  </si>
  <si>
    <t xml:space="preserve">ActiveSections</t>
  </si>
  <si>
    <t xml:space="preserve">TotalLotAfterOpen</t>
  </si>
  <si>
    <t xml:space="preserve">NetLotAfterOpen</t>
  </si>
  <si>
    <t xml:space="preserve">LevelReached</t>
  </si>
  <si>
    <t xml:space="preserve">NoOppositeCascade</t>
  </si>
  <si>
    <t xml:space="preserve">CanOpenSection</t>
  </si>
  <si>
    <t xml:space="preserve">BigType</t>
  </si>
  <si>
    <t xml:space="preserve">BigOpenPrice</t>
  </si>
  <si>
    <t xml:space="preserve">SmallType</t>
  </si>
  <si>
    <t xml:space="preserve">SmallOpenPrice</t>
  </si>
  <si>
    <t xml:space="preserve">BigPnL</t>
  </si>
  <si>
    <t xml:space="preserve">SmallPnL</t>
  </si>
  <si>
    <t xml:space="preserve">Lots</t>
  </si>
  <si>
    <t xml:space="preserve">CostMultiplier</t>
  </si>
  <si>
    <t xml:space="preserve">SpreadCost</t>
  </si>
  <si>
    <t xml:space="preserve">CommissionCost</t>
  </si>
  <si>
    <t xml:space="preserve">SwapCost</t>
  </si>
  <si>
    <t xml:space="preserve">Costs</t>
  </si>
  <si>
    <t xml:space="preserve">CycleProfit</t>
  </si>
  <si>
    <t xml:space="preserve">CanCloseSection</t>
  </si>
  <si>
    <t xml:space="preserve">S2</t>
  </si>
  <si>
    <t xml:space="preserve">S3</t>
  </si>
  <si>
    <t xml:space="preserve">S4</t>
  </si>
  <si>
    <t xml:space="preserve">SelectedSectionID</t>
  </si>
  <si>
    <t xml:space="preserve">ReserveAdd</t>
  </si>
  <si>
    <t xml:space="preserve">RecoveryAdd</t>
  </si>
  <si>
    <t xml:space="preserve">NewGlobalReserve</t>
  </si>
  <si>
    <t xml:space="preserve">NewRecoveryFund</t>
  </si>
  <si>
    <t xml:space="preserve">RecoveryFundAfterCycle</t>
  </si>
  <si>
    <t xml:space="preserve">CloseLotRaw</t>
  </si>
  <si>
    <t xml:space="preserve">CloseLotRounded</t>
  </si>
  <si>
    <t xml:space="preserve">CloseLotFinal</t>
  </si>
  <si>
    <t xml:space="preserve">CloseAllowed</t>
  </si>
  <si>
    <t xml:space="preserve">TailCloseLoss</t>
  </si>
  <si>
    <t xml:space="preserve">RecoveryFundAfterClose</t>
  </si>
  <si>
    <t xml:space="preserve">TailLotAfterClose</t>
  </si>
  <si>
    <t xml:space="preserve">NextBigLotAfterRecovery</t>
  </si>
  <si>
    <t xml:space="preserve">NextSmallLotAfterRecovery</t>
  </si>
  <si>
    <t xml:space="preserve">UP</t>
  </si>
  <si>
    <t xml:space="preserve">DOWN</t>
  </si>
  <si>
    <t xml:space="preserve">BasketFloating</t>
  </si>
  <si>
    <t xml:space="preserve">GlobalReserveAfter</t>
  </si>
  <si>
    <t xml:space="preserve">TailLotAfter</t>
  </si>
  <si>
    <t xml:space="preserve">CloseLot</t>
  </si>
  <si>
    <t xml:space="preserve">CanCloseTail</t>
  </si>
  <si>
    <t xml:space="preserve">CanCloseBasket</t>
  </si>
  <si>
    <t xml:space="preserve">NextBigLot</t>
  </si>
  <si>
    <t xml:space="preserve">NextSmallLot</t>
  </si>
  <si>
    <t xml:space="preserve">NextAction</t>
  </si>
  <si>
    <t xml:space="preserve">Rule</t>
  </si>
  <si>
    <t xml:space="preserve">CycleProfit &gt; 0 before close section</t>
  </si>
  <si>
    <t xml:space="preserve">CloseLot = 0 if CanCloseSection=NO</t>
  </si>
  <si>
    <t xml:space="preserve">TailCloseLoss &lt;= RecoveryFundAfterCycle</t>
  </si>
  <si>
    <t xml:space="preserve">LevelReached before open section</t>
  </si>
  <si>
    <t xml:space="preserve">No opposite cascade active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</si>
</sst>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mbria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2</v>
      </c>
      <c r="B2" s="0" t="s">
        <v>3</v>
      </c>
    </row>
    <row r="3" customFormat="false" ht="13.8" hidden="false" customHeight="false" outlineLevel="0" collapsed="false">
      <c r="A3" s="0" t="s">
        <v>4</v>
      </c>
      <c r="B3" s="0" t="n">
        <v>0.0001</v>
      </c>
    </row>
    <row r="4" customFormat="false" ht="13.8" hidden="false" customHeight="false" outlineLevel="0" collapsed="false">
      <c r="A4" s="0" t="s">
        <v>5</v>
      </c>
      <c r="B4" s="0" t="n">
        <v>1</v>
      </c>
    </row>
    <row r="5" customFormat="false" ht="13.8" hidden="false" customHeight="false" outlineLevel="0" collapsed="false">
      <c r="A5" s="0" t="s">
        <v>6</v>
      </c>
      <c r="B5" s="0" t="n">
        <v>100</v>
      </c>
    </row>
    <row r="6" customFormat="false" ht="13.8" hidden="false" customHeight="false" outlineLevel="0" collapsed="false">
      <c r="A6" s="0" t="s">
        <v>7</v>
      </c>
      <c r="B6" s="0" t="n">
        <v>0.01</v>
      </c>
    </row>
    <row r="7" customFormat="false" ht="13.8" hidden="false" customHeight="false" outlineLevel="0" collapsed="false">
      <c r="A7" s="0" t="s">
        <v>8</v>
      </c>
      <c r="B7" s="0" t="n">
        <v>0.01</v>
      </c>
    </row>
    <row r="8" customFormat="false" ht="13.8" hidden="false" customHeight="false" outlineLevel="0" collapsed="false">
      <c r="A8" s="0" t="s">
        <v>9</v>
      </c>
      <c r="B8" s="0" t="n">
        <v>4</v>
      </c>
    </row>
    <row r="9" customFormat="false" ht="13.8" hidden="false" customHeight="false" outlineLevel="0" collapsed="false">
      <c r="A9" s="0" t="s">
        <v>10</v>
      </c>
      <c r="B9" s="0" t="n">
        <v>0.2</v>
      </c>
    </row>
    <row r="10" customFormat="false" ht="13.8" hidden="false" customHeight="false" outlineLevel="0" collapsed="false">
      <c r="A10" s="0" t="s">
        <v>11</v>
      </c>
      <c r="B10" s="0" t="n">
        <v>0.8</v>
      </c>
    </row>
    <row r="11" customFormat="false" ht="13.8" hidden="false" customHeight="false" outlineLevel="0" collapsed="false">
      <c r="A11" s="0" t="s">
        <v>12</v>
      </c>
      <c r="B11" s="0" t="n">
        <v>0</v>
      </c>
    </row>
    <row r="12" customFormat="false" ht="13.8" hidden="false" customHeight="false" outlineLevel="0" collapsed="false">
      <c r="A12" s="0" t="s">
        <v>13</v>
      </c>
      <c r="B12" s="0" t="n">
        <v>20</v>
      </c>
    </row>
    <row r="13" customFormat="false" ht="13.8" hidden="false" customHeight="false" outlineLevel="0" collapsed="false">
      <c r="A13" s="0" t="s">
        <v>14</v>
      </c>
      <c r="B13" s="0" t="n">
        <v>0</v>
      </c>
    </row>
    <row r="14" customFormat="false" ht="13.8" hidden="false" customHeight="false" outlineLevel="0" collapsed="false">
      <c r="A14" s="0" t="s">
        <v>15</v>
      </c>
      <c r="B14" s="0" t="n">
        <v>0</v>
      </c>
    </row>
    <row r="15" customFormat="false" ht="13.8" hidden="false" customHeight="false" outlineLevel="0" collapsed="false">
      <c r="A15" s="0" t="s">
        <v>16</v>
      </c>
      <c r="B15" s="0" t="n">
        <v>20</v>
      </c>
    </row>
    <row r="16" customFormat="false" ht="13.8" hidden="false" customHeight="false" outlineLevel="0" collapsed="false">
      <c r="A16" s="0" t="s">
        <v>17</v>
      </c>
      <c r="B16" s="0" t="n">
        <v>10</v>
      </c>
    </row>
    <row r="17" customFormat="false" ht="13.8" hidden="false" customHeight="false" outlineLevel="0" collapsed="false">
      <c r="A17" s="0" t="s">
        <v>18</v>
      </c>
      <c r="B17" s="0" t="n">
        <v>0</v>
      </c>
    </row>
    <row r="18" customFormat="false" ht="13.8" hidden="false" customHeight="false" outlineLevel="0" collapsed="false">
      <c r="A18" s="0" t="s">
        <v>19</v>
      </c>
      <c r="B18" s="0" t="n">
        <v>0</v>
      </c>
    </row>
    <row r="19" customFormat="false" ht="13.8" hidden="false" customHeight="false" outlineLevel="0" collapsed="false">
      <c r="A19" s="0" t="s">
        <v>20</v>
      </c>
      <c r="B19" s="0" t="s">
        <v>21</v>
      </c>
    </row>
    <row r="20" customFormat="false" ht="13.8" hidden="false" customHeight="false" outlineLevel="0" collapsed="false">
      <c r="A20" s="1" t="s">
        <v>22</v>
      </c>
      <c r="B20" s="1" t="s">
        <v>23</v>
      </c>
      <c r="C20" s="1" t="s">
        <v>24</v>
      </c>
    </row>
    <row r="21" customFormat="false" ht="13.8" hidden="false" customHeight="false" outlineLevel="0" collapsed="false">
      <c r="A21" s="0" t="n">
        <v>1</v>
      </c>
      <c r="B21" s="0" t="n">
        <v>0.4</v>
      </c>
      <c r="C21" s="0" t="n">
        <v>0.15</v>
      </c>
    </row>
    <row r="22" customFormat="false" ht="13.8" hidden="false" customHeight="false" outlineLevel="0" collapsed="false">
      <c r="A22" s="0" t="n">
        <v>2</v>
      </c>
      <c r="B22" s="0" t="n">
        <v>0.25</v>
      </c>
      <c r="C22" s="0" t="n">
        <v>0.1</v>
      </c>
    </row>
    <row r="23" customFormat="false" ht="13.8" hidden="false" customHeight="false" outlineLevel="0" collapsed="false">
      <c r="A23" s="0" t="n">
        <v>3</v>
      </c>
      <c r="B23" s="0" t="n">
        <v>0.15</v>
      </c>
      <c r="C23" s="0" t="n">
        <v>0.06</v>
      </c>
    </row>
    <row r="24" customFormat="false" ht="13.8" hidden="false" customHeight="false" outlineLevel="0" collapsed="false">
      <c r="A24" s="0" t="n">
        <v>4</v>
      </c>
      <c r="B24" s="0" t="n">
        <v>0.1</v>
      </c>
      <c r="C24" s="0" t="n">
        <v>0.04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2.8" zeroHeight="false" outlineLevelRow="0" outlineLevelCol="0"/>
  <sheetData>
    <row r="1" customFormat="false" ht="13.8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</row>
    <row r="2" customFormat="false" ht="13.8" hidden="false" customHeight="false" outlineLevel="0" collapsed="false">
      <c r="A2" s="0" t="n">
        <v>10001</v>
      </c>
      <c r="B2" s="0" t="s">
        <v>35</v>
      </c>
      <c r="C2" s="0" t="s">
        <v>36</v>
      </c>
      <c r="D2" s="0" t="n">
        <v>1</v>
      </c>
      <c r="E2" s="0" t="n">
        <v>1.23</v>
      </c>
      <c r="F2" s="0" t="n">
        <v>1.23</v>
      </c>
      <c r="G2" s="0" t="n">
        <f aca="false">IF(B2="BUY",(F2-E2)/Settings!$B$3,(E2-F2)/Settings!$B$3)</f>
        <v>0</v>
      </c>
      <c r="H2" s="0" t="n">
        <f aca="false">G2*D2*Settings!$B$4</f>
        <v>0</v>
      </c>
      <c r="I2" s="0" t="s">
        <v>37</v>
      </c>
    </row>
    <row r="3" customFormat="false" ht="13.8" hidden="false" customHeight="false" outlineLevel="0" collapsed="false">
      <c r="A3" s="0" t="n">
        <v>10002</v>
      </c>
      <c r="B3" s="0" t="s">
        <v>38</v>
      </c>
      <c r="C3" s="0" t="s">
        <v>39</v>
      </c>
      <c r="D3" s="0" t="n">
        <v>1</v>
      </c>
      <c r="E3" s="0" t="n">
        <v>1.23</v>
      </c>
      <c r="F3" s="0" t="n">
        <v>1.23</v>
      </c>
      <c r="G3" s="0" t="n">
        <f aca="false">IF(B3="BUY",(F3-E3)/Settings!$B$3,(E3-F3)/Settings!$B$3)</f>
        <v>0</v>
      </c>
      <c r="H3" s="0" t="n">
        <f aca="false">G3*D3*Settings!$B$4</f>
        <v>0</v>
      </c>
      <c r="I3" s="0" t="s">
        <v>40</v>
      </c>
    </row>
    <row r="4" customFormat="false" ht="13.8" hidden="false" customHeight="false" outlineLevel="0" collapsed="false">
      <c r="A4" s="0" t="n">
        <v>10003</v>
      </c>
      <c r="B4" s="0" t="s">
        <v>38</v>
      </c>
      <c r="C4" s="0" t="s">
        <v>41</v>
      </c>
      <c r="D4" s="0" t="n">
        <v>0.4</v>
      </c>
      <c r="E4" s="0" t="n">
        <v>1.235</v>
      </c>
      <c r="F4" s="0" t="n">
        <v>1.23</v>
      </c>
      <c r="G4" s="0" t="n">
        <f aca="false">IF(B4="BUY",(F4-E4)/Settings!$B$3,(E4-F4)/Settings!$B$3)</f>
        <v>50.0000000000012</v>
      </c>
      <c r="H4" s="0" t="n">
        <f aca="false">G4*D4*Settings!$B$4</f>
        <v>20.0000000000005</v>
      </c>
      <c r="I4" s="0" t="s">
        <v>37</v>
      </c>
      <c r="J4" s="0" t="s">
        <v>42</v>
      </c>
    </row>
    <row r="5" customFormat="false" ht="13.8" hidden="false" customHeight="false" outlineLevel="0" collapsed="false">
      <c r="A5" s="0" t="n">
        <v>10004</v>
      </c>
      <c r="B5" s="0" t="s">
        <v>35</v>
      </c>
      <c r="C5" s="0" t="s">
        <v>43</v>
      </c>
      <c r="D5" s="0" t="n">
        <v>0.15</v>
      </c>
      <c r="E5" s="0" t="n">
        <v>1.235</v>
      </c>
      <c r="F5" s="0" t="n">
        <v>1.23</v>
      </c>
      <c r="G5" s="0" t="n">
        <f aca="false">IF(B5="BUY",(F5-E5)/Settings!$B$3,(E5-F5)/Settings!$B$3)</f>
        <v>-50.0000000000012</v>
      </c>
      <c r="H5" s="0" t="n">
        <f aca="false">G5*D5*Settings!$B$4</f>
        <v>-7.50000000000017</v>
      </c>
      <c r="I5" s="0" t="s">
        <v>37</v>
      </c>
      <c r="J5" s="0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D1" s="0" t="s">
        <v>44</v>
      </c>
      <c r="E1" s="0" t="n">
        <f aca="false">IFERROR(SUMPRODUCT((B7:B206="BUY")*E7:E206*D7:D206)/SUMIFS(D7:D206,B7:B206,"BUY"),0)</f>
        <v>0</v>
      </c>
    </row>
    <row r="2" customFormat="false" ht="13.8" hidden="false" customHeight="false" outlineLevel="0" collapsed="false">
      <c r="A2" s="0" t="s">
        <v>30</v>
      </c>
      <c r="B2" s="0" t="n">
        <f aca="false">CurrentPositions!F2</f>
        <v>1.23</v>
      </c>
      <c r="D2" s="0" t="s">
        <v>45</v>
      </c>
      <c r="E2" s="0" t="n">
        <f aca="false">IFERROR(SUMPRODUCT((B7:B206="SELL")*E7:E206*D7:D206)/SUMIFS(D7:D206,B7:B206,"SELL"),0)</f>
        <v>0</v>
      </c>
    </row>
    <row r="3" customFormat="false" ht="13.8" hidden="false" customHeight="false" outlineLevel="0" collapsed="false">
      <c r="A3" s="0" t="s">
        <v>46</v>
      </c>
      <c r="B3" s="0" t="n">
        <v>100</v>
      </c>
      <c r="D3" s="0" t="s">
        <v>47</v>
      </c>
      <c r="E3" s="0" t="e">
        <f aca="false">(E1+E2)/2</f>
        <v>#VALUE!</v>
      </c>
    </row>
    <row r="4" customFormat="false" ht="13.8" hidden="false" customHeight="false" outlineLevel="0" collapsed="false">
      <c r="A4" s="0" t="s">
        <v>48</v>
      </c>
      <c r="B4" s="0" t="n">
        <f aca="false">B2+B3*Settings!$B$3</f>
        <v>1.24</v>
      </c>
      <c r="D4" s="0" t="s">
        <v>49</v>
      </c>
      <c r="E4" s="0" t="e">
        <f aca="false">E3+1*Settings!$B$5*Settings!$B$3</f>
        <v>#VALUE!</v>
      </c>
    </row>
    <row r="5" customFormat="false" ht="13.8" hidden="false" customHeight="false" outlineLevel="0" collapsed="false">
      <c r="D5" s="0" t="s">
        <v>50</v>
      </c>
      <c r="E5" s="0" t="e">
        <f aca="false">E3+2*Settings!$B$5*Settings!$B$3</f>
        <v>#VALUE!</v>
      </c>
    </row>
    <row r="6" customFormat="false" ht="13.8" hidden="false" customHeight="false" outlineLevel="0" collapsed="false">
      <c r="A6" s="1" t="s">
        <v>25</v>
      </c>
      <c r="B6" s="1" t="s">
        <v>26</v>
      </c>
      <c r="C6" s="1" t="s">
        <v>27</v>
      </c>
      <c r="D6" s="1" t="s">
        <v>51</v>
      </c>
      <c r="E6" s="1" t="e">
        <f aca="false">E3+3*Settings!$B$5*Settings!$B$3</f>
        <v>#VALUE!</v>
      </c>
      <c r="F6" s="1" t="s">
        <v>48</v>
      </c>
      <c r="G6" s="1" t="s">
        <v>52</v>
      </c>
      <c r="H6" s="1" t="s">
        <v>53</v>
      </c>
      <c r="I6" s="1" t="s">
        <v>33</v>
      </c>
      <c r="J6" s="1" t="s">
        <v>34</v>
      </c>
    </row>
    <row r="7" customFormat="false" ht="13.8" hidden="false" customHeight="false" outlineLevel="0" collapsed="false">
      <c r="A7" s="0" t="n">
        <v>10010</v>
      </c>
      <c r="B7" s="0" t="s">
        <v>38</v>
      </c>
      <c r="C7" s="0" t="str">
        <f aca="false">CurrentPositions!C2</f>
        <v>MAIN</v>
      </c>
      <c r="D7" s="0" t="s">
        <v>54</v>
      </c>
      <c r="E7" s="0" t="e">
        <f aca="false">E3+4*Settings!$B$5*Settings!$B$3</f>
        <v>#VALUE!</v>
      </c>
      <c r="F7" s="0" t="n">
        <f aca="false">$B$4</f>
        <v>1.24</v>
      </c>
      <c r="G7" s="0" t="e">
        <f aca="false">IF(B7="BUY",(F7-E7)/Settings!$B$3,(E7-F7)/Settings!$B$3)</f>
        <v>#VALUE!</v>
      </c>
      <c r="H7" s="0" t="n">
        <v>-50</v>
      </c>
      <c r="I7" s="0" t="str">
        <f aca="false">CurrentPositions!I2</f>
        <v>NO</v>
      </c>
      <c r="J7" s="0" t="n">
        <f aca="false">CurrentPositions!J2</f>
        <v>0</v>
      </c>
    </row>
    <row r="8" customFormat="false" ht="13.8" hidden="false" customHeight="false" outlineLevel="0" collapsed="false">
      <c r="A8" s="0" t="n">
        <v>10005</v>
      </c>
      <c r="B8" s="0" t="s">
        <v>38</v>
      </c>
      <c r="C8" s="0" t="str">
        <f aca="false">CurrentPositions!C3</f>
        <v>TAIL</v>
      </c>
      <c r="D8" s="0" t="n">
        <f aca="false">CurrentPositions!D3</f>
        <v>1</v>
      </c>
      <c r="E8" s="0" t="n">
        <f aca="false">CurrentPositions!E3</f>
        <v>1.23</v>
      </c>
      <c r="F8" s="0" t="n">
        <f aca="false">$B$4</f>
        <v>1.24</v>
      </c>
      <c r="G8" s="0" t="n">
        <f aca="false">IF(B8="BUY",(F8-E8)/Settings!$B$3,(E8-F8)/Settings!$B$3)</f>
        <v>-100</v>
      </c>
      <c r="H8" s="0" t="n">
        <v>-50</v>
      </c>
      <c r="I8" s="0" t="str">
        <f aca="false">CurrentPositions!I3</f>
        <v>YES</v>
      </c>
      <c r="J8" s="0" t="n">
        <f aca="false">CurrentPositions!J3</f>
        <v>0</v>
      </c>
    </row>
    <row r="9" customFormat="false" ht="13.8" hidden="false" customHeight="false" outlineLevel="0" collapsed="false">
      <c r="A9" s="0" t="n">
        <v>10020</v>
      </c>
      <c r="B9" s="0" t="s">
        <v>38</v>
      </c>
      <c r="C9" s="0" t="str">
        <f aca="false">CurrentPositions!C4</f>
        <v>SECTION_BIG</v>
      </c>
      <c r="D9" s="0" t="s">
        <v>55</v>
      </c>
      <c r="E9" s="0" t="e">
        <f aca="false">E3-1*Settings!$B$5*Settings!$B$3</f>
        <v>#VALUE!</v>
      </c>
      <c r="F9" s="0" t="n">
        <f aca="false">$B$4</f>
        <v>1.24</v>
      </c>
      <c r="G9" s="0" t="e">
        <f aca="false">IF(B9="BUY",(F9-E9)/Settings!$B$3,(E9-F9)/Settings!$B$3)</f>
        <v>#VALUE!</v>
      </c>
      <c r="H9" s="0" t="n">
        <v>-10</v>
      </c>
      <c r="I9" s="0" t="str">
        <f aca="false">CurrentPositions!I4</f>
        <v>NO</v>
      </c>
      <c r="J9" s="0" t="str">
        <f aca="false">CurrentPositions!J4</f>
        <v>S1</v>
      </c>
    </row>
    <row r="10" customFormat="false" ht="13.8" hidden="false" customHeight="false" outlineLevel="0" collapsed="false">
      <c r="A10" s="0" t="n">
        <f aca="false">CurrentPositions!A5</f>
        <v>10004</v>
      </c>
      <c r="B10" s="0" t="str">
        <f aca="false">CurrentPositions!B5</f>
        <v>BUY</v>
      </c>
      <c r="C10" s="0" t="str">
        <f aca="false">CurrentPositions!C5</f>
        <v>SECTION_SMALL</v>
      </c>
      <c r="D10" s="0" t="s">
        <v>56</v>
      </c>
      <c r="E10" s="0" t="e">
        <f aca="false">E3-2*Settings!$B$5*Settings!$B$3</f>
        <v>#VALUE!</v>
      </c>
      <c r="F10" s="0" t="n">
        <f aca="false">$B$4</f>
        <v>1.24</v>
      </c>
      <c r="G10" s="0" t="e">
        <f aca="false">IF(B10="BUY",(F10-E10)/Settings!$B$3,(E10-F10)/Settings!$B$3)</f>
        <v>#VALUE!</v>
      </c>
      <c r="H10" s="0" t="e">
        <f aca="false">G10*D10*Settings!$B$4</f>
        <v>#VALUE!</v>
      </c>
      <c r="I10" s="0" t="str">
        <f aca="false">CurrentPositions!I5</f>
        <v>NO</v>
      </c>
      <c r="J10" s="0" t="str">
        <f aca="false">CurrentPositions!J5</f>
        <v>S1</v>
      </c>
    </row>
    <row r="11" customFormat="false" ht="13.8" hidden="false" customHeight="false" outlineLevel="0" collapsed="false">
      <c r="A11" s="0" t="n">
        <f aca="false">CurrentPositions!A6</f>
        <v>0</v>
      </c>
      <c r="B11" s="0" t="n">
        <f aca="false">CurrentPositions!B6</f>
        <v>0</v>
      </c>
      <c r="C11" s="0" t="n">
        <f aca="false">CurrentPositions!C6</f>
        <v>0</v>
      </c>
      <c r="D11" s="0" t="s">
        <v>57</v>
      </c>
      <c r="E11" s="0" t="e">
        <f aca="false">E3-3*Settings!$B$5*Settings!$B$3</f>
        <v>#VALUE!</v>
      </c>
      <c r="F11" s="0" t="n">
        <f aca="false">$B$4</f>
        <v>1.24</v>
      </c>
      <c r="G11" s="0" t="e">
        <f aca="false">IF(B11="BUY",(F11-E11)/Settings!$B$3,(E11-F11)/Settings!$B$3)</f>
        <v>#VALUE!</v>
      </c>
      <c r="H11" s="0" t="e">
        <f aca="false">G11*D11*Settings!$B$4</f>
        <v>#VALUE!</v>
      </c>
      <c r="I11" s="0" t="n">
        <f aca="false">CurrentPositions!I6</f>
        <v>0</v>
      </c>
      <c r="J11" s="0" t="n">
        <f aca="false">CurrentPositions!J6</f>
        <v>0</v>
      </c>
    </row>
    <row r="12" customFormat="false" ht="13.8" hidden="false" customHeight="false" outlineLevel="0" collapsed="false">
      <c r="A12" s="0" t="n">
        <f aca="false">CurrentPositions!A7</f>
        <v>0</v>
      </c>
      <c r="B12" s="0" t="n">
        <f aca="false">CurrentPositions!B7</f>
        <v>0</v>
      </c>
      <c r="C12" s="0" t="n">
        <f aca="false">CurrentPositions!C7</f>
        <v>0</v>
      </c>
      <c r="D12" s="0" t="s">
        <v>58</v>
      </c>
      <c r="E12" s="0" t="e">
        <f aca="false">E3-4*Settings!$B$5*Settings!$B$3</f>
        <v>#VALUE!</v>
      </c>
      <c r="F12" s="0" t="n">
        <f aca="false">$B$4</f>
        <v>1.24</v>
      </c>
      <c r="G12" s="0" t="e">
        <f aca="false">IF(B12="BUY",(F12-E12)/Settings!$B$3,(E12-F12)/Settings!$B$3)</f>
        <v>#VALUE!</v>
      </c>
      <c r="H12" s="0" t="e">
        <f aca="false">G12*D12*Settings!$B$4</f>
        <v>#VALUE!</v>
      </c>
      <c r="I12" s="0" t="n">
        <f aca="false">CurrentPositions!I7</f>
        <v>0</v>
      </c>
      <c r="J12" s="0" t="n">
        <f aca="false">CurrentPositions!J7</f>
        <v>0</v>
      </c>
    </row>
    <row r="13" customFormat="false" ht="13.8" hidden="false" customHeight="false" outlineLevel="0" collapsed="false">
      <c r="A13" s="0" t="n">
        <f aca="false">CurrentPositions!A8</f>
        <v>0</v>
      </c>
      <c r="B13" s="0" t="n">
        <f aca="false">CurrentPositions!B8</f>
        <v>0</v>
      </c>
      <c r="C13" s="0" t="n">
        <f aca="false">CurrentPositions!C8</f>
        <v>0</v>
      </c>
      <c r="D13" s="0" t="n">
        <f aca="false">CurrentPositions!D8</f>
        <v>0</v>
      </c>
      <c r="E13" s="0" t="n">
        <f aca="false">CurrentPositions!E8</f>
        <v>0</v>
      </c>
      <c r="F13" s="0" t="n">
        <f aca="false">$B$4</f>
        <v>1.24</v>
      </c>
      <c r="G13" s="0" t="n">
        <f aca="false">IF(B13="BUY",(F13-E13)/Settings!$B$3,(E13-F13)/Settings!$B$3)</f>
        <v>-12400</v>
      </c>
      <c r="H13" s="0" t="n">
        <f aca="false">G13*D13*Settings!$B$4</f>
        <v>-0</v>
      </c>
      <c r="I13" s="0" t="n">
        <f aca="false">CurrentPositions!I8</f>
        <v>0</v>
      </c>
      <c r="J13" s="0" t="n">
        <f aca="false">CurrentPositions!J8</f>
        <v>0</v>
      </c>
    </row>
    <row r="14" customFormat="false" ht="13.8" hidden="false" customHeight="false" outlineLevel="0" collapsed="false">
      <c r="A14" s="0" t="n">
        <f aca="false">CurrentPositions!A9</f>
        <v>0</v>
      </c>
      <c r="B14" s="0" t="n">
        <f aca="false">CurrentPositions!B9</f>
        <v>0</v>
      </c>
      <c r="C14" s="0" t="n">
        <f aca="false">CurrentPositions!C9</f>
        <v>0</v>
      </c>
      <c r="D14" s="0" t="n">
        <f aca="false">CurrentPositions!D9</f>
        <v>0</v>
      </c>
      <c r="E14" s="0" t="n">
        <f aca="false">CurrentPositions!E9</f>
        <v>0</v>
      </c>
      <c r="F14" s="0" t="n">
        <f aca="false">$B$4</f>
        <v>1.24</v>
      </c>
      <c r="G14" s="0" t="n">
        <f aca="false">IF(B14="BUY",(F14-E14)/Settings!$B$3,(E14-F14)/Settings!$B$3)</f>
        <v>-12400</v>
      </c>
      <c r="H14" s="0" t="n">
        <f aca="false">G14*D14*Settings!$B$4</f>
        <v>-0</v>
      </c>
      <c r="I14" s="0" t="n">
        <f aca="false">CurrentPositions!I9</f>
        <v>0</v>
      </c>
      <c r="J14" s="0" t="n">
        <f aca="false">CurrentPositions!J9</f>
        <v>0</v>
      </c>
    </row>
    <row r="15" customFormat="false" ht="13.8" hidden="false" customHeight="false" outlineLevel="0" collapsed="false">
      <c r="A15" s="0" t="n">
        <f aca="false">CurrentPositions!A10</f>
        <v>0</v>
      </c>
      <c r="B15" s="0" t="n">
        <f aca="false">CurrentPositions!B10</f>
        <v>0</v>
      </c>
      <c r="C15" s="0" t="n">
        <f aca="false">CurrentPositions!C10</f>
        <v>0</v>
      </c>
      <c r="D15" s="0" t="n">
        <f aca="false">CurrentPositions!D10</f>
        <v>0</v>
      </c>
      <c r="E15" s="0" t="n">
        <f aca="false">CurrentPositions!E10</f>
        <v>0</v>
      </c>
      <c r="F15" s="0" t="n">
        <f aca="false">$B$4</f>
        <v>1.24</v>
      </c>
      <c r="G15" s="0" t="n">
        <f aca="false">IF(B15="BUY",(F15-E15)/Settings!$B$3,(E15-F15)/Settings!$B$3)</f>
        <v>-12400</v>
      </c>
      <c r="H15" s="0" t="n">
        <f aca="false">G15*D15*Settings!$B$4</f>
        <v>-0</v>
      </c>
      <c r="I15" s="0" t="n">
        <f aca="false">CurrentPositions!I10</f>
        <v>0</v>
      </c>
      <c r="J15" s="0" t="n">
        <f aca="false">CurrentPositions!J10</f>
        <v>0</v>
      </c>
    </row>
    <row r="16" customFormat="false" ht="13.8" hidden="false" customHeight="false" outlineLevel="0" collapsed="false">
      <c r="A16" s="0" t="n">
        <f aca="false">CurrentPositions!A11</f>
        <v>0</v>
      </c>
      <c r="B16" s="0" t="n">
        <f aca="false">CurrentPositions!B11</f>
        <v>0</v>
      </c>
      <c r="C16" s="0" t="n">
        <f aca="false">CurrentPositions!C11</f>
        <v>0</v>
      </c>
      <c r="D16" s="0" t="n">
        <f aca="false">CurrentPositions!D11</f>
        <v>0</v>
      </c>
      <c r="E16" s="0" t="n">
        <f aca="false">CurrentPositions!E11</f>
        <v>0</v>
      </c>
      <c r="F16" s="0" t="n">
        <f aca="false">$B$4</f>
        <v>1.24</v>
      </c>
      <c r="G16" s="0" t="n">
        <f aca="false">IF(B16="BUY",(F16-E16)/Settings!$B$3,(E16-F16)/Settings!$B$3)</f>
        <v>-12400</v>
      </c>
      <c r="H16" s="0" t="n">
        <f aca="false">G16*D16*Settings!$B$4</f>
        <v>-0</v>
      </c>
      <c r="I16" s="0" t="n">
        <f aca="false">CurrentPositions!I11</f>
        <v>0</v>
      </c>
      <c r="J16" s="0" t="n">
        <f aca="false">CurrentPositions!J11</f>
        <v>0</v>
      </c>
    </row>
    <row r="17" customFormat="false" ht="13.8" hidden="false" customHeight="false" outlineLevel="0" collapsed="false">
      <c r="A17" s="0" t="n">
        <f aca="false">CurrentPositions!A12</f>
        <v>0</v>
      </c>
      <c r="B17" s="0" t="n">
        <f aca="false">CurrentPositions!B12</f>
        <v>0</v>
      </c>
      <c r="C17" s="0" t="n">
        <f aca="false">CurrentPositions!C12</f>
        <v>0</v>
      </c>
      <c r="D17" s="0" t="n">
        <f aca="false">CurrentPositions!D12</f>
        <v>0</v>
      </c>
      <c r="E17" s="0" t="n">
        <f aca="false">CurrentPositions!E12</f>
        <v>0</v>
      </c>
      <c r="F17" s="0" t="n">
        <f aca="false">$B$4</f>
        <v>1.24</v>
      </c>
      <c r="G17" s="0" t="n">
        <f aca="false">IF(B17="BUY",(F17-E17)/Settings!$B$3,(E17-F17)/Settings!$B$3)</f>
        <v>-12400</v>
      </c>
      <c r="H17" s="0" t="n">
        <f aca="false">G17*D17*Settings!$B$4</f>
        <v>-0</v>
      </c>
      <c r="I17" s="0" t="n">
        <f aca="false">CurrentPositions!I12</f>
        <v>0</v>
      </c>
      <c r="J17" s="0" t="n">
        <f aca="false">CurrentPositions!J12</f>
        <v>0</v>
      </c>
    </row>
    <row r="18" customFormat="false" ht="13.8" hidden="false" customHeight="false" outlineLevel="0" collapsed="false">
      <c r="A18" s="0" t="n">
        <f aca="false">CurrentPositions!A13</f>
        <v>0</v>
      </c>
      <c r="B18" s="0" t="n">
        <f aca="false">CurrentPositions!B13</f>
        <v>0</v>
      </c>
      <c r="C18" s="0" t="n">
        <f aca="false">CurrentPositions!C13</f>
        <v>0</v>
      </c>
      <c r="D18" s="0" t="n">
        <f aca="false">CurrentPositions!D13</f>
        <v>0</v>
      </c>
      <c r="E18" s="0" t="n">
        <f aca="false">CurrentPositions!E13</f>
        <v>0</v>
      </c>
      <c r="F18" s="0" t="n">
        <f aca="false">$B$4</f>
        <v>1.24</v>
      </c>
      <c r="G18" s="0" t="n">
        <f aca="false">IF(B18="BUY",(F18-E18)/Settings!$B$3,(E18-F18)/Settings!$B$3)</f>
        <v>-12400</v>
      </c>
      <c r="H18" s="0" t="n">
        <f aca="false">G18*D18*Settings!$B$4</f>
        <v>-0</v>
      </c>
      <c r="I18" s="0" t="n">
        <f aca="false">CurrentPositions!I13</f>
        <v>0</v>
      </c>
      <c r="J18" s="0" t="n">
        <f aca="false">CurrentPositions!J13</f>
        <v>0</v>
      </c>
    </row>
    <row r="19" customFormat="false" ht="13.8" hidden="false" customHeight="false" outlineLevel="0" collapsed="false">
      <c r="A19" s="0" t="n">
        <f aca="false">CurrentPositions!A14</f>
        <v>0</v>
      </c>
      <c r="B19" s="0" t="n">
        <f aca="false">CurrentPositions!B14</f>
        <v>0</v>
      </c>
      <c r="C19" s="0" t="n">
        <f aca="false">CurrentPositions!C14</f>
        <v>0</v>
      </c>
      <c r="D19" s="0" t="n">
        <f aca="false">CurrentPositions!D14</f>
        <v>0</v>
      </c>
      <c r="E19" s="0" t="n">
        <f aca="false">CurrentPositions!E14</f>
        <v>0</v>
      </c>
      <c r="F19" s="0" t="n">
        <f aca="false">$B$4</f>
        <v>1.24</v>
      </c>
      <c r="G19" s="0" t="n">
        <f aca="false">IF(B19="BUY",(F19-E19)/Settings!$B$3,(E19-F19)/Settings!$B$3)</f>
        <v>-12400</v>
      </c>
      <c r="H19" s="0" t="n">
        <f aca="false">G19*D19*Settings!$B$4</f>
        <v>-0</v>
      </c>
      <c r="I19" s="0" t="n">
        <f aca="false">CurrentPositions!I14</f>
        <v>0</v>
      </c>
      <c r="J19" s="0" t="n">
        <f aca="false">CurrentPositions!J14</f>
        <v>0</v>
      </c>
    </row>
    <row r="20" customFormat="false" ht="13.8" hidden="false" customHeight="false" outlineLevel="0" collapsed="false">
      <c r="A20" s="0" t="n">
        <f aca="false">CurrentPositions!A15</f>
        <v>0</v>
      </c>
      <c r="B20" s="0" t="n">
        <f aca="false">CurrentPositions!B15</f>
        <v>0</v>
      </c>
      <c r="C20" s="0" t="n">
        <f aca="false">CurrentPositions!C15</f>
        <v>0</v>
      </c>
      <c r="D20" s="0" t="n">
        <f aca="false">CurrentPositions!D15</f>
        <v>0</v>
      </c>
      <c r="E20" s="0" t="n">
        <f aca="false">CurrentPositions!E15</f>
        <v>0</v>
      </c>
      <c r="F20" s="0" t="n">
        <f aca="false">$B$4</f>
        <v>1.24</v>
      </c>
      <c r="G20" s="0" t="n">
        <f aca="false">IF(B20="BUY",(F20-E20)/Settings!$B$3,(E20-F20)/Settings!$B$3)</f>
        <v>-12400</v>
      </c>
      <c r="H20" s="0" t="n">
        <f aca="false">G20*D20*Settings!$B$4</f>
        <v>-0</v>
      </c>
      <c r="I20" s="0" t="n">
        <f aca="false">CurrentPositions!I15</f>
        <v>0</v>
      </c>
      <c r="J20" s="0" t="n">
        <f aca="false">CurrentPositions!J15</f>
        <v>0</v>
      </c>
    </row>
    <row r="21" customFormat="false" ht="13.8" hidden="false" customHeight="false" outlineLevel="0" collapsed="false">
      <c r="A21" s="0" t="n">
        <f aca="false">CurrentPositions!A16</f>
        <v>0</v>
      </c>
      <c r="B21" s="0" t="n">
        <f aca="false">CurrentPositions!B16</f>
        <v>0</v>
      </c>
      <c r="C21" s="0" t="n">
        <f aca="false">CurrentPositions!C16</f>
        <v>0</v>
      </c>
      <c r="D21" s="0" t="n">
        <f aca="false">CurrentPositions!D16</f>
        <v>0</v>
      </c>
      <c r="E21" s="0" t="n">
        <f aca="false">CurrentPositions!E16</f>
        <v>0</v>
      </c>
      <c r="F21" s="0" t="n">
        <f aca="false">$B$4</f>
        <v>1.24</v>
      </c>
      <c r="G21" s="0" t="n">
        <f aca="false">IF(B21="BUY",(F21-E21)/Settings!$B$3,(E21-F21)/Settings!$B$3)</f>
        <v>-12400</v>
      </c>
      <c r="H21" s="0" t="n">
        <f aca="false">G21*D21*Settings!$B$4</f>
        <v>-0</v>
      </c>
      <c r="I21" s="0" t="n">
        <f aca="false">CurrentPositions!I16</f>
        <v>0</v>
      </c>
      <c r="J21" s="0" t="n">
        <f aca="false">CurrentPositions!J16</f>
        <v>0</v>
      </c>
    </row>
    <row r="22" customFormat="false" ht="13.8" hidden="false" customHeight="false" outlineLevel="0" collapsed="false">
      <c r="A22" s="0" t="n">
        <f aca="false">CurrentPositions!A17</f>
        <v>0</v>
      </c>
      <c r="B22" s="0" t="n">
        <f aca="false">CurrentPositions!B17</f>
        <v>0</v>
      </c>
      <c r="C22" s="0" t="n">
        <f aca="false">CurrentPositions!C17</f>
        <v>0</v>
      </c>
      <c r="D22" s="0" t="n">
        <f aca="false">CurrentPositions!D17</f>
        <v>0</v>
      </c>
      <c r="E22" s="0" t="n">
        <f aca="false">CurrentPositions!E17</f>
        <v>0</v>
      </c>
      <c r="F22" s="0" t="n">
        <f aca="false">$B$4</f>
        <v>1.24</v>
      </c>
      <c r="G22" s="0" t="n">
        <f aca="false">IF(B22="BUY",(F22-E22)/Settings!$B$3,(E22-F22)/Settings!$B$3)</f>
        <v>-12400</v>
      </c>
      <c r="H22" s="0" t="n">
        <f aca="false">G22*D22*Settings!$B$4</f>
        <v>-0</v>
      </c>
      <c r="I22" s="0" t="n">
        <f aca="false">CurrentPositions!I17</f>
        <v>0</v>
      </c>
      <c r="J22" s="0" t="n">
        <f aca="false">CurrentPositions!J17</f>
        <v>0</v>
      </c>
    </row>
    <row r="23" customFormat="false" ht="13.8" hidden="false" customHeight="false" outlineLevel="0" collapsed="false">
      <c r="A23" s="0" t="n">
        <f aca="false">CurrentPositions!A18</f>
        <v>0</v>
      </c>
      <c r="B23" s="0" t="n">
        <f aca="false">CurrentPositions!B18</f>
        <v>0</v>
      </c>
      <c r="C23" s="0" t="n">
        <f aca="false">CurrentPositions!C18</f>
        <v>0</v>
      </c>
      <c r="D23" s="0" t="n">
        <f aca="false">CurrentPositions!D18</f>
        <v>0</v>
      </c>
      <c r="E23" s="0" t="n">
        <f aca="false">CurrentPositions!E18</f>
        <v>0</v>
      </c>
      <c r="F23" s="0" t="n">
        <f aca="false">$B$4</f>
        <v>1.24</v>
      </c>
      <c r="G23" s="0" t="n">
        <f aca="false">IF(B23="BUY",(F23-E23)/Settings!$B$3,(E23-F23)/Settings!$B$3)</f>
        <v>-12400</v>
      </c>
      <c r="H23" s="0" t="n">
        <f aca="false">G23*D23*Settings!$B$4</f>
        <v>-0</v>
      </c>
      <c r="I23" s="0" t="n">
        <f aca="false">CurrentPositions!I18</f>
        <v>0</v>
      </c>
      <c r="J23" s="0" t="n">
        <f aca="false">CurrentPositions!J18</f>
        <v>0</v>
      </c>
    </row>
    <row r="24" customFormat="false" ht="13.8" hidden="false" customHeight="false" outlineLevel="0" collapsed="false">
      <c r="A24" s="0" t="n">
        <f aca="false">CurrentPositions!A19</f>
        <v>0</v>
      </c>
      <c r="B24" s="0" t="n">
        <f aca="false">CurrentPositions!B19</f>
        <v>0</v>
      </c>
      <c r="C24" s="0" t="n">
        <f aca="false">CurrentPositions!C19</f>
        <v>0</v>
      </c>
      <c r="D24" s="0" t="n">
        <f aca="false">CurrentPositions!D19</f>
        <v>0</v>
      </c>
      <c r="E24" s="0" t="n">
        <f aca="false">CurrentPositions!E19</f>
        <v>0</v>
      </c>
      <c r="F24" s="0" t="n">
        <f aca="false">$B$4</f>
        <v>1.24</v>
      </c>
      <c r="G24" s="0" t="n">
        <f aca="false">IF(B24="BUY",(F24-E24)/Settings!$B$3,(E24-F24)/Settings!$B$3)</f>
        <v>-12400</v>
      </c>
      <c r="H24" s="0" t="n">
        <f aca="false">G24*D24*Settings!$B$4</f>
        <v>-0</v>
      </c>
      <c r="I24" s="0" t="n">
        <f aca="false">CurrentPositions!I19</f>
        <v>0</v>
      </c>
      <c r="J24" s="0" t="n">
        <f aca="false">CurrentPositions!J19</f>
        <v>0</v>
      </c>
    </row>
    <row r="25" customFormat="false" ht="13.8" hidden="false" customHeight="false" outlineLevel="0" collapsed="false">
      <c r="A25" s="0" t="n">
        <f aca="false">CurrentPositions!A20</f>
        <v>0</v>
      </c>
      <c r="B25" s="0" t="n">
        <f aca="false">CurrentPositions!B20</f>
        <v>0</v>
      </c>
      <c r="C25" s="0" t="n">
        <f aca="false">CurrentPositions!C20</f>
        <v>0</v>
      </c>
      <c r="D25" s="0" t="n">
        <f aca="false">CurrentPositions!D20</f>
        <v>0</v>
      </c>
      <c r="E25" s="0" t="n">
        <f aca="false">CurrentPositions!E20</f>
        <v>0</v>
      </c>
      <c r="F25" s="0" t="n">
        <f aca="false">$B$4</f>
        <v>1.24</v>
      </c>
      <c r="G25" s="0" t="n">
        <f aca="false">IF(B25="BUY",(F25-E25)/Settings!$B$3,(E25-F25)/Settings!$B$3)</f>
        <v>-12400</v>
      </c>
      <c r="H25" s="0" t="n">
        <f aca="false">G25*D25*Settings!$B$4</f>
        <v>-0</v>
      </c>
      <c r="I25" s="0" t="n">
        <f aca="false">CurrentPositions!I20</f>
        <v>0</v>
      </c>
      <c r="J25" s="0" t="n">
        <f aca="false">CurrentPositions!J20</f>
        <v>0</v>
      </c>
    </row>
    <row r="26" customFormat="false" ht="13.8" hidden="false" customHeight="false" outlineLevel="0" collapsed="false">
      <c r="A26" s="0" t="n">
        <f aca="false">CurrentPositions!A21</f>
        <v>0</v>
      </c>
      <c r="B26" s="0" t="n">
        <f aca="false">CurrentPositions!B21</f>
        <v>0</v>
      </c>
      <c r="C26" s="0" t="n">
        <f aca="false">CurrentPositions!C21</f>
        <v>0</v>
      </c>
      <c r="D26" s="0" t="n">
        <f aca="false">CurrentPositions!D21</f>
        <v>0</v>
      </c>
      <c r="E26" s="0" t="n">
        <f aca="false">CurrentPositions!E21</f>
        <v>0</v>
      </c>
      <c r="F26" s="0" t="n">
        <f aca="false">$B$4</f>
        <v>1.24</v>
      </c>
      <c r="G26" s="0" t="n">
        <f aca="false">IF(B26="BUY",(F26-E26)/Settings!$B$3,(E26-F26)/Settings!$B$3)</f>
        <v>-12400</v>
      </c>
      <c r="H26" s="0" t="n">
        <f aca="false">G26*D26*Settings!$B$4</f>
        <v>-0</v>
      </c>
      <c r="I26" s="0" t="n">
        <f aca="false">CurrentPositions!I21</f>
        <v>0</v>
      </c>
      <c r="J26" s="0" t="n">
        <f aca="false">CurrentPositions!J21</f>
        <v>0</v>
      </c>
    </row>
    <row r="27" customFormat="false" ht="13.8" hidden="false" customHeight="false" outlineLevel="0" collapsed="false">
      <c r="A27" s="0" t="n">
        <f aca="false">CurrentPositions!A22</f>
        <v>0</v>
      </c>
      <c r="B27" s="0" t="n">
        <f aca="false">CurrentPositions!B22</f>
        <v>0</v>
      </c>
      <c r="C27" s="0" t="n">
        <f aca="false">CurrentPositions!C22</f>
        <v>0</v>
      </c>
      <c r="D27" s="0" t="n">
        <f aca="false">CurrentPositions!D22</f>
        <v>0</v>
      </c>
      <c r="E27" s="0" t="n">
        <f aca="false">CurrentPositions!E22</f>
        <v>0</v>
      </c>
      <c r="F27" s="0" t="n">
        <f aca="false">$B$4</f>
        <v>1.24</v>
      </c>
      <c r="G27" s="0" t="n">
        <f aca="false">IF(B27="BUY",(F27-E27)/Settings!$B$3,(E27-F27)/Settings!$B$3)</f>
        <v>-12400</v>
      </c>
      <c r="H27" s="0" t="n">
        <f aca="false">G27*D27*Settings!$B$4</f>
        <v>-0</v>
      </c>
      <c r="I27" s="0" t="n">
        <f aca="false">CurrentPositions!I22</f>
        <v>0</v>
      </c>
      <c r="J27" s="0" t="n">
        <f aca="false">CurrentPositions!J22</f>
        <v>0</v>
      </c>
    </row>
    <row r="28" customFormat="false" ht="13.8" hidden="false" customHeight="false" outlineLevel="0" collapsed="false">
      <c r="A28" s="0" t="n">
        <f aca="false">CurrentPositions!A23</f>
        <v>0</v>
      </c>
      <c r="B28" s="0" t="n">
        <f aca="false">CurrentPositions!B23</f>
        <v>0</v>
      </c>
      <c r="C28" s="0" t="n">
        <f aca="false">CurrentPositions!C23</f>
        <v>0</v>
      </c>
      <c r="D28" s="0" t="n">
        <f aca="false">CurrentPositions!D23</f>
        <v>0</v>
      </c>
      <c r="E28" s="0" t="n">
        <f aca="false">CurrentPositions!E23</f>
        <v>0</v>
      </c>
      <c r="F28" s="0" t="n">
        <f aca="false">$B$4</f>
        <v>1.24</v>
      </c>
      <c r="G28" s="0" t="n">
        <f aca="false">IF(B28="BUY",(F28-E28)/Settings!$B$3,(E28-F28)/Settings!$B$3)</f>
        <v>-12400</v>
      </c>
      <c r="H28" s="0" t="n">
        <f aca="false">G28*D28*Settings!$B$4</f>
        <v>-0</v>
      </c>
      <c r="I28" s="0" t="n">
        <f aca="false">CurrentPositions!I23</f>
        <v>0</v>
      </c>
      <c r="J28" s="0" t="n">
        <f aca="false">CurrentPositions!J23</f>
        <v>0</v>
      </c>
    </row>
    <row r="29" customFormat="false" ht="13.8" hidden="false" customHeight="false" outlineLevel="0" collapsed="false">
      <c r="A29" s="0" t="n">
        <f aca="false">CurrentPositions!A24</f>
        <v>0</v>
      </c>
      <c r="B29" s="0" t="n">
        <f aca="false">CurrentPositions!B24</f>
        <v>0</v>
      </c>
      <c r="C29" s="0" t="n">
        <f aca="false">CurrentPositions!C24</f>
        <v>0</v>
      </c>
      <c r="D29" s="0" t="n">
        <f aca="false">CurrentPositions!D24</f>
        <v>0</v>
      </c>
      <c r="E29" s="0" t="n">
        <f aca="false">CurrentPositions!E24</f>
        <v>0</v>
      </c>
      <c r="F29" s="0" t="n">
        <f aca="false">$B$4</f>
        <v>1.24</v>
      </c>
      <c r="G29" s="0" t="n">
        <f aca="false">IF(B29="BUY",(F29-E29)/Settings!$B$3,(E29-F29)/Settings!$B$3)</f>
        <v>-12400</v>
      </c>
      <c r="H29" s="0" t="n">
        <f aca="false">G29*D29*Settings!$B$4</f>
        <v>-0</v>
      </c>
      <c r="I29" s="0" t="n">
        <f aca="false">CurrentPositions!I24</f>
        <v>0</v>
      </c>
      <c r="J29" s="0" t="n">
        <f aca="false">CurrentPositions!J24</f>
        <v>0</v>
      </c>
    </row>
    <row r="30" customFormat="false" ht="13.8" hidden="false" customHeight="false" outlineLevel="0" collapsed="false">
      <c r="A30" s="0" t="n">
        <f aca="false">CurrentPositions!A25</f>
        <v>0</v>
      </c>
      <c r="B30" s="0" t="n">
        <f aca="false">CurrentPositions!B25</f>
        <v>0</v>
      </c>
      <c r="C30" s="0" t="n">
        <f aca="false">CurrentPositions!C25</f>
        <v>0</v>
      </c>
      <c r="D30" s="0" t="n">
        <f aca="false">CurrentPositions!D25</f>
        <v>0</v>
      </c>
      <c r="E30" s="0" t="n">
        <f aca="false">CurrentPositions!E25</f>
        <v>0</v>
      </c>
      <c r="F30" s="0" t="n">
        <f aca="false">$B$4</f>
        <v>1.24</v>
      </c>
      <c r="G30" s="0" t="n">
        <f aca="false">IF(B30="BUY",(F30-E30)/Settings!$B$3,(E30-F30)/Settings!$B$3)</f>
        <v>-12400</v>
      </c>
      <c r="H30" s="0" t="n">
        <f aca="false">G30*D30*Settings!$B$4</f>
        <v>-0</v>
      </c>
      <c r="I30" s="0" t="n">
        <f aca="false">CurrentPositions!I25</f>
        <v>0</v>
      </c>
      <c r="J30" s="0" t="n">
        <f aca="false">CurrentPositions!J25</f>
        <v>0</v>
      </c>
    </row>
    <row r="31" customFormat="false" ht="13.8" hidden="false" customHeight="false" outlineLevel="0" collapsed="false">
      <c r="A31" s="0" t="n">
        <f aca="false">CurrentPositions!A26</f>
        <v>0</v>
      </c>
      <c r="B31" s="0" t="n">
        <f aca="false">CurrentPositions!B26</f>
        <v>0</v>
      </c>
      <c r="C31" s="0" t="n">
        <f aca="false">CurrentPositions!C26</f>
        <v>0</v>
      </c>
      <c r="D31" s="0" t="n">
        <f aca="false">CurrentPositions!D26</f>
        <v>0</v>
      </c>
      <c r="E31" s="0" t="n">
        <f aca="false">CurrentPositions!E26</f>
        <v>0</v>
      </c>
      <c r="F31" s="0" t="n">
        <f aca="false">$B$4</f>
        <v>1.24</v>
      </c>
      <c r="G31" s="0" t="n">
        <f aca="false">IF(B31="BUY",(F31-E31)/Settings!$B$3,(E31-F31)/Settings!$B$3)</f>
        <v>-12400</v>
      </c>
      <c r="H31" s="0" t="n">
        <f aca="false">G31*D31*Settings!$B$4</f>
        <v>-0</v>
      </c>
      <c r="I31" s="0" t="n">
        <f aca="false">CurrentPositions!I26</f>
        <v>0</v>
      </c>
      <c r="J31" s="0" t="n">
        <f aca="false">CurrentPositions!J26</f>
        <v>0</v>
      </c>
    </row>
    <row r="32" customFormat="false" ht="13.8" hidden="false" customHeight="false" outlineLevel="0" collapsed="false">
      <c r="A32" s="0" t="n">
        <f aca="false">CurrentPositions!A27</f>
        <v>0</v>
      </c>
      <c r="B32" s="0" t="n">
        <f aca="false">CurrentPositions!B27</f>
        <v>0</v>
      </c>
      <c r="C32" s="0" t="n">
        <f aca="false">CurrentPositions!C27</f>
        <v>0</v>
      </c>
      <c r="D32" s="0" t="n">
        <f aca="false">CurrentPositions!D27</f>
        <v>0</v>
      </c>
      <c r="E32" s="0" t="n">
        <f aca="false">CurrentPositions!E27</f>
        <v>0</v>
      </c>
      <c r="F32" s="0" t="n">
        <f aca="false">$B$4</f>
        <v>1.24</v>
      </c>
      <c r="G32" s="0" t="n">
        <f aca="false">IF(B32="BUY",(F32-E32)/Settings!$B$3,(E32-F32)/Settings!$B$3)</f>
        <v>-12400</v>
      </c>
      <c r="H32" s="0" t="n">
        <f aca="false">G32*D32*Settings!$B$4</f>
        <v>-0</v>
      </c>
      <c r="I32" s="0" t="n">
        <f aca="false">CurrentPositions!I27</f>
        <v>0</v>
      </c>
      <c r="J32" s="0" t="n">
        <f aca="false">CurrentPositions!J27</f>
        <v>0</v>
      </c>
    </row>
    <row r="33" customFormat="false" ht="13.8" hidden="false" customHeight="false" outlineLevel="0" collapsed="false">
      <c r="A33" s="0" t="n">
        <f aca="false">CurrentPositions!A28</f>
        <v>0</v>
      </c>
      <c r="B33" s="0" t="n">
        <f aca="false">CurrentPositions!B28</f>
        <v>0</v>
      </c>
      <c r="C33" s="0" t="n">
        <f aca="false">CurrentPositions!C28</f>
        <v>0</v>
      </c>
      <c r="D33" s="0" t="n">
        <f aca="false">CurrentPositions!D28</f>
        <v>0</v>
      </c>
      <c r="E33" s="0" t="n">
        <f aca="false">CurrentPositions!E28</f>
        <v>0</v>
      </c>
      <c r="F33" s="0" t="n">
        <f aca="false">$B$4</f>
        <v>1.24</v>
      </c>
      <c r="G33" s="0" t="n">
        <f aca="false">IF(B33="BUY",(F33-E33)/Settings!$B$3,(E33-F33)/Settings!$B$3)</f>
        <v>-12400</v>
      </c>
      <c r="H33" s="0" t="n">
        <f aca="false">G33*D33*Settings!$B$4</f>
        <v>-0</v>
      </c>
      <c r="I33" s="0" t="n">
        <f aca="false">CurrentPositions!I28</f>
        <v>0</v>
      </c>
      <c r="J33" s="0" t="n">
        <f aca="false">CurrentPositions!J28</f>
        <v>0</v>
      </c>
    </row>
    <row r="34" customFormat="false" ht="13.8" hidden="false" customHeight="false" outlineLevel="0" collapsed="false">
      <c r="A34" s="0" t="n">
        <f aca="false">CurrentPositions!A29</f>
        <v>0</v>
      </c>
      <c r="B34" s="0" t="n">
        <f aca="false">CurrentPositions!B29</f>
        <v>0</v>
      </c>
      <c r="C34" s="0" t="n">
        <f aca="false">CurrentPositions!C29</f>
        <v>0</v>
      </c>
      <c r="D34" s="0" t="n">
        <f aca="false">CurrentPositions!D29</f>
        <v>0</v>
      </c>
      <c r="E34" s="0" t="n">
        <f aca="false">CurrentPositions!E29</f>
        <v>0</v>
      </c>
      <c r="F34" s="0" t="n">
        <f aca="false">$B$4</f>
        <v>1.24</v>
      </c>
      <c r="G34" s="0" t="n">
        <f aca="false">IF(B34="BUY",(F34-E34)/Settings!$B$3,(E34-F34)/Settings!$B$3)</f>
        <v>-12400</v>
      </c>
      <c r="H34" s="0" t="n">
        <f aca="false">G34*D34*Settings!$B$4</f>
        <v>-0</v>
      </c>
      <c r="I34" s="0" t="n">
        <f aca="false">CurrentPositions!I29</f>
        <v>0</v>
      </c>
      <c r="J34" s="0" t="n">
        <f aca="false">CurrentPositions!J29</f>
        <v>0</v>
      </c>
    </row>
    <row r="35" customFormat="false" ht="13.8" hidden="false" customHeight="false" outlineLevel="0" collapsed="false">
      <c r="A35" s="0" t="n">
        <f aca="false">CurrentPositions!A30</f>
        <v>0</v>
      </c>
      <c r="B35" s="0" t="n">
        <f aca="false">CurrentPositions!B30</f>
        <v>0</v>
      </c>
      <c r="C35" s="0" t="n">
        <f aca="false">CurrentPositions!C30</f>
        <v>0</v>
      </c>
      <c r="D35" s="0" t="n">
        <f aca="false">CurrentPositions!D30</f>
        <v>0</v>
      </c>
      <c r="E35" s="0" t="n">
        <f aca="false">CurrentPositions!E30</f>
        <v>0</v>
      </c>
      <c r="F35" s="0" t="n">
        <f aca="false">$B$4</f>
        <v>1.24</v>
      </c>
      <c r="G35" s="0" t="n">
        <f aca="false">IF(B35="BUY",(F35-E35)/Settings!$B$3,(E35-F35)/Settings!$B$3)</f>
        <v>-12400</v>
      </c>
      <c r="H35" s="0" t="n">
        <f aca="false">G35*D35*Settings!$B$4</f>
        <v>-0</v>
      </c>
      <c r="I35" s="0" t="n">
        <f aca="false">CurrentPositions!I30</f>
        <v>0</v>
      </c>
      <c r="J35" s="0" t="n">
        <f aca="false">CurrentPositions!J30</f>
        <v>0</v>
      </c>
    </row>
    <row r="36" customFormat="false" ht="13.8" hidden="false" customHeight="false" outlineLevel="0" collapsed="false">
      <c r="A36" s="0" t="n">
        <f aca="false">CurrentPositions!A31</f>
        <v>0</v>
      </c>
      <c r="B36" s="0" t="n">
        <f aca="false">CurrentPositions!B31</f>
        <v>0</v>
      </c>
      <c r="C36" s="0" t="n">
        <f aca="false">CurrentPositions!C31</f>
        <v>0</v>
      </c>
      <c r="D36" s="0" t="n">
        <f aca="false">CurrentPositions!D31</f>
        <v>0</v>
      </c>
      <c r="E36" s="0" t="n">
        <f aca="false">CurrentPositions!E31</f>
        <v>0</v>
      </c>
      <c r="F36" s="0" t="n">
        <f aca="false">$B$4</f>
        <v>1.24</v>
      </c>
      <c r="G36" s="0" t="n">
        <f aca="false">IF(B36="BUY",(F36-E36)/Settings!$B$3,(E36-F36)/Settings!$B$3)</f>
        <v>-12400</v>
      </c>
      <c r="H36" s="0" t="n">
        <f aca="false">G36*D36*Settings!$B$4</f>
        <v>-0</v>
      </c>
      <c r="I36" s="0" t="n">
        <f aca="false">CurrentPositions!I31</f>
        <v>0</v>
      </c>
      <c r="J36" s="0" t="n">
        <f aca="false">CurrentPositions!J31</f>
        <v>0</v>
      </c>
    </row>
    <row r="37" customFormat="false" ht="13.8" hidden="false" customHeight="false" outlineLevel="0" collapsed="false">
      <c r="A37" s="0" t="n">
        <f aca="false">CurrentPositions!A32</f>
        <v>0</v>
      </c>
      <c r="B37" s="0" t="n">
        <f aca="false">CurrentPositions!B32</f>
        <v>0</v>
      </c>
      <c r="C37" s="0" t="n">
        <f aca="false">CurrentPositions!C32</f>
        <v>0</v>
      </c>
      <c r="D37" s="0" t="n">
        <f aca="false">CurrentPositions!D32</f>
        <v>0</v>
      </c>
      <c r="E37" s="0" t="n">
        <f aca="false">CurrentPositions!E32</f>
        <v>0</v>
      </c>
      <c r="F37" s="0" t="n">
        <f aca="false">$B$4</f>
        <v>1.24</v>
      </c>
      <c r="G37" s="0" t="n">
        <f aca="false">IF(B37="BUY",(F37-E37)/Settings!$B$3,(E37-F37)/Settings!$B$3)</f>
        <v>-12400</v>
      </c>
      <c r="H37" s="0" t="n">
        <f aca="false">G37*D37*Settings!$B$4</f>
        <v>-0</v>
      </c>
      <c r="I37" s="0" t="n">
        <f aca="false">CurrentPositions!I32</f>
        <v>0</v>
      </c>
      <c r="J37" s="0" t="n">
        <f aca="false">CurrentPositions!J32</f>
        <v>0</v>
      </c>
    </row>
    <row r="38" customFormat="false" ht="13.8" hidden="false" customHeight="false" outlineLevel="0" collapsed="false">
      <c r="A38" s="0" t="n">
        <f aca="false">CurrentPositions!A33</f>
        <v>0</v>
      </c>
      <c r="B38" s="0" t="n">
        <f aca="false">CurrentPositions!B33</f>
        <v>0</v>
      </c>
      <c r="C38" s="0" t="n">
        <f aca="false">CurrentPositions!C33</f>
        <v>0</v>
      </c>
      <c r="D38" s="0" t="n">
        <f aca="false">CurrentPositions!D33</f>
        <v>0</v>
      </c>
      <c r="E38" s="0" t="n">
        <f aca="false">CurrentPositions!E33</f>
        <v>0</v>
      </c>
      <c r="F38" s="0" t="n">
        <f aca="false">$B$4</f>
        <v>1.24</v>
      </c>
      <c r="G38" s="0" t="n">
        <f aca="false">IF(B38="BUY",(F38-E38)/Settings!$B$3,(E38-F38)/Settings!$B$3)</f>
        <v>-12400</v>
      </c>
      <c r="H38" s="0" t="n">
        <f aca="false">G38*D38*Settings!$B$4</f>
        <v>-0</v>
      </c>
      <c r="I38" s="0" t="n">
        <f aca="false">CurrentPositions!I33</f>
        <v>0</v>
      </c>
      <c r="J38" s="0" t="n">
        <f aca="false">CurrentPositions!J33</f>
        <v>0</v>
      </c>
    </row>
    <row r="39" customFormat="false" ht="13.8" hidden="false" customHeight="false" outlineLevel="0" collapsed="false">
      <c r="A39" s="0" t="n">
        <f aca="false">CurrentPositions!A34</f>
        <v>0</v>
      </c>
      <c r="B39" s="0" t="n">
        <f aca="false">CurrentPositions!B34</f>
        <v>0</v>
      </c>
      <c r="C39" s="0" t="n">
        <f aca="false">CurrentPositions!C34</f>
        <v>0</v>
      </c>
      <c r="D39" s="0" t="n">
        <f aca="false">CurrentPositions!D34</f>
        <v>0</v>
      </c>
      <c r="E39" s="0" t="n">
        <f aca="false">CurrentPositions!E34</f>
        <v>0</v>
      </c>
      <c r="F39" s="0" t="n">
        <f aca="false">$B$4</f>
        <v>1.24</v>
      </c>
      <c r="G39" s="0" t="n">
        <f aca="false">IF(B39="BUY",(F39-E39)/Settings!$B$3,(E39-F39)/Settings!$B$3)</f>
        <v>-12400</v>
      </c>
      <c r="H39" s="0" t="n">
        <f aca="false">G39*D39*Settings!$B$4</f>
        <v>-0</v>
      </c>
      <c r="I39" s="0" t="n">
        <f aca="false">CurrentPositions!I34</f>
        <v>0</v>
      </c>
      <c r="J39" s="0" t="n">
        <f aca="false">CurrentPositions!J34</f>
        <v>0</v>
      </c>
    </row>
    <row r="40" customFormat="false" ht="13.8" hidden="false" customHeight="false" outlineLevel="0" collapsed="false">
      <c r="A40" s="0" t="n">
        <f aca="false">CurrentPositions!A35</f>
        <v>0</v>
      </c>
      <c r="B40" s="0" t="n">
        <f aca="false">CurrentPositions!B35</f>
        <v>0</v>
      </c>
      <c r="C40" s="0" t="n">
        <f aca="false">CurrentPositions!C35</f>
        <v>0</v>
      </c>
      <c r="D40" s="0" t="n">
        <f aca="false">CurrentPositions!D35</f>
        <v>0</v>
      </c>
      <c r="E40" s="0" t="n">
        <f aca="false">CurrentPositions!E35</f>
        <v>0</v>
      </c>
      <c r="F40" s="0" t="n">
        <f aca="false">$B$4</f>
        <v>1.24</v>
      </c>
      <c r="G40" s="0" t="n">
        <f aca="false">IF(B40="BUY",(F40-E40)/Settings!$B$3,(E40-F40)/Settings!$B$3)</f>
        <v>-12400</v>
      </c>
      <c r="H40" s="0" t="n">
        <f aca="false">G40*D40*Settings!$B$4</f>
        <v>-0</v>
      </c>
      <c r="I40" s="0" t="n">
        <f aca="false">CurrentPositions!I35</f>
        <v>0</v>
      </c>
      <c r="J40" s="0" t="n">
        <f aca="false">CurrentPositions!J35</f>
        <v>0</v>
      </c>
    </row>
    <row r="41" customFormat="false" ht="13.8" hidden="false" customHeight="false" outlineLevel="0" collapsed="false">
      <c r="A41" s="0" t="n">
        <f aca="false">CurrentPositions!A36</f>
        <v>0</v>
      </c>
      <c r="B41" s="0" t="n">
        <f aca="false">CurrentPositions!B36</f>
        <v>0</v>
      </c>
      <c r="C41" s="0" t="n">
        <f aca="false">CurrentPositions!C36</f>
        <v>0</v>
      </c>
      <c r="D41" s="0" t="n">
        <f aca="false">CurrentPositions!D36</f>
        <v>0</v>
      </c>
      <c r="E41" s="0" t="n">
        <f aca="false">CurrentPositions!E36</f>
        <v>0</v>
      </c>
      <c r="F41" s="0" t="n">
        <f aca="false">$B$4</f>
        <v>1.24</v>
      </c>
      <c r="G41" s="0" t="n">
        <f aca="false">IF(B41="BUY",(F41-E41)/Settings!$B$3,(E41-F41)/Settings!$B$3)</f>
        <v>-12400</v>
      </c>
      <c r="H41" s="0" t="n">
        <f aca="false">G41*D41*Settings!$B$4</f>
        <v>-0</v>
      </c>
      <c r="I41" s="0" t="n">
        <f aca="false">CurrentPositions!I36</f>
        <v>0</v>
      </c>
      <c r="J41" s="0" t="n">
        <f aca="false">CurrentPositions!J36</f>
        <v>0</v>
      </c>
    </row>
    <row r="42" customFormat="false" ht="13.8" hidden="false" customHeight="false" outlineLevel="0" collapsed="false">
      <c r="A42" s="0" t="n">
        <f aca="false">CurrentPositions!A37</f>
        <v>0</v>
      </c>
      <c r="B42" s="0" t="n">
        <f aca="false">CurrentPositions!B37</f>
        <v>0</v>
      </c>
      <c r="C42" s="0" t="n">
        <f aca="false">CurrentPositions!C37</f>
        <v>0</v>
      </c>
      <c r="D42" s="0" t="n">
        <f aca="false">CurrentPositions!D37</f>
        <v>0</v>
      </c>
      <c r="E42" s="0" t="n">
        <f aca="false">CurrentPositions!E37</f>
        <v>0</v>
      </c>
      <c r="F42" s="0" t="n">
        <f aca="false">$B$4</f>
        <v>1.24</v>
      </c>
      <c r="G42" s="0" t="n">
        <f aca="false">IF(B42="BUY",(F42-E42)/Settings!$B$3,(E42-F42)/Settings!$B$3)</f>
        <v>-12400</v>
      </c>
      <c r="H42" s="0" t="n">
        <f aca="false">G42*D42*Settings!$B$4</f>
        <v>-0</v>
      </c>
      <c r="I42" s="0" t="n">
        <f aca="false">CurrentPositions!I37</f>
        <v>0</v>
      </c>
      <c r="J42" s="0" t="n">
        <f aca="false">CurrentPositions!J37</f>
        <v>0</v>
      </c>
    </row>
    <row r="43" customFormat="false" ht="13.8" hidden="false" customHeight="false" outlineLevel="0" collapsed="false">
      <c r="A43" s="0" t="n">
        <f aca="false">CurrentPositions!A38</f>
        <v>0</v>
      </c>
      <c r="B43" s="0" t="n">
        <f aca="false">CurrentPositions!B38</f>
        <v>0</v>
      </c>
      <c r="C43" s="0" t="n">
        <f aca="false">CurrentPositions!C38</f>
        <v>0</v>
      </c>
      <c r="D43" s="0" t="n">
        <f aca="false">CurrentPositions!D38</f>
        <v>0</v>
      </c>
      <c r="E43" s="0" t="n">
        <f aca="false">CurrentPositions!E38</f>
        <v>0</v>
      </c>
      <c r="F43" s="0" t="n">
        <f aca="false">$B$4</f>
        <v>1.24</v>
      </c>
      <c r="G43" s="0" t="n">
        <f aca="false">IF(B43="BUY",(F43-E43)/Settings!$B$3,(E43-F43)/Settings!$B$3)</f>
        <v>-12400</v>
      </c>
      <c r="H43" s="0" t="n">
        <f aca="false">G43*D43*Settings!$B$4</f>
        <v>-0</v>
      </c>
      <c r="I43" s="0" t="n">
        <f aca="false">CurrentPositions!I38</f>
        <v>0</v>
      </c>
      <c r="J43" s="0" t="n">
        <f aca="false">CurrentPositions!J38</f>
        <v>0</v>
      </c>
    </row>
    <row r="44" customFormat="false" ht="13.8" hidden="false" customHeight="false" outlineLevel="0" collapsed="false">
      <c r="A44" s="0" t="n">
        <f aca="false">CurrentPositions!A39</f>
        <v>0</v>
      </c>
      <c r="B44" s="0" t="n">
        <f aca="false">CurrentPositions!B39</f>
        <v>0</v>
      </c>
      <c r="C44" s="0" t="n">
        <f aca="false">CurrentPositions!C39</f>
        <v>0</v>
      </c>
      <c r="D44" s="0" t="n">
        <f aca="false">CurrentPositions!D39</f>
        <v>0</v>
      </c>
      <c r="E44" s="0" t="n">
        <f aca="false">CurrentPositions!E39</f>
        <v>0</v>
      </c>
      <c r="F44" s="0" t="n">
        <f aca="false">$B$4</f>
        <v>1.24</v>
      </c>
      <c r="G44" s="0" t="n">
        <f aca="false">IF(B44="BUY",(F44-E44)/Settings!$B$3,(E44-F44)/Settings!$B$3)</f>
        <v>-12400</v>
      </c>
      <c r="H44" s="0" t="n">
        <f aca="false">G44*D44*Settings!$B$4</f>
        <v>-0</v>
      </c>
      <c r="I44" s="0" t="n">
        <f aca="false">CurrentPositions!I39</f>
        <v>0</v>
      </c>
      <c r="J44" s="0" t="n">
        <f aca="false">CurrentPositions!J39</f>
        <v>0</v>
      </c>
    </row>
    <row r="45" customFormat="false" ht="13.8" hidden="false" customHeight="false" outlineLevel="0" collapsed="false">
      <c r="A45" s="0" t="n">
        <f aca="false">CurrentPositions!A40</f>
        <v>0</v>
      </c>
      <c r="B45" s="0" t="n">
        <f aca="false">CurrentPositions!B40</f>
        <v>0</v>
      </c>
      <c r="C45" s="0" t="n">
        <f aca="false">CurrentPositions!C40</f>
        <v>0</v>
      </c>
      <c r="D45" s="0" t="n">
        <f aca="false">CurrentPositions!D40</f>
        <v>0</v>
      </c>
      <c r="E45" s="0" t="n">
        <f aca="false">CurrentPositions!E40</f>
        <v>0</v>
      </c>
      <c r="F45" s="0" t="n">
        <f aca="false">$B$4</f>
        <v>1.24</v>
      </c>
      <c r="G45" s="0" t="n">
        <f aca="false">IF(B45="BUY",(F45-E45)/Settings!$B$3,(E45-F45)/Settings!$B$3)</f>
        <v>-12400</v>
      </c>
      <c r="H45" s="0" t="n">
        <f aca="false">G45*D45*Settings!$B$4</f>
        <v>-0</v>
      </c>
      <c r="I45" s="0" t="n">
        <f aca="false">CurrentPositions!I40</f>
        <v>0</v>
      </c>
      <c r="J45" s="0" t="n">
        <f aca="false">CurrentPositions!J40</f>
        <v>0</v>
      </c>
    </row>
    <row r="46" customFormat="false" ht="13.8" hidden="false" customHeight="false" outlineLevel="0" collapsed="false">
      <c r="A46" s="0" t="n">
        <f aca="false">CurrentPositions!A41</f>
        <v>0</v>
      </c>
      <c r="B46" s="0" t="n">
        <f aca="false">CurrentPositions!B41</f>
        <v>0</v>
      </c>
      <c r="C46" s="0" t="n">
        <f aca="false">CurrentPositions!C41</f>
        <v>0</v>
      </c>
      <c r="D46" s="0" t="n">
        <f aca="false">CurrentPositions!D41</f>
        <v>0</v>
      </c>
      <c r="E46" s="0" t="n">
        <f aca="false">CurrentPositions!E41</f>
        <v>0</v>
      </c>
      <c r="F46" s="0" t="n">
        <f aca="false">$B$4</f>
        <v>1.24</v>
      </c>
      <c r="G46" s="0" t="n">
        <f aca="false">IF(B46="BUY",(F46-E46)/Settings!$B$3,(E46-F46)/Settings!$B$3)</f>
        <v>-12400</v>
      </c>
      <c r="H46" s="0" t="n">
        <f aca="false">G46*D46*Settings!$B$4</f>
        <v>-0</v>
      </c>
      <c r="I46" s="0" t="n">
        <f aca="false">CurrentPositions!I41</f>
        <v>0</v>
      </c>
      <c r="J46" s="0" t="n">
        <f aca="false">CurrentPositions!J41</f>
        <v>0</v>
      </c>
    </row>
    <row r="47" customFormat="false" ht="13.8" hidden="false" customHeight="false" outlineLevel="0" collapsed="false">
      <c r="A47" s="0" t="n">
        <f aca="false">CurrentPositions!A42</f>
        <v>0</v>
      </c>
      <c r="B47" s="0" t="n">
        <f aca="false">CurrentPositions!B42</f>
        <v>0</v>
      </c>
      <c r="C47" s="0" t="n">
        <f aca="false">CurrentPositions!C42</f>
        <v>0</v>
      </c>
      <c r="D47" s="0" t="n">
        <f aca="false">CurrentPositions!D42</f>
        <v>0</v>
      </c>
      <c r="E47" s="0" t="n">
        <f aca="false">CurrentPositions!E42</f>
        <v>0</v>
      </c>
      <c r="F47" s="0" t="n">
        <f aca="false">$B$4</f>
        <v>1.24</v>
      </c>
      <c r="G47" s="0" t="n">
        <f aca="false">IF(B47="BUY",(F47-E47)/Settings!$B$3,(E47-F47)/Settings!$B$3)</f>
        <v>-12400</v>
      </c>
      <c r="H47" s="0" t="n">
        <f aca="false">G47*D47*Settings!$B$4</f>
        <v>-0</v>
      </c>
      <c r="I47" s="0" t="n">
        <f aca="false">CurrentPositions!I42</f>
        <v>0</v>
      </c>
      <c r="J47" s="0" t="n">
        <f aca="false">CurrentPositions!J42</f>
        <v>0</v>
      </c>
    </row>
    <row r="48" customFormat="false" ht="13.8" hidden="false" customHeight="false" outlineLevel="0" collapsed="false">
      <c r="A48" s="0" t="n">
        <f aca="false">CurrentPositions!A43</f>
        <v>0</v>
      </c>
      <c r="B48" s="0" t="n">
        <f aca="false">CurrentPositions!B43</f>
        <v>0</v>
      </c>
      <c r="C48" s="0" t="n">
        <f aca="false">CurrentPositions!C43</f>
        <v>0</v>
      </c>
      <c r="D48" s="0" t="n">
        <f aca="false">CurrentPositions!D43</f>
        <v>0</v>
      </c>
      <c r="E48" s="0" t="n">
        <f aca="false">CurrentPositions!E43</f>
        <v>0</v>
      </c>
      <c r="F48" s="0" t="n">
        <f aca="false">$B$4</f>
        <v>1.24</v>
      </c>
      <c r="G48" s="0" t="n">
        <f aca="false">IF(B48="BUY",(F48-E48)/Settings!$B$3,(E48-F48)/Settings!$B$3)</f>
        <v>-12400</v>
      </c>
      <c r="H48" s="0" t="n">
        <f aca="false">G48*D48*Settings!$B$4</f>
        <v>-0</v>
      </c>
      <c r="I48" s="0" t="n">
        <f aca="false">CurrentPositions!I43</f>
        <v>0</v>
      </c>
      <c r="J48" s="0" t="n">
        <f aca="false">CurrentPositions!J43</f>
        <v>0</v>
      </c>
    </row>
    <row r="49" customFormat="false" ht="13.8" hidden="false" customHeight="false" outlineLevel="0" collapsed="false">
      <c r="A49" s="0" t="n">
        <f aca="false">CurrentPositions!A44</f>
        <v>0</v>
      </c>
      <c r="B49" s="0" t="n">
        <f aca="false">CurrentPositions!B44</f>
        <v>0</v>
      </c>
      <c r="C49" s="0" t="n">
        <f aca="false">CurrentPositions!C44</f>
        <v>0</v>
      </c>
      <c r="D49" s="0" t="n">
        <f aca="false">CurrentPositions!D44</f>
        <v>0</v>
      </c>
      <c r="E49" s="0" t="n">
        <f aca="false">CurrentPositions!E44</f>
        <v>0</v>
      </c>
      <c r="F49" s="0" t="n">
        <f aca="false">$B$4</f>
        <v>1.24</v>
      </c>
      <c r="G49" s="0" t="n">
        <f aca="false">IF(B49="BUY",(F49-E49)/Settings!$B$3,(E49-F49)/Settings!$B$3)</f>
        <v>-12400</v>
      </c>
      <c r="H49" s="0" t="n">
        <f aca="false">G49*D49*Settings!$B$4</f>
        <v>-0</v>
      </c>
      <c r="I49" s="0" t="n">
        <f aca="false">CurrentPositions!I44</f>
        <v>0</v>
      </c>
      <c r="J49" s="0" t="n">
        <f aca="false">CurrentPositions!J44</f>
        <v>0</v>
      </c>
    </row>
    <row r="50" customFormat="false" ht="13.8" hidden="false" customHeight="false" outlineLevel="0" collapsed="false">
      <c r="A50" s="0" t="n">
        <f aca="false">CurrentPositions!A45</f>
        <v>0</v>
      </c>
      <c r="B50" s="0" t="n">
        <f aca="false">CurrentPositions!B45</f>
        <v>0</v>
      </c>
      <c r="C50" s="0" t="n">
        <f aca="false">CurrentPositions!C45</f>
        <v>0</v>
      </c>
      <c r="D50" s="0" t="n">
        <f aca="false">CurrentPositions!D45</f>
        <v>0</v>
      </c>
      <c r="E50" s="0" t="n">
        <f aca="false">CurrentPositions!E45</f>
        <v>0</v>
      </c>
      <c r="F50" s="0" t="n">
        <f aca="false">$B$4</f>
        <v>1.24</v>
      </c>
      <c r="G50" s="0" t="n">
        <f aca="false">IF(B50="BUY",(F50-E50)/Settings!$B$3,(E50-F50)/Settings!$B$3)</f>
        <v>-12400</v>
      </c>
      <c r="H50" s="0" t="n">
        <f aca="false">G50*D50*Settings!$B$4</f>
        <v>-0</v>
      </c>
      <c r="I50" s="0" t="n">
        <f aca="false">CurrentPositions!I45</f>
        <v>0</v>
      </c>
      <c r="J50" s="0" t="n">
        <f aca="false">CurrentPositions!J45</f>
        <v>0</v>
      </c>
    </row>
    <row r="51" customFormat="false" ht="13.8" hidden="false" customHeight="false" outlineLevel="0" collapsed="false">
      <c r="A51" s="0" t="n">
        <f aca="false">CurrentPositions!A46</f>
        <v>0</v>
      </c>
      <c r="B51" s="0" t="n">
        <f aca="false">CurrentPositions!B46</f>
        <v>0</v>
      </c>
      <c r="C51" s="0" t="n">
        <f aca="false">CurrentPositions!C46</f>
        <v>0</v>
      </c>
      <c r="D51" s="0" t="n">
        <f aca="false">CurrentPositions!D46</f>
        <v>0</v>
      </c>
      <c r="E51" s="0" t="n">
        <f aca="false">CurrentPositions!E46</f>
        <v>0</v>
      </c>
      <c r="F51" s="0" t="n">
        <f aca="false">$B$4</f>
        <v>1.24</v>
      </c>
      <c r="G51" s="0" t="n">
        <f aca="false">IF(B51="BUY",(F51-E51)/Settings!$B$3,(E51-F51)/Settings!$B$3)</f>
        <v>-12400</v>
      </c>
      <c r="H51" s="0" t="n">
        <f aca="false">G51*D51*Settings!$B$4</f>
        <v>-0</v>
      </c>
      <c r="I51" s="0" t="n">
        <f aca="false">CurrentPositions!I46</f>
        <v>0</v>
      </c>
      <c r="J51" s="0" t="n">
        <f aca="false">CurrentPositions!J46</f>
        <v>0</v>
      </c>
    </row>
    <row r="52" customFormat="false" ht="13.8" hidden="false" customHeight="false" outlineLevel="0" collapsed="false">
      <c r="A52" s="0" t="n">
        <f aca="false">CurrentPositions!A47</f>
        <v>0</v>
      </c>
      <c r="B52" s="0" t="n">
        <f aca="false">CurrentPositions!B47</f>
        <v>0</v>
      </c>
      <c r="C52" s="0" t="n">
        <f aca="false">CurrentPositions!C47</f>
        <v>0</v>
      </c>
      <c r="D52" s="0" t="n">
        <f aca="false">CurrentPositions!D47</f>
        <v>0</v>
      </c>
      <c r="E52" s="0" t="n">
        <f aca="false">CurrentPositions!E47</f>
        <v>0</v>
      </c>
      <c r="F52" s="0" t="n">
        <f aca="false">$B$4</f>
        <v>1.24</v>
      </c>
      <c r="G52" s="0" t="n">
        <f aca="false">IF(B52="BUY",(F52-E52)/Settings!$B$3,(E52-F52)/Settings!$B$3)</f>
        <v>-12400</v>
      </c>
      <c r="H52" s="0" t="n">
        <f aca="false">G52*D52*Settings!$B$4</f>
        <v>-0</v>
      </c>
      <c r="I52" s="0" t="n">
        <f aca="false">CurrentPositions!I47</f>
        <v>0</v>
      </c>
      <c r="J52" s="0" t="n">
        <f aca="false">CurrentPositions!J47</f>
        <v>0</v>
      </c>
    </row>
    <row r="53" customFormat="false" ht="13.8" hidden="false" customHeight="false" outlineLevel="0" collapsed="false">
      <c r="A53" s="0" t="n">
        <f aca="false">CurrentPositions!A48</f>
        <v>0</v>
      </c>
      <c r="B53" s="0" t="n">
        <f aca="false">CurrentPositions!B48</f>
        <v>0</v>
      </c>
      <c r="C53" s="0" t="n">
        <f aca="false">CurrentPositions!C48</f>
        <v>0</v>
      </c>
      <c r="D53" s="0" t="n">
        <f aca="false">CurrentPositions!D48</f>
        <v>0</v>
      </c>
      <c r="E53" s="0" t="n">
        <f aca="false">CurrentPositions!E48</f>
        <v>0</v>
      </c>
      <c r="F53" s="0" t="n">
        <f aca="false">$B$4</f>
        <v>1.24</v>
      </c>
      <c r="G53" s="0" t="n">
        <f aca="false">IF(B53="BUY",(F53-E53)/Settings!$B$3,(E53-F53)/Settings!$B$3)</f>
        <v>-12400</v>
      </c>
      <c r="H53" s="0" t="n">
        <f aca="false">G53*D53*Settings!$B$4</f>
        <v>-0</v>
      </c>
      <c r="I53" s="0" t="n">
        <f aca="false">CurrentPositions!I48</f>
        <v>0</v>
      </c>
      <c r="J53" s="0" t="n">
        <f aca="false">CurrentPositions!J48</f>
        <v>0</v>
      </c>
    </row>
    <row r="54" customFormat="false" ht="13.8" hidden="false" customHeight="false" outlineLevel="0" collapsed="false">
      <c r="A54" s="0" t="n">
        <f aca="false">CurrentPositions!A49</f>
        <v>0</v>
      </c>
      <c r="B54" s="0" t="n">
        <f aca="false">CurrentPositions!B49</f>
        <v>0</v>
      </c>
      <c r="C54" s="0" t="n">
        <f aca="false">CurrentPositions!C49</f>
        <v>0</v>
      </c>
      <c r="D54" s="0" t="n">
        <f aca="false">CurrentPositions!D49</f>
        <v>0</v>
      </c>
      <c r="E54" s="0" t="n">
        <f aca="false">CurrentPositions!E49</f>
        <v>0</v>
      </c>
      <c r="F54" s="0" t="n">
        <f aca="false">$B$4</f>
        <v>1.24</v>
      </c>
      <c r="G54" s="0" t="n">
        <f aca="false">IF(B54="BUY",(F54-E54)/Settings!$B$3,(E54-F54)/Settings!$B$3)</f>
        <v>-12400</v>
      </c>
      <c r="H54" s="0" t="n">
        <f aca="false">G54*D54*Settings!$B$4</f>
        <v>-0</v>
      </c>
      <c r="I54" s="0" t="n">
        <f aca="false">CurrentPositions!I49</f>
        <v>0</v>
      </c>
      <c r="J54" s="0" t="n">
        <f aca="false">CurrentPositions!J49</f>
        <v>0</v>
      </c>
    </row>
    <row r="55" customFormat="false" ht="13.8" hidden="false" customHeight="false" outlineLevel="0" collapsed="false">
      <c r="A55" s="0" t="n">
        <f aca="false">CurrentPositions!A50</f>
        <v>0</v>
      </c>
      <c r="B55" s="0" t="n">
        <f aca="false">CurrentPositions!B50</f>
        <v>0</v>
      </c>
      <c r="C55" s="0" t="n">
        <f aca="false">CurrentPositions!C50</f>
        <v>0</v>
      </c>
      <c r="D55" s="0" t="n">
        <f aca="false">CurrentPositions!D50</f>
        <v>0</v>
      </c>
      <c r="E55" s="0" t="n">
        <f aca="false">CurrentPositions!E50</f>
        <v>0</v>
      </c>
      <c r="F55" s="0" t="n">
        <f aca="false">$B$4</f>
        <v>1.24</v>
      </c>
      <c r="G55" s="0" t="n">
        <f aca="false">IF(B55="BUY",(F55-E55)/Settings!$B$3,(E55-F55)/Settings!$B$3)</f>
        <v>-12400</v>
      </c>
      <c r="H55" s="0" t="n">
        <f aca="false">G55*D55*Settings!$B$4</f>
        <v>-0</v>
      </c>
      <c r="I55" s="0" t="n">
        <f aca="false">CurrentPositions!I50</f>
        <v>0</v>
      </c>
      <c r="J55" s="0" t="n">
        <f aca="false">CurrentPositions!J50</f>
        <v>0</v>
      </c>
    </row>
    <row r="56" customFormat="false" ht="13.8" hidden="false" customHeight="false" outlineLevel="0" collapsed="false">
      <c r="A56" s="0" t="n">
        <f aca="false">CurrentPositions!A51</f>
        <v>0</v>
      </c>
      <c r="B56" s="0" t="n">
        <f aca="false">CurrentPositions!B51</f>
        <v>0</v>
      </c>
      <c r="C56" s="0" t="n">
        <f aca="false">CurrentPositions!C51</f>
        <v>0</v>
      </c>
      <c r="D56" s="0" t="n">
        <f aca="false">CurrentPositions!D51</f>
        <v>0</v>
      </c>
      <c r="E56" s="0" t="n">
        <f aca="false">CurrentPositions!E51</f>
        <v>0</v>
      </c>
      <c r="F56" s="0" t="n">
        <f aca="false">$B$4</f>
        <v>1.24</v>
      </c>
      <c r="G56" s="0" t="n">
        <f aca="false">IF(B56="BUY",(F56-E56)/Settings!$B$3,(E56-F56)/Settings!$B$3)</f>
        <v>-12400</v>
      </c>
      <c r="H56" s="0" t="n">
        <f aca="false">G56*D56*Settings!$B$4</f>
        <v>-0</v>
      </c>
      <c r="I56" s="0" t="n">
        <f aca="false">CurrentPositions!I51</f>
        <v>0</v>
      </c>
      <c r="J56" s="0" t="n">
        <f aca="false">CurrentPositions!J51</f>
        <v>0</v>
      </c>
    </row>
    <row r="57" customFormat="false" ht="13.8" hidden="false" customHeight="false" outlineLevel="0" collapsed="false">
      <c r="A57" s="0" t="n">
        <f aca="false">CurrentPositions!A52</f>
        <v>0</v>
      </c>
      <c r="B57" s="0" t="n">
        <f aca="false">CurrentPositions!B52</f>
        <v>0</v>
      </c>
      <c r="C57" s="0" t="n">
        <f aca="false">CurrentPositions!C52</f>
        <v>0</v>
      </c>
      <c r="D57" s="0" t="n">
        <f aca="false">CurrentPositions!D52</f>
        <v>0</v>
      </c>
      <c r="E57" s="0" t="n">
        <f aca="false">CurrentPositions!E52</f>
        <v>0</v>
      </c>
      <c r="F57" s="0" t="n">
        <f aca="false">$B$4</f>
        <v>1.24</v>
      </c>
      <c r="G57" s="0" t="n">
        <f aca="false">IF(B57="BUY",(F57-E57)/Settings!$B$3,(E57-F57)/Settings!$B$3)</f>
        <v>-12400</v>
      </c>
      <c r="H57" s="0" t="n">
        <f aca="false">G57*D57*Settings!$B$4</f>
        <v>-0</v>
      </c>
      <c r="I57" s="0" t="n">
        <f aca="false">CurrentPositions!I52</f>
        <v>0</v>
      </c>
      <c r="J57" s="0" t="n">
        <f aca="false">CurrentPositions!J52</f>
        <v>0</v>
      </c>
    </row>
    <row r="58" customFormat="false" ht="13.8" hidden="false" customHeight="false" outlineLevel="0" collapsed="false">
      <c r="A58" s="0" t="n">
        <f aca="false">CurrentPositions!A53</f>
        <v>0</v>
      </c>
      <c r="B58" s="0" t="n">
        <f aca="false">CurrentPositions!B53</f>
        <v>0</v>
      </c>
      <c r="C58" s="0" t="n">
        <f aca="false">CurrentPositions!C53</f>
        <v>0</v>
      </c>
      <c r="D58" s="0" t="n">
        <f aca="false">CurrentPositions!D53</f>
        <v>0</v>
      </c>
      <c r="E58" s="0" t="n">
        <f aca="false">CurrentPositions!E53</f>
        <v>0</v>
      </c>
      <c r="F58" s="0" t="n">
        <f aca="false">$B$4</f>
        <v>1.24</v>
      </c>
      <c r="G58" s="0" t="n">
        <f aca="false">IF(B58="BUY",(F58-E58)/Settings!$B$3,(E58-F58)/Settings!$B$3)</f>
        <v>-12400</v>
      </c>
      <c r="H58" s="0" t="n">
        <f aca="false">G58*D58*Settings!$B$4</f>
        <v>-0</v>
      </c>
      <c r="I58" s="0" t="n">
        <f aca="false">CurrentPositions!I53</f>
        <v>0</v>
      </c>
      <c r="J58" s="0" t="n">
        <f aca="false">CurrentPositions!J53</f>
        <v>0</v>
      </c>
    </row>
    <row r="59" customFormat="false" ht="13.8" hidden="false" customHeight="false" outlineLevel="0" collapsed="false">
      <c r="A59" s="0" t="n">
        <f aca="false">CurrentPositions!A54</f>
        <v>0</v>
      </c>
      <c r="B59" s="0" t="n">
        <f aca="false">CurrentPositions!B54</f>
        <v>0</v>
      </c>
      <c r="C59" s="0" t="n">
        <f aca="false">CurrentPositions!C54</f>
        <v>0</v>
      </c>
      <c r="D59" s="0" t="n">
        <f aca="false">CurrentPositions!D54</f>
        <v>0</v>
      </c>
      <c r="E59" s="0" t="n">
        <f aca="false">CurrentPositions!E54</f>
        <v>0</v>
      </c>
      <c r="F59" s="0" t="n">
        <f aca="false">$B$4</f>
        <v>1.24</v>
      </c>
      <c r="G59" s="0" t="n">
        <f aca="false">IF(B59="BUY",(F59-E59)/Settings!$B$3,(E59-F59)/Settings!$B$3)</f>
        <v>-12400</v>
      </c>
      <c r="H59" s="0" t="n">
        <f aca="false">G59*D59*Settings!$B$4</f>
        <v>-0</v>
      </c>
      <c r="I59" s="0" t="n">
        <f aca="false">CurrentPositions!I54</f>
        <v>0</v>
      </c>
      <c r="J59" s="0" t="n">
        <f aca="false">CurrentPositions!J54</f>
        <v>0</v>
      </c>
    </row>
    <row r="60" customFormat="false" ht="13.8" hidden="false" customHeight="false" outlineLevel="0" collapsed="false">
      <c r="A60" s="0" t="n">
        <f aca="false">CurrentPositions!A55</f>
        <v>0</v>
      </c>
      <c r="B60" s="0" t="n">
        <f aca="false">CurrentPositions!B55</f>
        <v>0</v>
      </c>
      <c r="C60" s="0" t="n">
        <f aca="false">CurrentPositions!C55</f>
        <v>0</v>
      </c>
      <c r="D60" s="0" t="n">
        <f aca="false">CurrentPositions!D55</f>
        <v>0</v>
      </c>
      <c r="E60" s="0" t="n">
        <f aca="false">CurrentPositions!E55</f>
        <v>0</v>
      </c>
      <c r="F60" s="0" t="n">
        <f aca="false">$B$4</f>
        <v>1.24</v>
      </c>
      <c r="G60" s="0" t="n">
        <f aca="false">IF(B60="BUY",(F60-E60)/Settings!$B$3,(E60-F60)/Settings!$B$3)</f>
        <v>-12400</v>
      </c>
      <c r="H60" s="0" t="n">
        <f aca="false">G60*D60*Settings!$B$4</f>
        <v>-0</v>
      </c>
      <c r="I60" s="0" t="n">
        <f aca="false">CurrentPositions!I55</f>
        <v>0</v>
      </c>
      <c r="J60" s="0" t="n">
        <f aca="false">CurrentPositions!J55</f>
        <v>0</v>
      </c>
    </row>
    <row r="61" customFormat="false" ht="13.8" hidden="false" customHeight="false" outlineLevel="0" collapsed="false">
      <c r="A61" s="0" t="n">
        <f aca="false">CurrentPositions!A56</f>
        <v>0</v>
      </c>
      <c r="B61" s="0" t="n">
        <f aca="false">CurrentPositions!B56</f>
        <v>0</v>
      </c>
      <c r="C61" s="0" t="n">
        <f aca="false">CurrentPositions!C56</f>
        <v>0</v>
      </c>
      <c r="D61" s="0" t="n">
        <f aca="false">CurrentPositions!D56</f>
        <v>0</v>
      </c>
      <c r="E61" s="0" t="n">
        <f aca="false">CurrentPositions!E56</f>
        <v>0</v>
      </c>
      <c r="F61" s="0" t="n">
        <f aca="false">$B$4</f>
        <v>1.24</v>
      </c>
      <c r="G61" s="0" t="n">
        <f aca="false">IF(B61="BUY",(F61-E61)/Settings!$B$3,(E61-F61)/Settings!$B$3)</f>
        <v>-12400</v>
      </c>
      <c r="H61" s="0" t="n">
        <f aca="false">G61*D61*Settings!$B$4</f>
        <v>-0</v>
      </c>
      <c r="I61" s="0" t="n">
        <f aca="false">CurrentPositions!I56</f>
        <v>0</v>
      </c>
      <c r="J61" s="0" t="n">
        <f aca="false">CurrentPositions!J56</f>
        <v>0</v>
      </c>
    </row>
    <row r="62" customFormat="false" ht="13.8" hidden="false" customHeight="false" outlineLevel="0" collapsed="false">
      <c r="A62" s="0" t="n">
        <f aca="false">CurrentPositions!A57</f>
        <v>0</v>
      </c>
      <c r="B62" s="0" t="n">
        <f aca="false">CurrentPositions!B57</f>
        <v>0</v>
      </c>
      <c r="C62" s="0" t="n">
        <f aca="false">CurrentPositions!C57</f>
        <v>0</v>
      </c>
      <c r="D62" s="0" t="n">
        <f aca="false">CurrentPositions!D57</f>
        <v>0</v>
      </c>
      <c r="E62" s="0" t="n">
        <f aca="false">CurrentPositions!E57</f>
        <v>0</v>
      </c>
      <c r="F62" s="0" t="n">
        <f aca="false">$B$4</f>
        <v>1.24</v>
      </c>
      <c r="G62" s="0" t="n">
        <f aca="false">IF(B62="BUY",(F62-E62)/Settings!$B$3,(E62-F62)/Settings!$B$3)</f>
        <v>-12400</v>
      </c>
      <c r="H62" s="0" t="n">
        <f aca="false">G62*D62*Settings!$B$4</f>
        <v>-0</v>
      </c>
      <c r="I62" s="0" t="n">
        <f aca="false">CurrentPositions!I57</f>
        <v>0</v>
      </c>
      <c r="J62" s="0" t="n">
        <f aca="false">CurrentPositions!J57</f>
        <v>0</v>
      </c>
    </row>
    <row r="63" customFormat="false" ht="13.8" hidden="false" customHeight="false" outlineLevel="0" collapsed="false">
      <c r="A63" s="0" t="n">
        <f aca="false">CurrentPositions!A58</f>
        <v>0</v>
      </c>
      <c r="B63" s="0" t="n">
        <f aca="false">CurrentPositions!B58</f>
        <v>0</v>
      </c>
      <c r="C63" s="0" t="n">
        <f aca="false">CurrentPositions!C58</f>
        <v>0</v>
      </c>
      <c r="D63" s="0" t="n">
        <f aca="false">CurrentPositions!D58</f>
        <v>0</v>
      </c>
      <c r="E63" s="0" t="n">
        <f aca="false">CurrentPositions!E58</f>
        <v>0</v>
      </c>
      <c r="F63" s="0" t="n">
        <f aca="false">$B$4</f>
        <v>1.24</v>
      </c>
      <c r="G63" s="0" t="n">
        <f aca="false">IF(B63="BUY",(F63-E63)/Settings!$B$3,(E63-F63)/Settings!$B$3)</f>
        <v>-12400</v>
      </c>
      <c r="H63" s="0" t="n">
        <f aca="false">G63*D63*Settings!$B$4</f>
        <v>-0</v>
      </c>
      <c r="I63" s="0" t="n">
        <f aca="false">CurrentPositions!I58</f>
        <v>0</v>
      </c>
      <c r="J63" s="0" t="n">
        <f aca="false">CurrentPositions!J58</f>
        <v>0</v>
      </c>
    </row>
    <row r="64" customFormat="false" ht="13.8" hidden="false" customHeight="false" outlineLevel="0" collapsed="false">
      <c r="A64" s="0" t="n">
        <f aca="false">CurrentPositions!A59</f>
        <v>0</v>
      </c>
      <c r="B64" s="0" t="n">
        <f aca="false">CurrentPositions!B59</f>
        <v>0</v>
      </c>
      <c r="C64" s="0" t="n">
        <f aca="false">CurrentPositions!C59</f>
        <v>0</v>
      </c>
      <c r="D64" s="0" t="n">
        <f aca="false">CurrentPositions!D59</f>
        <v>0</v>
      </c>
      <c r="E64" s="0" t="n">
        <f aca="false">CurrentPositions!E59</f>
        <v>0</v>
      </c>
      <c r="F64" s="0" t="n">
        <f aca="false">$B$4</f>
        <v>1.24</v>
      </c>
      <c r="G64" s="0" t="n">
        <f aca="false">IF(B64="BUY",(F64-E64)/Settings!$B$3,(E64-F64)/Settings!$B$3)</f>
        <v>-12400</v>
      </c>
      <c r="H64" s="0" t="n">
        <f aca="false">G64*D64*Settings!$B$4</f>
        <v>-0</v>
      </c>
      <c r="I64" s="0" t="n">
        <f aca="false">CurrentPositions!I59</f>
        <v>0</v>
      </c>
      <c r="J64" s="0" t="n">
        <f aca="false">CurrentPositions!J59</f>
        <v>0</v>
      </c>
    </row>
    <row r="65" customFormat="false" ht="13.8" hidden="false" customHeight="false" outlineLevel="0" collapsed="false">
      <c r="A65" s="0" t="n">
        <f aca="false">CurrentPositions!A60</f>
        <v>0</v>
      </c>
      <c r="B65" s="0" t="n">
        <f aca="false">CurrentPositions!B60</f>
        <v>0</v>
      </c>
      <c r="C65" s="0" t="n">
        <f aca="false">CurrentPositions!C60</f>
        <v>0</v>
      </c>
      <c r="D65" s="0" t="n">
        <f aca="false">CurrentPositions!D60</f>
        <v>0</v>
      </c>
      <c r="E65" s="0" t="n">
        <f aca="false">CurrentPositions!E60</f>
        <v>0</v>
      </c>
      <c r="F65" s="0" t="n">
        <f aca="false">$B$4</f>
        <v>1.24</v>
      </c>
      <c r="G65" s="0" t="n">
        <f aca="false">IF(B65="BUY",(F65-E65)/Settings!$B$3,(E65-F65)/Settings!$B$3)</f>
        <v>-12400</v>
      </c>
      <c r="H65" s="0" t="n">
        <f aca="false">G65*D65*Settings!$B$4</f>
        <v>-0</v>
      </c>
      <c r="I65" s="0" t="n">
        <f aca="false">CurrentPositions!I60</f>
        <v>0</v>
      </c>
      <c r="J65" s="0" t="n">
        <f aca="false">CurrentPositions!J60</f>
        <v>0</v>
      </c>
    </row>
    <row r="66" customFormat="false" ht="13.8" hidden="false" customHeight="false" outlineLevel="0" collapsed="false">
      <c r="A66" s="0" t="n">
        <f aca="false">CurrentPositions!A61</f>
        <v>0</v>
      </c>
      <c r="B66" s="0" t="n">
        <f aca="false">CurrentPositions!B61</f>
        <v>0</v>
      </c>
      <c r="C66" s="0" t="n">
        <f aca="false">CurrentPositions!C61</f>
        <v>0</v>
      </c>
      <c r="D66" s="0" t="n">
        <f aca="false">CurrentPositions!D61</f>
        <v>0</v>
      </c>
      <c r="E66" s="0" t="n">
        <f aca="false">CurrentPositions!E61</f>
        <v>0</v>
      </c>
      <c r="F66" s="0" t="n">
        <f aca="false">$B$4</f>
        <v>1.24</v>
      </c>
      <c r="G66" s="0" t="n">
        <f aca="false">IF(B66="BUY",(F66-E66)/Settings!$B$3,(E66-F66)/Settings!$B$3)</f>
        <v>-12400</v>
      </c>
      <c r="H66" s="0" t="n">
        <f aca="false">G66*D66*Settings!$B$4</f>
        <v>-0</v>
      </c>
      <c r="I66" s="0" t="n">
        <f aca="false">CurrentPositions!I61</f>
        <v>0</v>
      </c>
      <c r="J66" s="0" t="n">
        <f aca="false">CurrentPositions!J61</f>
        <v>0</v>
      </c>
    </row>
    <row r="67" customFormat="false" ht="13.8" hidden="false" customHeight="false" outlineLevel="0" collapsed="false">
      <c r="A67" s="0" t="n">
        <f aca="false">CurrentPositions!A62</f>
        <v>0</v>
      </c>
      <c r="B67" s="0" t="n">
        <f aca="false">CurrentPositions!B62</f>
        <v>0</v>
      </c>
      <c r="C67" s="0" t="n">
        <f aca="false">CurrentPositions!C62</f>
        <v>0</v>
      </c>
      <c r="D67" s="0" t="n">
        <f aca="false">CurrentPositions!D62</f>
        <v>0</v>
      </c>
      <c r="E67" s="0" t="n">
        <f aca="false">CurrentPositions!E62</f>
        <v>0</v>
      </c>
      <c r="F67" s="0" t="n">
        <f aca="false">$B$4</f>
        <v>1.24</v>
      </c>
      <c r="G67" s="0" t="n">
        <f aca="false">IF(B67="BUY",(F67-E67)/Settings!$B$3,(E67-F67)/Settings!$B$3)</f>
        <v>-12400</v>
      </c>
      <c r="H67" s="0" t="n">
        <f aca="false">G67*D67*Settings!$B$4</f>
        <v>-0</v>
      </c>
      <c r="I67" s="0" t="n">
        <f aca="false">CurrentPositions!I62</f>
        <v>0</v>
      </c>
      <c r="J67" s="0" t="n">
        <f aca="false">CurrentPositions!J62</f>
        <v>0</v>
      </c>
    </row>
    <row r="68" customFormat="false" ht="13.8" hidden="false" customHeight="false" outlineLevel="0" collapsed="false">
      <c r="A68" s="0" t="n">
        <f aca="false">CurrentPositions!A63</f>
        <v>0</v>
      </c>
      <c r="B68" s="0" t="n">
        <f aca="false">CurrentPositions!B63</f>
        <v>0</v>
      </c>
      <c r="C68" s="0" t="n">
        <f aca="false">CurrentPositions!C63</f>
        <v>0</v>
      </c>
      <c r="D68" s="0" t="n">
        <f aca="false">CurrentPositions!D63</f>
        <v>0</v>
      </c>
      <c r="E68" s="0" t="n">
        <f aca="false">CurrentPositions!E63</f>
        <v>0</v>
      </c>
      <c r="F68" s="0" t="n">
        <f aca="false">$B$4</f>
        <v>1.24</v>
      </c>
      <c r="G68" s="0" t="n">
        <f aca="false">IF(B68="BUY",(F68-E68)/Settings!$B$3,(E68-F68)/Settings!$B$3)</f>
        <v>-12400</v>
      </c>
      <c r="H68" s="0" t="n">
        <f aca="false">G68*D68*Settings!$B$4</f>
        <v>-0</v>
      </c>
      <c r="I68" s="0" t="n">
        <f aca="false">CurrentPositions!I63</f>
        <v>0</v>
      </c>
      <c r="J68" s="0" t="n">
        <f aca="false">CurrentPositions!J63</f>
        <v>0</v>
      </c>
    </row>
    <row r="69" customFormat="false" ht="13.8" hidden="false" customHeight="false" outlineLevel="0" collapsed="false">
      <c r="A69" s="0" t="n">
        <f aca="false">CurrentPositions!A64</f>
        <v>0</v>
      </c>
      <c r="B69" s="0" t="n">
        <f aca="false">CurrentPositions!B64</f>
        <v>0</v>
      </c>
      <c r="C69" s="0" t="n">
        <f aca="false">CurrentPositions!C64</f>
        <v>0</v>
      </c>
      <c r="D69" s="0" t="n">
        <f aca="false">CurrentPositions!D64</f>
        <v>0</v>
      </c>
      <c r="E69" s="0" t="n">
        <f aca="false">CurrentPositions!E64</f>
        <v>0</v>
      </c>
      <c r="F69" s="0" t="n">
        <f aca="false">$B$4</f>
        <v>1.24</v>
      </c>
      <c r="G69" s="0" t="n">
        <f aca="false">IF(B69="BUY",(F69-E69)/Settings!$B$3,(E69-F69)/Settings!$B$3)</f>
        <v>-12400</v>
      </c>
      <c r="H69" s="0" t="n">
        <f aca="false">G69*D69*Settings!$B$4</f>
        <v>-0</v>
      </c>
      <c r="I69" s="0" t="n">
        <f aca="false">CurrentPositions!I64</f>
        <v>0</v>
      </c>
      <c r="J69" s="0" t="n">
        <f aca="false">CurrentPositions!J64</f>
        <v>0</v>
      </c>
    </row>
    <row r="70" customFormat="false" ht="13.8" hidden="false" customHeight="false" outlineLevel="0" collapsed="false">
      <c r="A70" s="0" t="n">
        <f aca="false">CurrentPositions!A65</f>
        <v>0</v>
      </c>
      <c r="B70" s="0" t="n">
        <f aca="false">CurrentPositions!B65</f>
        <v>0</v>
      </c>
      <c r="C70" s="0" t="n">
        <f aca="false">CurrentPositions!C65</f>
        <v>0</v>
      </c>
      <c r="D70" s="0" t="n">
        <f aca="false">CurrentPositions!D65</f>
        <v>0</v>
      </c>
      <c r="E70" s="0" t="n">
        <f aca="false">CurrentPositions!E65</f>
        <v>0</v>
      </c>
      <c r="F70" s="0" t="n">
        <f aca="false">$B$4</f>
        <v>1.24</v>
      </c>
      <c r="G70" s="0" t="n">
        <f aca="false">IF(B70="BUY",(F70-E70)/Settings!$B$3,(E70-F70)/Settings!$B$3)</f>
        <v>-12400</v>
      </c>
      <c r="H70" s="0" t="n">
        <f aca="false">G70*D70*Settings!$B$4</f>
        <v>-0</v>
      </c>
      <c r="I70" s="0" t="n">
        <f aca="false">CurrentPositions!I65</f>
        <v>0</v>
      </c>
      <c r="J70" s="0" t="n">
        <f aca="false">CurrentPositions!J65</f>
        <v>0</v>
      </c>
    </row>
    <row r="71" customFormat="false" ht="13.8" hidden="false" customHeight="false" outlineLevel="0" collapsed="false">
      <c r="A71" s="0" t="n">
        <f aca="false">CurrentPositions!A66</f>
        <v>0</v>
      </c>
      <c r="B71" s="0" t="n">
        <f aca="false">CurrentPositions!B66</f>
        <v>0</v>
      </c>
      <c r="C71" s="0" t="n">
        <f aca="false">CurrentPositions!C66</f>
        <v>0</v>
      </c>
      <c r="D71" s="0" t="n">
        <f aca="false">CurrentPositions!D66</f>
        <v>0</v>
      </c>
      <c r="E71" s="0" t="n">
        <f aca="false">CurrentPositions!E66</f>
        <v>0</v>
      </c>
      <c r="F71" s="0" t="n">
        <f aca="false">$B$4</f>
        <v>1.24</v>
      </c>
      <c r="G71" s="0" t="n">
        <f aca="false">IF(B71="BUY",(F71-E71)/Settings!$B$3,(E71-F71)/Settings!$B$3)</f>
        <v>-12400</v>
      </c>
      <c r="H71" s="0" t="n">
        <f aca="false">G71*D71*Settings!$B$4</f>
        <v>-0</v>
      </c>
      <c r="I71" s="0" t="n">
        <f aca="false">CurrentPositions!I66</f>
        <v>0</v>
      </c>
      <c r="J71" s="0" t="n">
        <f aca="false">CurrentPositions!J66</f>
        <v>0</v>
      </c>
    </row>
    <row r="72" customFormat="false" ht="13.8" hidden="false" customHeight="false" outlineLevel="0" collapsed="false">
      <c r="A72" s="0" t="n">
        <f aca="false">CurrentPositions!A67</f>
        <v>0</v>
      </c>
      <c r="B72" s="0" t="n">
        <f aca="false">CurrentPositions!B67</f>
        <v>0</v>
      </c>
      <c r="C72" s="0" t="n">
        <f aca="false">CurrentPositions!C67</f>
        <v>0</v>
      </c>
      <c r="D72" s="0" t="n">
        <f aca="false">CurrentPositions!D67</f>
        <v>0</v>
      </c>
      <c r="E72" s="0" t="n">
        <f aca="false">CurrentPositions!E67</f>
        <v>0</v>
      </c>
      <c r="F72" s="0" t="n">
        <f aca="false">$B$4</f>
        <v>1.24</v>
      </c>
      <c r="G72" s="0" t="n">
        <f aca="false">IF(B72="BUY",(F72-E72)/Settings!$B$3,(E72-F72)/Settings!$B$3)</f>
        <v>-12400</v>
      </c>
      <c r="H72" s="0" t="n">
        <f aca="false">G72*D72*Settings!$B$4</f>
        <v>-0</v>
      </c>
      <c r="I72" s="0" t="n">
        <f aca="false">CurrentPositions!I67</f>
        <v>0</v>
      </c>
      <c r="J72" s="0" t="n">
        <f aca="false">CurrentPositions!J67</f>
        <v>0</v>
      </c>
    </row>
    <row r="73" customFormat="false" ht="13.8" hidden="false" customHeight="false" outlineLevel="0" collapsed="false">
      <c r="A73" s="0" t="n">
        <f aca="false">CurrentPositions!A68</f>
        <v>0</v>
      </c>
      <c r="B73" s="0" t="n">
        <f aca="false">CurrentPositions!B68</f>
        <v>0</v>
      </c>
      <c r="C73" s="0" t="n">
        <f aca="false">CurrentPositions!C68</f>
        <v>0</v>
      </c>
      <c r="D73" s="0" t="n">
        <f aca="false">CurrentPositions!D68</f>
        <v>0</v>
      </c>
      <c r="E73" s="0" t="n">
        <f aca="false">CurrentPositions!E68</f>
        <v>0</v>
      </c>
      <c r="F73" s="0" t="n">
        <f aca="false">$B$4</f>
        <v>1.24</v>
      </c>
      <c r="G73" s="0" t="n">
        <f aca="false">IF(B73="BUY",(F73-E73)/Settings!$B$3,(E73-F73)/Settings!$B$3)</f>
        <v>-12400</v>
      </c>
      <c r="H73" s="0" t="n">
        <f aca="false">G73*D73*Settings!$B$4</f>
        <v>-0</v>
      </c>
      <c r="I73" s="0" t="n">
        <f aca="false">CurrentPositions!I68</f>
        <v>0</v>
      </c>
      <c r="J73" s="0" t="n">
        <f aca="false">CurrentPositions!J68</f>
        <v>0</v>
      </c>
    </row>
    <row r="74" customFormat="false" ht="13.8" hidden="false" customHeight="false" outlineLevel="0" collapsed="false">
      <c r="A74" s="0" t="n">
        <f aca="false">CurrentPositions!A69</f>
        <v>0</v>
      </c>
      <c r="B74" s="0" t="n">
        <f aca="false">CurrentPositions!B69</f>
        <v>0</v>
      </c>
      <c r="C74" s="0" t="n">
        <f aca="false">CurrentPositions!C69</f>
        <v>0</v>
      </c>
      <c r="D74" s="0" t="n">
        <f aca="false">CurrentPositions!D69</f>
        <v>0</v>
      </c>
      <c r="E74" s="0" t="n">
        <f aca="false">CurrentPositions!E69</f>
        <v>0</v>
      </c>
      <c r="F74" s="0" t="n">
        <f aca="false">$B$4</f>
        <v>1.24</v>
      </c>
      <c r="G74" s="0" t="n">
        <f aca="false">IF(B74="BUY",(F74-E74)/Settings!$B$3,(E74-F74)/Settings!$B$3)</f>
        <v>-12400</v>
      </c>
      <c r="H74" s="0" t="n">
        <f aca="false">G74*D74*Settings!$B$4</f>
        <v>-0</v>
      </c>
      <c r="I74" s="0" t="n">
        <f aca="false">CurrentPositions!I69</f>
        <v>0</v>
      </c>
      <c r="J74" s="0" t="n">
        <f aca="false">CurrentPositions!J69</f>
        <v>0</v>
      </c>
    </row>
    <row r="75" customFormat="false" ht="13.8" hidden="false" customHeight="false" outlineLevel="0" collapsed="false">
      <c r="A75" s="0" t="n">
        <f aca="false">CurrentPositions!A70</f>
        <v>0</v>
      </c>
      <c r="B75" s="0" t="n">
        <f aca="false">CurrentPositions!B70</f>
        <v>0</v>
      </c>
      <c r="C75" s="0" t="n">
        <f aca="false">CurrentPositions!C70</f>
        <v>0</v>
      </c>
      <c r="D75" s="0" t="n">
        <f aca="false">CurrentPositions!D70</f>
        <v>0</v>
      </c>
      <c r="E75" s="0" t="n">
        <f aca="false">CurrentPositions!E70</f>
        <v>0</v>
      </c>
      <c r="F75" s="0" t="n">
        <f aca="false">$B$4</f>
        <v>1.24</v>
      </c>
      <c r="G75" s="0" t="n">
        <f aca="false">IF(B75="BUY",(F75-E75)/Settings!$B$3,(E75-F75)/Settings!$B$3)</f>
        <v>-12400</v>
      </c>
      <c r="H75" s="0" t="n">
        <f aca="false">G75*D75*Settings!$B$4</f>
        <v>-0</v>
      </c>
      <c r="I75" s="0" t="n">
        <f aca="false">CurrentPositions!I70</f>
        <v>0</v>
      </c>
      <c r="J75" s="0" t="n">
        <f aca="false">CurrentPositions!J70</f>
        <v>0</v>
      </c>
    </row>
    <row r="76" customFormat="false" ht="13.8" hidden="false" customHeight="false" outlineLevel="0" collapsed="false">
      <c r="A76" s="0" t="n">
        <f aca="false">CurrentPositions!A71</f>
        <v>0</v>
      </c>
      <c r="B76" s="0" t="n">
        <f aca="false">CurrentPositions!B71</f>
        <v>0</v>
      </c>
      <c r="C76" s="0" t="n">
        <f aca="false">CurrentPositions!C71</f>
        <v>0</v>
      </c>
      <c r="D76" s="0" t="n">
        <f aca="false">CurrentPositions!D71</f>
        <v>0</v>
      </c>
      <c r="E76" s="0" t="n">
        <f aca="false">CurrentPositions!E71</f>
        <v>0</v>
      </c>
      <c r="F76" s="0" t="n">
        <f aca="false">$B$4</f>
        <v>1.24</v>
      </c>
      <c r="G76" s="0" t="n">
        <f aca="false">IF(B76="BUY",(F76-E76)/Settings!$B$3,(E76-F76)/Settings!$B$3)</f>
        <v>-12400</v>
      </c>
      <c r="H76" s="0" t="n">
        <f aca="false">G76*D76*Settings!$B$4</f>
        <v>-0</v>
      </c>
      <c r="I76" s="0" t="n">
        <f aca="false">CurrentPositions!I71</f>
        <v>0</v>
      </c>
      <c r="J76" s="0" t="n">
        <f aca="false">CurrentPositions!J71</f>
        <v>0</v>
      </c>
    </row>
    <row r="77" customFormat="false" ht="13.8" hidden="false" customHeight="false" outlineLevel="0" collapsed="false">
      <c r="A77" s="0" t="n">
        <f aca="false">CurrentPositions!A72</f>
        <v>0</v>
      </c>
      <c r="B77" s="0" t="n">
        <f aca="false">CurrentPositions!B72</f>
        <v>0</v>
      </c>
      <c r="C77" s="0" t="n">
        <f aca="false">CurrentPositions!C72</f>
        <v>0</v>
      </c>
      <c r="D77" s="0" t="n">
        <f aca="false">CurrentPositions!D72</f>
        <v>0</v>
      </c>
      <c r="E77" s="0" t="n">
        <f aca="false">CurrentPositions!E72</f>
        <v>0</v>
      </c>
      <c r="F77" s="0" t="n">
        <f aca="false">$B$4</f>
        <v>1.24</v>
      </c>
      <c r="G77" s="0" t="n">
        <f aca="false">IF(B77="BUY",(F77-E77)/Settings!$B$3,(E77-F77)/Settings!$B$3)</f>
        <v>-12400</v>
      </c>
      <c r="H77" s="0" t="n">
        <f aca="false">G77*D77*Settings!$B$4</f>
        <v>-0</v>
      </c>
      <c r="I77" s="0" t="n">
        <f aca="false">CurrentPositions!I72</f>
        <v>0</v>
      </c>
      <c r="J77" s="0" t="n">
        <f aca="false">CurrentPositions!J72</f>
        <v>0</v>
      </c>
    </row>
    <row r="78" customFormat="false" ht="13.8" hidden="false" customHeight="false" outlineLevel="0" collapsed="false">
      <c r="A78" s="0" t="n">
        <f aca="false">CurrentPositions!A73</f>
        <v>0</v>
      </c>
      <c r="B78" s="0" t="n">
        <f aca="false">CurrentPositions!B73</f>
        <v>0</v>
      </c>
      <c r="C78" s="0" t="n">
        <f aca="false">CurrentPositions!C73</f>
        <v>0</v>
      </c>
      <c r="D78" s="0" t="n">
        <f aca="false">CurrentPositions!D73</f>
        <v>0</v>
      </c>
      <c r="E78" s="0" t="n">
        <f aca="false">CurrentPositions!E73</f>
        <v>0</v>
      </c>
      <c r="F78" s="0" t="n">
        <f aca="false">$B$4</f>
        <v>1.24</v>
      </c>
      <c r="G78" s="0" t="n">
        <f aca="false">IF(B78="BUY",(F78-E78)/Settings!$B$3,(E78-F78)/Settings!$B$3)</f>
        <v>-12400</v>
      </c>
      <c r="H78" s="0" t="n">
        <f aca="false">G78*D78*Settings!$B$4</f>
        <v>-0</v>
      </c>
      <c r="I78" s="0" t="n">
        <f aca="false">CurrentPositions!I73</f>
        <v>0</v>
      </c>
      <c r="J78" s="0" t="n">
        <f aca="false">CurrentPositions!J73</f>
        <v>0</v>
      </c>
    </row>
    <row r="79" customFormat="false" ht="13.8" hidden="false" customHeight="false" outlineLevel="0" collapsed="false">
      <c r="A79" s="0" t="n">
        <f aca="false">CurrentPositions!A74</f>
        <v>0</v>
      </c>
      <c r="B79" s="0" t="n">
        <f aca="false">CurrentPositions!B74</f>
        <v>0</v>
      </c>
      <c r="C79" s="0" t="n">
        <f aca="false">CurrentPositions!C74</f>
        <v>0</v>
      </c>
      <c r="D79" s="0" t="n">
        <f aca="false">CurrentPositions!D74</f>
        <v>0</v>
      </c>
      <c r="E79" s="0" t="n">
        <f aca="false">CurrentPositions!E74</f>
        <v>0</v>
      </c>
      <c r="F79" s="0" t="n">
        <f aca="false">$B$4</f>
        <v>1.24</v>
      </c>
      <c r="G79" s="0" t="n">
        <f aca="false">IF(B79="BUY",(F79-E79)/Settings!$B$3,(E79-F79)/Settings!$B$3)</f>
        <v>-12400</v>
      </c>
      <c r="H79" s="0" t="n">
        <f aca="false">G79*D79*Settings!$B$4</f>
        <v>-0</v>
      </c>
      <c r="I79" s="0" t="n">
        <f aca="false">CurrentPositions!I74</f>
        <v>0</v>
      </c>
      <c r="J79" s="0" t="n">
        <f aca="false">CurrentPositions!J74</f>
        <v>0</v>
      </c>
    </row>
    <row r="80" customFormat="false" ht="13.8" hidden="false" customHeight="false" outlineLevel="0" collapsed="false">
      <c r="A80" s="0" t="n">
        <f aca="false">CurrentPositions!A75</f>
        <v>0</v>
      </c>
      <c r="B80" s="0" t="n">
        <f aca="false">CurrentPositions!B75</f>
        <v>0</v>
      </c>
      <c r="C80" s="0" t="n">
        <f aca="false">CurrentPositions!C75</f>
        <v>0</v>
      </c>
      <c r="D80" s="0" t="n">
        <f aca="false">CurrentPositions!D75</f>
        <v>0</v>
      </c>
      <c r="E80" s="0" t="n">
        <f aca="false">CurrentPositions!E75</f>
        <v>0</v>
      </c>
      <c r="F80" s="0" t="n">
        <f aca="false">$B$4</f>
        <v>1.24</v>
      </c>
      <c r="G80" s="0" t="n">
        <f aca="false">IF(B80="BUY",(F80-E80)/Settings!$B$3,(E80-F80)/Settings!$B$3)</f>
        <v>-12400</v>
      </c>
      <c r="H80" s="0" t="n">
        <f aca="false">G80*D80*Settings!$B$4</f>
        <v>-0</v>
      </c>
      <c r="I80" s="0" t="n">
        <f aca="false">CurrentPositions!I75</f>
        <v>0</v>
      </c>
      <c r="J80" s="0" t="n">
        <f aca="false">CurrentPositions!J75</f>
        <v>0</v>
      </c>
    </row>
    <row r="81" customFormat="false" ht="13.8" hidden="false" customHeight="false" outlineLevel="0" collapsed="false">
      <c r="A81" s="0" t="n">
        <f aca="false">CurrentPositions!A76</f>
        <v>0</v>
      </c>
      <c r="B81" s="0" t="n">
        <f aca="false">CurrentPositions!B76</f>
        <v>0</v>
      </c>
      <c r="C81" s="0" t="n">
        <f aca="false">CurrentPositions!C76</f>
        <v>0</v>
      </c>
      <c r="D81" s="0" t="n">
        <f aca="false">CurrentPositions!D76</f>
        <v>0</v>
      </c>
      <c r="E81" s="0" t="n">
        <f aca="false">CurrentPositions!E76</f>
        <v>0</v>
      </c>
      <c r="F81" s="0" t="n">
        <f aca="false">$B$4</f>
        <v>1.24</v>
      </c>
      <c r="G81" s="0" t="n">
        <f aca="false">IF(B81="BUY",(F81-E81)/Settings!$B$3,(E81-F81)/Settings!$B$3)</f>
        <v>-12400</v>
      </c>
      <c r="H81" s="0" t="n">
        <f aca="false">G81*D81*Settings!$B$4</f>
        <v>-0</v>
      </c>
      <c r="I81" s="0" t="n">
        <f aca="false">CurrentPositions!I76</f>
        <v>0</v>
      </c>
      <c r="J81" s="0" t="n">
        <f aca="false">CurrentPositions!J76</f>
        <v>0</v>
      </c>
    </row>
    <row r="82" customFormat="false" ht="13.8" hidden="false" customHeight="false" outlineLevel="0" collapsed="false">
      <c r="A82" s="0" t="n">
        <f aca="false">CurrentPositions!A77</f>
        <v>0</v>
      </c>
      <c r="B82" s="0" t="n">
        <f aca="false">CurrentPositions!B77</f>
        <v>0</v>
      </c>
      <c r="C82" s="0" t="n">
        <f aca="false">CurrentPositions!C77</f>
        <v>0</v>
      </c>
      <c r="D82" s="0" t="n">
        <f aca="false">CurrentPositions!D77</f>
        <v>0</v>
      </c>
      <c r="E82" s="0" t="n">
        <f aca="false">CurrentPositions!E77</f>
        <v>0</v>
      </c>
      <c r="F82" s="0" t="n">
        <f aca="false">$B$4</f>
        <v>1.24</v>
      </c>
      <c r="G82" s="0" t="n">
        <f aca="false">IF(B82="BUY",(F82-E82)/Settings!$B$3,(E82-F82)/Settings!$B$3)</f>
        <v>-12400</v>
      </c>
      <c r="H82" s="0" t="n">
        <f aca="false">G82*D82*Settings!$B$4</f>
        <v>-0</v>
      </c>
      <c r="I82" s="0" t="n">
        <f aca="false">CurrentPositions!I77</f>
        <v>0</v>
      </c>
      <c r="J82" s="0" t="n">
        <f aca="false">CurrentPositions!J77</f>
        <v>0</v>
      </c>
    </row>
    <row r="83" customFormat="false" ht="13.8" hidden="false" customHeight="false" outlineLevel="0" collapsed="false">
      <c r="A83" s="0" t="n">
        <f aca="false">CurrentPositions!A78</f>
        <v>0</v>
      </c>
      <c r="B83" s="0" t="n">
        <f aca="false">CurrentPositions!B78</f>
        <v>0</v>
      </c>
      <c r="C83" s="0" t="n">
        <f aca="false">CurrentPositions!C78</f>
        <v>0</v>
      </c>
      <c r="D83" s="0" t="n">
        <f aca="false">CurrentPositions!D78</f>
        <v>0</v>
      </c>
      <c r="E83" s="0" t="n">
        <f aca="false">CurrentPositions!E78</f>
        <v>0</v>
      </c>
      <c r="F83" s="0" t="n">
        <f aca="false">$B$4</f>
        <v>1.24</v>
      </c>
      <c r="G83" s="0" t="n">
        <f aca="false">IF(B83="BUY",(F83-E83)/Settings!$B$3,(E83-F83)/Settings!$B$3)</f>
        <v>-12400</v>
      </c>
      <c r="H83" s="0" t="n">
        <f aca="false">G83*D83*Settings!$B$4</f>
        <v>-0</v>
      </c>
      <c r="I83" s="0" t="n">
        <f aca="false">CurrentPositions!I78</f>
        <v>0</v>
      </c>
      <c r="J83" s="0" t="n">
        <f aca="false">CurrentPositions!J78</f>
        <v>0</v>
      </c>
    </row>
    <row r="84" customFormat="false" ht="13.8" hidden="false" customHeight="false" outlineLevel="0" collapsed="false">
      <c r="A84" s="0" t="n">
        <f aca="false">CurrentPositions!A79</f>
        <v>0</v>
      </c>
      <c r="B84" s="0" t="n">
        <f aca="false">CurrentPositions!B79</f>
        <v>0</v>
      </c>
      <c r="C84" s="0" t="n">
        <f aca="false">CurrentPositions!C79</f>
        <v>0</v>
      </c>
      <c r="D84" s="0" t="n">
        <f aca="false">CurrentPositions!D79</f>
        <v>0</v>
      </c>
      <c r="E84" s="0" t="n">
        <f aca="false">CurrentPositions!E79</f>
        <v>0</v>
      </c>
      <c r="F84" s="0" t="n">
        <f aca="false">$B$4</f>
        <v>1.24</v>
      </c>
      <c r="G84" s="0" t="n">
        <f aca="false">IF(B84="BUY",(F84-E84)/Settings!$B$3,(E84-F84)/Settings!$B$3)</f>
        <v>-12400</v>
      </c>
      <c r="H84" s="0" t="n">
        <f aca="false">G84*D84*Settings!$B$4</f>
        <v>-0</v>
      </c>
      <c r="I84" s="0" t="n">
        <f aca="false">CurrentPositions!I79</f>
        <v>0</v>
      </c>
      <c r="J84" s="0" t="n">
        <f aca="false">CurrentPositions!J79</f>
        <v>0</v>
      </c>
    </row>
    <row r="85" customFormat="false" ht="13.8" hidden="false" customHeight="false" outlineLevel="0" collapsed="false">
      <c r="A85" s="0" t="n">
        <f aca="false">CurrentPositions!A80</f>
        <v>0</v>
      </c>
      <c r="B85" s="0" t="n">
        <f aca="false">CurrentPositions!B80</f>
        <v>0</v>
      </c>
      <c r="C85" s="0" t="n">
        <f aca="false">CurrentPositions!C80</f>
        <v>0</v>
      </c>
      <c r="D85" s="0" t="n">
        <f aca="false">CurrentPositions!D80</f>
        <v>0</v>
      </c>
      <c r="E85" s="0" t="n">
        <f aca="false">CurrentPositions!E80</f>
        <v>0</v>
      </c>
      <c r="F85" s="0" t="n">
        <f aca="false">$B$4</f>
        <v>1.24</v>
      </c>
      <c r="G85" s="0" t="n">
        <f aca="false">IF(B85="BUY",(F85-E85)/Settings!$B$3,(E85-F85)/Settings!$B$3)</f>
        <v>-12400</v>
      </c>
      <c r="H85" s="0" t="n">
        <f aca="false">G85*D85*Settings!$B$4</f>
        <v>-0</v>
      </c>
      <c r="I85" s="0" t="n">
        <f aca="false">CurrentPositions!I80</f>
        <v>0</v>
      </c>
      <c r="J85" s="0" t="n">
        <f aca="false">CurrentPositions!J80</f>
        <v>0</v>
      </c>
    </row>
    <row r="86" customFormat="false" ht="13.8" hidden="false" customHeight="false" outlineLevel="0" collapsed="false">
      <c r="A86" s="0" t="n">
        <f aca="false">CurrentPositions!A81</f>
        <v>0</v>
      </c>
      <c r="B86" s="0" t="n">
        <f aca="false">CurrentPositions!B81</f>
        <v>0</v>
      </c>
      <c r="C86" s="0" t="n">
        <f aca="false">CurrentPositions!C81</f>
        <v>0</v>
      </c>
      <c r="D86" s="0" t="n">
        <f aca="false">CurrentPositions!D81</f>
        <v>0</v>
      </c>
      <c r="E86" s="0" t="n">
        <f aca="false">CurrentPositions!E81</f>
        <v>0</v>
      </c>
      <c r="F86" s="0" t="n">
        <f aca="false">$B$4</f>
        <v>1.24</v>
      </c>
      <c r="G86" s="0" t="n">
        <f aca="false">IF(B86="BUY",(F86-E86)/Settings!$B$3,(E86-F86)/Settings!$B$3)</f>
        <v>-12400</v>
      </c>
      <c r="H86" s="0" t="n">
        <f aca="false">G86*D86*Settings!$B$4</f>
        <v>-0</v>
      </c>
      <c r="I86" s="0" t="n">
        <f aca="false">CurrentPositions!I81</f>
        <v>0</v>
      </c>
      <c r="J86" s="0" t="n">
        <f aca="false">CurrentPositions!J81</f>
        <v>0</v>
      </c>
    </row>
    <row r="87" customFormat="false" ht="13.8" hidden="false" customHeight="false" outlineLevel="0" collapsed="false">
      <c r="A87" s="0" t="n">
        <f aca="false">CurrentPositions!A82</f>
        <v>0</v>
      </c>
      <c r="B87" s="0" t="n">
        <f aca="false">CurrentPositions!B82</f>
        <v>0</v>
      </c>
      <c r="C87" s="0" t="n">
        <f aca="false">CurrentPositions!C82</f>
        <v>0</v>
      </c>
      <c r="D87" s="0" t="n">
        <f aca="false">CurrentPositions!D82</f>
        <v>0</v>
      </c>
      <c r="E87" s="0" t="n">
        <f aca="false">CurrentPositions!E82</f>
        <v>0</v>
      </c>
      <c r="F87" s="0" t="n">
        <f aca="false">$B$4</f>
        <v>1.24</v>
      </c>
      <c r="G87" s="0" t="n">
        <f aca="false">IF(B87="BUY",(F87-E87)/Settings!$B$3,(E87-F87)/Settings!$B$3)</f>
        <v>-12400</v>
      </c>
      <c r="H87" s="0" t="n">
        <f aca="false">G87*D87*Settings!$B$4</f>
        <v>-0</v>
      </c>
      <c r="I87" s="0" t="n">
        <f aca="false">CurrentPositions!I82</f>
        <v>0</v>
      </c>
      <c r="J87" s="0" t="n">
        <f aca="false">CurrentPositions!J82</f>
        <v>0</v>
      </c>
    </row>
    <row r="88" customFormat="false" ht="13.8" hidden="false" customHeight="false" outlineLevel="0" collapsed="false">
      <c r="A88" s="0" t="n">
        <f aca="false">CurrentPositions!A83</f>
        <v>0</v>
      </c>
      <c r="B88" s="0" t="n">
        <f aca="false">CurrentPositions!B83</f>
        <v>0</v>
      </c>
      <c r="C88" s="0" t="n">
        <f aca="false">CurrentPositions!C83</f>
        <v>0</v>
      </c>
      <c r="D88" s="0" t="n">
        <f aca="false">CurrentPositions!D83</f>
        <v>0</v>
      </c>
      <c r="E88" s="0" t="n">
        <f aca="false">CurrentPositions!E83</f>
        <v>0</v>
      </c>
      <c r="F88" s="0" t="n">
        <f aca="false">$B$4</f>
        <v>1.24</v>
      </c>
      <c r="G88" s="0" t="n">
        <f aca="false">IF(B88="BUY",(F88-E88)/Settings!$B$3,(E88-F88)/Settings!$B$3)</f>
        <v>-12400</v>
      </c>
      <c r="H88" s="0" t="n">
        <f aca="false">G88*D88*Settings!$B$4</f>
        <v>-0</v>
      </c>
      <c r="I88" s="0" t="n">
        <f aca="false">CurrentPositions!I83</f>
        <v>0</v>
      </c>
      <c r="J88" s="0" t="n">
        <f aca="false">CurrentPositions!J83</f>
        <v>0</v>
      </c>
    </row>
    <row r="89" customFormat="false" ht="13.8" hidden="false" customHeight="false" outlineLevel="0" collapsed="false">
      <c r="A89" s="0" t="n">
        <f aca="false">CurrentPositions!A84</f>
        <v>0</v>
      </c>
      <c r="B89" s="0" t="n">
        <f aca="false">CurrentPositions!B84</f>
        <v>0</v>
      </c>
      <c r="C89" s="0" t="n">
        <f aca="false">CurrentPositions!C84</f>
        <v>0</v>
      </c>
      <c r="D89" s="0" t="n">
        <f aca="false">CurrentPositions!D84</f>
        <v>0</v>
      </c>
      <c r="E89" s="0" t="n">
        <f aca="false">CurrentPositions!E84</f>
        <v>0</v>
      </c>
      <c r="F89" s="0" t="n">
        <f aca="false">$B$4</f>
        <v>1.24</v>
      </c>
      <c r="G89" s="0" t="n">
        <f aca="false">IF(B89="BUY",(F89-E89)/Settings!$B$3,(E89-F89)/Settings!$B$3)</f>
        <v>-12400</v>
      </c>
      <c r="H89" s="0" t="n">
        <f aca="false">G89*D89*Settings!$B$4</f>
        <v>-0</v>
      </c>
      <c r="I89" s="0" t="n">
        <f aca="false">CurrentPositions!I84</f>
        <v>0</v>
      </c>
      <c r="J89" s="0" t="n">
        <f aca="false">CurrentPositions!J84</f>
        <v>0</v>
      </c>
    </row>
    <row r="90" customFormat="false" ht="13.8" hidden="false" customHeight="false" outlineLevel="0" collapsed="false">
      <c r="A90" s="0" t="n">
        <f aca="false">CurrentPositions!A85</f>
        <v>0</v>
      </c>
      <c r="B90" s="0" t="n">
        <f aca="false">CurrentPositions!B85</f>
        <v>0</v>
      </c>
      <c r="C90" s="0" t="n">
        <f aca="false">CurrentPositions!C85</f>
        <v>0</v>
      </c>
      <c r="D90" s="0" t="n">
        <f aca="false">CurrentPositions!D85</f>
        <v>0</v>
      </c>
      <c r="E90" s="0" t="n">
        <f aca="false">CurrentPositions!E85</f>
        <v>0</v>
      </c>
      <c r="F90" s="0" t="n">
        <f aca="false">$B$4</f>
        <v>1.24</v>
      </c>
      <c r="G90" s="0" t="n">
        <f aca="false">IF(B90="BUY",(F90-E90)/Settings!$B$3,(E90-F90)/Settings!$B$3)</f>
        <v>-12400</v>
      </c>
      <c r="H90" s="0" t="n">
        <f aca="false">G90*D90*Settings!$B$4</f>
        <v>-0</v>
      </c>
      <c r="I90" s="0" t="n">
        <f aca="false">CurrentPositions!I85</f>
        <v>0</v>
      </c>
      <c r="J90" s="0" t="n">
        <f aca="false">CurrentPositions!J85</f>
        <v>0</v>
      </c>
    </row>
    <row r="91" customFormat="false" ht="13.8" hidden="false" customHeight="false" outlineLevel="0" collapsed="false">
      <c r="A91" s="0" t="n">
        <f aca="false">CurrentPositions!A86</f>
        <v>0</v>
      </c>
      <c r="B91" s="0" t="n">
        <f aca="false">CurrentPositions!B86</f>
        <v>0</v>
      </c>
      <c r="C91" s="0" t="n">
        <f aca="false">CurrentPositions!C86</f>
        <v>0</v>
      </c>
      <c r="D91" s="0" t="n">
        <f aca="false">CurrentPositions!D86</f>
        <v>0</v>
      </c>
      <c r="E91" s="0" t="n">
        <f aca="false">CurrentPositions!E86</f>
        <v>0</v>
      </c>
      <c r="F91" s="0" t="n">
        <f aca="false">$B$4</f>
        <v>1.24</v>
      </c>
      <c r="G91" s="0" t="n">
        <f aca="false">IF(B91="BUY",(F91-E91)/Settings!$B$3,(E91-F91)/Settings!$B$3)</f>
        <v>-12400</v>
      </c>
      <c r="H91" s="0" t="n">
        <f aca="false">G91*D91*Settings!$B$4</f>
        <v>-0</v>
      </c>
      <c r="I91" s="0" t="n">
        <f aca="false">CurrentPositions!I86</f>
        <v>0</v>
      </c>
      <c r="J91" s="0" t="n">
        <f aca="false">CurrentPositions!J86</f>
        <v>0</v>
      </c>
    </row>
    <row r="92" customFormat="false" ht="13.8" hidden="false" customHeight="false" outlineLevel="0" collapsed="false">
      <c r="A92" s="0" t="n">
        <f aca="false">CurrentPositions!A87</f>
        <v>0</v>
      </c>
      <c r="B92" s="0" t="n">
        <f aca="false">CurrentPositions!B87</f>
        <v>0</v>
      </c>
      <c r="C92" s="0" t="n">
        <f aca="false">CurrentPositions!C87</f>
        <v>0</v>
      </c>
      <c r="D92" s="0" t="n">
        <f aca="false">CurrentPositions!D87</f>
        <v>0</v>
      </c>
      <c r="E92" s="0" t="n">
        <f aca="false">CurrentPositions!E87</f>
        <v>0</v>
      </c>
      <c r="F92" s="0" t="n">
        <f aca="false">$B$4</f>
        <v>1.24</v>
      </c>
      <c r="G92" s="0" t="n">
        <f aca="false">IF(B92="BUY",(F92-E92)/Settings!$B$3,(E92-F92)/Settings!$B$3)</f>
        <v>-12400</v>
      </c>
      <c r="H92" s="0" t="n">
        <f aca="false">G92*D92*Settings!$B$4</f>
        <v>-0</v>
      </c>
      <c r="I92" s="0" t="n">
        <f aca="false">CurrentPositions!I87</f>
        <v>0</v>
      </c>
      <c r="J92" s="0" t="n">
        <f aca="false">CurrentPositions!J87</f>
        <v>0</v>
      </c>
    </row>
    <row r="93" customFormat="false" ht="13.8" hidden="false" customHeight="false" outlineLevel="0" collapsed="false">
      <c r="A93" s="0" t="n">
        <f aca="false">CurrentPositions!A88</f>
        <v>0</v>
      </c>
      <c r="B93" s="0" t="n">
        <f aca="false">CurrentPositions!B88</f>
        <v>0</v>
      </c>
      <c r="C93" s="0" t="n">
        <f aca="false">CurrentPositions!C88</f>
        <v>0</v>
      </c>
      <c r="D93" s="0" t="n">
        <f aca="false">CurrentPositions!D88</f>
        <v>0</v>
      </c>
      <c r="E93" s="0" t="n">
        <f aca="false">CurrentPositions!E88</f>
        <v>0</v>
      </c>
      <c r="F93" s="0" t="n">
        <f aca="false">$B$4</f>
        <v>1.24</v>
      </c>
      <c r="G93" s="0" t="n">
        <f aca="false">IF(B93="BUY",(F93-E93)/Settings!$B$3,(E93-F93)/Settings!$B$3)</f>
        <v>-12400</v>
      </c>
      <c r="H93" s="0" t="n">
        <f aca="false">G93*D93*Settings!$B$4</f>
        <v>-0</v>
      </c>
      <c r="I93" s="0" t="n">
        <f aca="false">CurrentPositions!I88</f>
        <v>0</v>
      </c>
      <c r="J93" s="0" t="n">
        <f aca="false">CurrentPositions!J88</f>
        <v>0</v>
      </c>
    </row>
    <row r="94" customFormat="false" ht="13.8" hidden="false" customHeight="false" outlineLevel="0" collapsed="false">
      <c r="A94" s="0" t="n">
        <f aca="false">CurrentPositions!A89</f>
        <v>0</v>
      </c>
      <c r="B94" s="0" t="n">
        <f aca="false">CurrentPositions!B89</f>
        <v>0</v>
      </c>
      <c r="C94" s="0" t="n">
        <f aca="false">CurrentPositions!C89</f>
        <v>0</v>
      </c>
      <c r="D94" s="0" t="n">
        <f aca="false">CurrentPositions!D89</f>
        <v>0</v>
      </c>
      <c r="E94" s="0" t="n">
        <f aca="false">CurrentPositions!E89</f>
        <v>0</v>
      </c>
      <c r="F94" s="0" t="n">
        <f aca="false">$B$4</f>
        <v>1.24</v>
      </c>
      <c r="G94" s="0" t="n">
        <f aca="false">IF(B94="BUY",(F94-E94)/Settings!$B$3,(E94-F94)/Settings!$B$3)</f>
        <v>-12400</v>
      </c>
      <c r="H94" s="0" t="n">
        <f aca="false">G94*D94*Settings!$B$4</f>
        <v>-0</v>
      </c>
      <c r="I94" s="0" t="n">
        <f aca="false">CurrentPositions!I89</f>
        <v>0</v>
      </c>
      <c r="J94" s="0" t="n">
        <f aca="false">CurrentPositions!J89</f>
        <v>0</v>
      </c>
    </row>
    <row r="95" customFormat="false" ht="13.8" hidden="false" customHeight="false" outlineLevel="0" collapsed="false">
      <c r="A95" s="0" t="n">
        <f aca="false">CurrentPositions!A90</f>
        <v>0</v>
      </c>
      <c r="B95" s="0" t="n">
        <f aca="false">CurrentPositions!B90</f>
        <v>0</v>
      </c>
      <c r="C95" s="0" t="n">
        <f aca="false">CurrentPositions!C90</f>
        <v>0</v>
      </c>
      <c r="D95" s="0" t="n">
        <f aca="false">CurrentPositions!D90</f>
        <v>0</v>
      </c>
      <c r="E95" s="0" t="n">
        <f aca="false">CurrentPositions!E90</f>
        <v>0</v>
      </c>
      <c r="F95" s="0" t="n">
        <f aca="false">$B$4</f>
        <v>1.24</v>
      </c>
      <c r="G95" s="0" t="n">
        <f aca="false">IF(B95="BUY",(F95-E95)/Settings!$B$3,(E95-F95)/Settings!$B$3)</f>
        <v>-12400</v>
      </c>
      <c r="H95" s="0" t="n">
        <f aca="false">G95*D95*Settings!$B$4</f>
        <v>-0</v>
      </c>
      <c r="I95" s="0" t="n">
        <f aca="false">CurrentPositions!I90</f>
        <v>0</v>
      </c>
      <c r="J95" s="0" t="n">
        <f aca="false">CurrentPositions!J90</f>
        <v>0</v>
      </c>
    </row>
    <row r="96" customFormat="false" ht="13.8" hidden="false" customHeight="false" outlineLevel="0" collapsed="false">
      <c r="A96" s="0" t="n">
        <f aca="false">CurrentPositions!A91</f>
        <v>0</v>
      </c>
      <c r="B96" s="0" t="n">
        <f aca="false">CurrentPositions!B91</f>
        <v>0</v>
      </c>
      <c r="C96" s="0" t="n">
        <f aca="false">CurrentPositions!C91</f>
        <v>0</v>
      </c>
      <c r="D96" s="0" t="n">
        <f aca="false">CurrentPositions!D91</f>
        <v>0</v>
      </c>
      <c r="E96" s="0" t="n">
        <f aca="false">CurrentPositions!E91</f>
        <v>0</v>
      </c>
      <c r="F96" s="0" t="n">
        <f aca="false">$B$4</f>
        <v>1.24</v>
      </c>
      <c r="G96" s="0" t="n">
        <f aca="false">IF(B96="BUY",(F96-E96)/Settings!$B$3,(E96-F96)/Settings!$B$3)</f>
        <v>-12400</v>
      </c>
      <c r="H96" s="0" t="n">
        <f aca="false">G96*D96*Settings!$B$4</f>
        <v>-0</v>
      </c>
      <c r="I96" s="0" t="n">
        <f aca="false">CurrentPositions!I91</f>
        <v>0</v>
      </c>
      <c r="J96" s="0" t="n">
        <f aca="false">CurrentPositions!J91</f>
        <v>0</v>
      </c>
    </row>
    <row r="97" customFormat="false" ht="13.8" hidden="false" customHeight="false" outlineLevel="0" collapsed="false">
      <c r="A97" s="0" t="n">
        <f aca="false">CurrentPositions!A92</f>
        <v>0</v>
      </c>
      <c r="B97" s="0" t="n">
        <f aca="false">CurrentPositions!B92</f>
        <v>0</v>
      </c>
      <c r="C97" s="0" t="n">
        <f aca="false">CurrentPositions!C92</f>
        <v>0</v>
      </c>
      <c r="D97" s="0" t="n">
        <f aca="false">CurrentPositions!D92</f>
        <v>0</v>
      </c>
      <c r="E97" s="0" t="n">
        <f aca="false">CurrentPositions!E92</f>
        <v>0</v>
      </c>
      <c r="F97" s="0" t="n">
        <f aca="false">$B$4</f>
        <v>1.24</v>
      </c>
      <c r="G97" s="0" t="n">
        <f aca="false">IF(B97="BUY",(F97-E97)/Settings!$B$3,(E97-F97)/Settings!$B$3)</f>
        <v>-12400</v>
      </c>
      <c r="H97" s="0" t="n">
        <f aca="false">G97*D97*Settings!$B$4</f>
        <v>-0</v>
      </c>
      <c r="I97" s="0" t="n">
        <f aca="false">CurrentPositions!I92</f>
        <v>0</v>
      </c>
      <c r="J97" s="0" t="n">
        <f aca="false">CurrentPositions!J92</f>
        <v>0</v>
      </c>
    </row>
    <row r="98" customFormat="false" ht="13.8" hidden="false" customHeight="false" outlineLevel="0" collapsed="false">
      <c r="A98" s="0" t="n">
        <f aca="false">CurrentPositions!A93</f>
        <v>0</v>
      </c>
      <c r="B98" s="0" t="n">
        <f aca="false">CurrentPositions!B93</f>
        <v>0</v>
      </c>
      <c r="C98" s="0" t="n">
        <f aca="false">CurrentPositions!C93</f>
        <v>0</v>
      </c>
      <c r="D98" s="0" t="n">
        <f aca="false">CurrentPositions!D93</f>
        <v>0</v>
      </c>
      <c r="E98" s="0" t="n">
        <f aca="false">CurrentPositions!E93</f>
        <v>0</v>
      </c>
      <c r="F98" s="0" t="n">
        <f aca="false">$B$4</f>
        <v>1.24</v>
      </c>
      <c r="G98" s="0" t="n">
        <f aca="false">IF(B98="BUY",(F98-E98)/Settings!$B$3,(E98-F98)/Settings!$B$3)</f>
        <v>-12400</v>
      </c>
      <c r="H98" s="0" t="n">
        <f aca="false">G98*D98*Settings!$B$4</f>
        <v>-0</v>
      </c>
      <c r="I98" s="0" t="n">
        <f aca="false">CurrentPositions!I93</f>
        <v>0</v>
      </c>
      <c r="J98" s="0" t="n">
        <f aca="false">CurrentPositions!J93</f>
        <v>0</v>
      </c>
    </row>
    <row r="99" customFormat="false" ht="13.8" hidden="false" customHeight="false" outlineLevel="0" collapsed="false">
      <c r="A99" s="0" t="n">
        <f aca="false">CurrentPositions!A94</f>
        <v>0</v>
      </c>
      <c r="B99" s="0" t="n">
        <f aca="false">CurrentPositions!B94</f>
        <v>0</v>
      </c>
      <c r="C99" s="0" t="n">
        <f aca="false">CurrentPositions!C94</f>
        <v>0</v>
      </c>
      <c r="D99" s="0" t="n">
        <f aca="false">CurrentPositions!D94</f>
        <v>0</v>
      </c>
      <c r="E99" s="0" t="n">
        <f aca="false">CurrentPositions!E94</f>
        <v>0</v>
      </c>
      <c r="F99" s="0" t="n">
        <f aca="false">$B$4</f>
        <v>1.24</v>
      </c>
      <c r="G99" s="0" t="n">
        <f aca="false">IF(B99="BUY",(F99-E99)/Settings!$B$3,(E99-F99)/Settings!$B$3)</f>
        <v>-12400</v>
      </c>
      <c r="H99" s="0" t="n">
        <f aca="false">G99*D99*Settings!$B$4</f>
        <v>-0</v>
      </c>
      <c r="I99" s="0" t="n">
        <f aca="false">CurrentPositions!I94</f>
        <v>0</v>
      </c>
      <c r="J99" s="0" t="n">
        <f aca="false">CurrentPositions!J94</f>
        <v>0</v>
      </c>
    </row>
    <row r="100" customFormat="false" ht="13.8" hidden="false" customHeight="false" outlineLevel="0" collapsed="false">
      <c r="A100" s="0" t="n">
        <f aca="false">CurrentPositions!A95</f>
        <v>0</v>
      </c>
      <c r="B100" s="0" t="n">
        <f aca="false">CurrentPositions!B95</f>
        <v>0</v>
      </c>
      <c r="C100" s="0" t="n">
        <f aca="false">CurrentPositions!C95</f>
        <v>0</v>
      </c>
      <c r="D100" s="0" t="n">
        <f aca="false">CurrentPositions!D95</f>
        <v>0</v>
      </c>
      <c r="E100" s="0" t="n">
        <f aca="false">CurrentPositions!E95</f>
        <v>0</v>
      </c>
      <c r="F100" s="0" t="n">
        <f aca="false">$B$4</f>
        <v>1.24</v>
      </c>
      <c r="G100" s="0" t="n">
        <f aca="false">IF(B100="BUY",(F100-E100)/Settings!$B$3,(E100-F100)/Settings!$B$3)</f>
        <v>-12400</v>
      </c>
      <c r="H100" s="0" t="n">
        <f aca="false">G100*D100*Settings!$B$4</f>
        <v>-0</v>
      </c>
      <c r="I100" s="0" t="n">
        <f aca="false">CurrentPositions!I95</f>
        <v>0</v>
      </c>
      <c r="J100" s="0" t="n">
        <f aca="false">CurrentPositions!J95</f>
        <v>0</v>
      </c>
    </row>
    <row r="101" customFormat="false" ht="13.8" hidden="false" customHeight="false" outlineLevel="0" collapsed="false">
      <c r="A101" s="0" t="n">
        <f aca="false">CurrentPositions!A96</f>
        <v>0</v>
      </c>
      <c r="B101" s="0" t="n">
        <f aca="false">CurrentPositions!B96</f>
        <v>0</v>
      </c>
      <c r="C101" s="0" t="n">
        <f aca="false">CurrentPositions!C96</f>
        <v>0</v>
      </c>
      <c r="D101" s="0" t="n">
        <f aca="false">CurrentPositions!D96</f>
        <v>0</v>
      </c>
      <c r="E101" s="0" t="n">
        <f aca="false">CurrentPositions!E96</f>
        <v>0</v>
      </c>
      <c r="F101" s="0" t="n">
        <f aca="false">$B$4</f>
        <v>1.24</v>
      </c>
      <c r="G101" s="0" t="n">
        <f aca="false">IF(B101="BUY",(F101-E101)/Settings!$B$3,(E101-F101)/Settings!$B$3)</f>
        <v>-12400</v>
      </c>
      <c r="H101" s="0" t="n">
        <f aca="false">G101*D101*Settings!$B$4</f>
        <v>-0</v>
      </c>
      <c r="I101" s="0" t="n">
        <f aca="false">CurrentPositions!I96</f>
        <v>0</v>
      </c>
      <c r="J101" s="0" t="n">
        <f aca="false">CurrentPositions!J96</f>
        <v>0</v>
      </c>
    </row>
    <row r="102" customFormat="false" ht="13.8" hidden="false" customHeight="false" outlineLevel="0" collapsed="false">
      <c r="A102" s="0" t="n">
        <f aca="false">CurrentPositions!A97</f>
        <v>0</v>
      </c>
      <c r="B102" s="0" t="n">
        <f aca="false">CurrentPositions!B97</f>
        <v>0</v>
      </c>
      <c r="C102" s="0" t="n">
        <f aca="false">CurrentPositions!C97</f>
        <v>0</v>
      </c>
      <c r="D102" s="0" t="n">
        <f aca="false">CurrentPositions!D97</f>
        <v>0</v>
      </c>
      <c r="E102" s="0" t="n">
        <f aca="false">CurrentPositions!E97</f>
        <v>0</v>
      </c>
      <c r="F102" s="0" t="n">
        <f aca="false">$B$4</f>
        <v>1.24</v>
      </c>
      <c r="G102" s="0" t="n">
        <f aca="false">IF(B102="BUY",(F102-E102)/Settings!$B$3,(E102-F102)/Settings!$B$3)</f>
        <v>-12400</v>
      </c>
      <c r="H102" s="0" t="n">
        <f aca="false">G102*D102*Settings!$B$4</f>
        <v>-0</v>
      </c>
      <c r="I102" s="0" t="n">
        <f aca="false">CurrentPositions!I97</f>
        <v>0</v>
      </c>
      <c r="J102" s="0" t="n">
        <f aca="false">CurrentPositions!J97</f>
        <v>0</v>
      </c>
    </row>
    <row r="103" customFormat="false" ht="13.8" hidden="false" customHeight="false" outlineLevel="0" collapsed="false">
      <c r="A103" s="0" t="n">
        <f aca="false">CurrentPositions!A98</f>
        <v>0</v>
      </c>
      <c r="B103" s="0" t="n">
        <f aca="false">CurrentPositions!B98</f>
        <v>0</v>
      </c>
      <c r="C103" s="0" t="n">
        <f aca="false">CurrentPositions!C98</f>
        <v>0</v>
      </c>
      <c r="D103" s="0" t="n">
        <f aca="false">CurrentPositions!D98</f>
        <v>0</v>
      </c>
      <c r="E103" s="0" t="n">
        <f aca="false">CurrentPositions!E98</f>
        <v>0</v>
      </c>
      <c r="F103" s="0" t="n">
        <f aca="false">$B$4</f>
        <v>1.24</v>
      </c>
      <c r="G103" s="0" t="n">
        <f aca="false">IF(B103="BUY",(F103-E103)/Settings!$B$3,(E103-F103)/Settings!$B$3)</f>
        <v>-12400</v>
      </c>
      <c r="H103" s="0" t="n">
        <f aca="false">G103*D103*Settings!$B$4</f>
        <v>-0</v>
      </c>
      <c r="I103" s="0" t="n">
        <f aca="false">CurrentPositions!I98</f>
        <v>0</v>
      </c>
      <c r="J103" s="0" t="n">
        <f aca="false">CurrentPositions!J98</f>
        <v>0</v>
      </c>
    </row>
    <row r="104" customFormat="false" ht="13.8" hidden="false" customHeight="false" outlineLevel="0" collapsed="false">
      <c r="A104" s="0" t="n">
        <f aca="false">CurrentPositions!A99</f>
        <v>0</v>
      </c>
      <c r="B104" s="0" t="n">
        <f aca="false">CurrentPositions!B99</f>
        <v>0</v>
      </c>
      <c r="C104" s="0" t="n">
        <f aca="false">CurrentPositions!C99</f>
        <v>0</v>
      </c>
      <c r="D104" s="0" t="n">
        <f aca="false">CurrentPositions!D99</f>
        <v>0</v>
      </c>
      <c r="E104" s="0" t="n">
        <f aca="false">CurrentPositions!E99</f>
        <v>0</v>
      </c>
      <c r="F104" s="0" t="n">
        <f aca="false">$B$4</f>
        <v>1.24</v>
      </c>
      <c r="G104" s="0" t="n">
        <f aca="false">IF(B104="BUY",(F104-E104)/Settings!$B$3,(E104-F104)/Settings!$B$3)</f>
        <v>-12400</v>
      </c>
      <c r="H104" s="0" t="n">
        <f aca="false">G104*D104*Settings!$B$4</f>
        <v>-0</v>
      </c>
      <c r="I104" s="0" t="n">
        <f aca="false">CurrentPositions!I99</f>
        <v>0</v>
      </c>
      <c r="J104" s="0" t="n">
        <f aca="false">CurrentPositions!J99</f>
        <v>0</v>
      </c>
    </row>
    <row r="105" customFormat="false" ht="13.8" hidden="false" customHeight="false" outlineLevel="0" collapsed="false">
      <c r="A105" s="0" t="n">
        <f aca="false">CurrentPositions!A100</f>
        <v>0</v>
      </c>
      <c r="B105" s="0" t="n">
        <f aca="false">CurrentPositions!B100</f>
        <v>0</v>
      </c>
      <c r="C105" s="0" t="n">
        <f aca="false">CurrentPositions!C100</f>
        <v>0</v>
      </c>
      <c r="D105" s="0" t="n">
        <f aca="false">CurrentPositions!D100</f>
        <v>0</v>
      </c>
      <c r="E105" s="0" t="n">
        <f aca="false">CurrentPositions!E100</f>
        <v>0</v>
      </c>
      <c r="F105" s="0" t="n">
        <f aca="false">$B$4</f>
        <v>1.24</v>
      </c>
      <c r="G105" s="0" t="n">
        <f aca="false">IF(B105="BUY",(F105-E105)/Settings!$B$3,(E105-F105)/Settings!$B$3)</f>
        <v>-12400</v>
      </c>
      <c r="H105" s="0" t="n">
        <f aca="false">G105*D105*Settings!$B$4</f>
        <v>-0</v>
      </c>
      <c r="I105" s="0" t="n">
        <f aca="false">CurrentPositions!I100</f>
        <v>0</v>
      </c>
      <c r="J105" s="0" t="n">
        <f aca="false">CurrentPositions!J100</f>
        <v>0</v>
      </c>
    </row>
    <row r="106" customFormat="false" ht="13.8" hidden="false" customHeight="false" outlineLevel="0" collapsed="false">
      <c r="A106" s="0" t="n">
        <f aca="false">CurrentPositions!A101</f>
        <v>0</v>
      </c>
      <c r="B106" s="0" t="n">
        <f aca="false">CurrentPositions!B101</f>
        <v>0</v>
      </c>
      <c r="C106" s="0" t="n">
        <f aca="false">CurrentPositions!C101</f>
        <v>0</v>
      </c>
      <c r="D106" s="0" t="n">
        <f aca="false">CurrentPositions!D101</f>
        <v>0</v>
      </c>
      <c r="E106" s="0" t="n">
        <f aca="false">CurrentPositions!E101</f>
        <v>0</v>
      </c>
      <c r="F106" s="0" t="n">
        <f aca="false">$B$4</f>
        <v>1.24</v>
      </c>
      <c r="G106" s="0" t="n">
        <f aca="false">IF(B106="BUY",(F106-E106)/Settings!$B$3,(E106-F106)/Settings!$B$3)</f>
        <v>-12400</v>
      </c>
      <c r="H106" s="0" t="n">
        <f aca="false">G106*D106*Settings!$B$4</f>
        <v>-0</v>
      </c>
      <c r="I106" s="0" t="n">
        <f aca="false">CurrentPositions!I101</f>
        <v>0</v>
      </c>
      <c r="J106" s="0" t="n">
        <f aca="false">CurrentPositions!J101</f>
        <v>0</v>
      </c>
    </row>
    <row r="107" customFormat="false" ht="13.8" hidden="false" customHeight="false" outlineLevel="0" collapsed="false">
      <c r="A107" s="0" t="n">
        <f aca="false">CurrentPositions!A102</f>
        <v>0</v>
      </c>
      <c r="B107" s="0" t="n">
        <f aca="false">CurrentPositions!B102</f>
        <v>0</v>
      </c>
      <c r="C107" s="0" t="n">
        <f aca="false">CurrentPositions!C102</f>
        <v>0</v>
      </c>
      <c r="D107" s="0" t="n">
        <f aca="false">CurrentPositions!D102</f>
        <v>0</v>
      </c>
      <c r="E107" s="0" t="n">
        <f aca="false">CurrentPositions!E102</f>
        <v>0</v>
      </c>
      <c r="F107" s="0" t="n">
        <f aca="false">$B$4</f>
        <v>1.24</v>
      </c>
      <c r="G107" s="0" t="n">
        <f aca="false">IF(B107="BUY",(F107-E107)/Settings!$B$3,(E107-F107)/Settings!$B$3)</f>
        <v>-12400</v>
      </c>
      <c r="H107" s="0" t="n">
        <f aca="false">G107*D107*Settings!$B$4</f>
        <v>-0</v>
      </c>
      <c r="I107" s="0" t="n">
        <f aca="false">CurrentPositions!I102</f>
        <v>0</v>
      </c>
      <c r="J107" s="0" t="n">
        <f aca="false">CurrentPositions!J102</f>
        <v>0</v>
      </c>
    </row>
    <row r="108" customFormat="false" ht="13.8" hidden="false" customHeight="false" outlineLevel="0" collapsed="false">
      <c r="A108" s="0" t="n">
        <f aca="false">CurrentPositions!A103</f>
        <v>0</v>
      </c>
      <c r="B108" s="0" t="n">
        <f aca="false">CurrentPositions!B103</f>
        <v>0</v>
      </c>
      <c r="C108" s="0" t="n">
        <f aca="false">CurrentPositions!C103</f>
        <v>0</v>
      </c>
      <c r="D108" s="0" t="n">
        <f aca="false">CurrentPositions!D103</f>
        <v>0</v>
      </c>
      <c r="E108" s="0" t="n">
        <f aca="false">CurrentPositions!E103</f>
        <v>0</v>
      </c>
      <c r="F108" s="0" t="n">
        <f aca="false">$B$4</f>
        <v>1.24</v>
      </c>
      <c r="G108" s="0" t="n">
        <f aca="false">IF(B108="BUY",(F108-E108)/Settings!$B$3,(E108-F108)/Settings!$B$3)</f>
        <v>-12400</v>
      </c>
      <c r="H108" s="0" t="n">
        <f aca="false">G108*D108*Settings!$B$4</f>
        <v>-0</v>
      </c>
      <c r="I108" s="0" t="n">
        <f aca="false">CurrentPositions!I103</f>
        <v>0</v>
      </c>
      <c r="J108" s="0" t="n">
        <f aca="false">CurrentPositions!J103</f>
        <v>0</v>
      </c>
    </row>
    <row r="109" customFormat="false" ht="13.8" hidden="false" customHeight="false" outlineLevel="0" collapsed="false">
      <c r="A109" s="0" t="n">
        <f aca="false">CurrentPositions!A104</f>
        <v>0</v>
      </c>
      <c r="B109" s="0" t="n">
        <f aca="false">CurrentPositions!B104</f>
        <v>0</v>
      </c>
      <c r="C109" s="0" t="n">
        <f aca="false">CurrentPositions!C104</f>
        <v>0</v>
      </c>
      <c r="D109" s="0" t="n">
        <f aca="false">CurrentPositions!D104</f>
        <v>0</v>
      </c>
      <c r="E109" s="0" t="n">
        <f aca="false">CurrentPositions!E104</f>
        <v>0</v>
      </c>
      <c r="F109" s="0" t="n">
        <f aca="false">$B$4</f>
        <v>1.24</v>
      </c>
      <c r="G109" s="0" t="n">
        <f aca="false">IF(B109="BUY",(F109-E109)/Settings!$B$3,(E109-F109)/Settings!$B$3)</f>
        <v>-12400</v>
      </c>
      <c r="H109" s="0" t="n">
        <f aca="false">G109*D109*Settings!$B$4</f>
        <v>-0</v>
      </c>
      <c r="I109" s="0" t="n">
        <f aca="false">CurrentPositions!I104</f>
        <v>0</v>
      </c>
      <c r="J109" s="0" t="n">
        <f aca="false">CurrentPositions!J104</f>
        <v>0</v>
      </c>
    </row>
    <row r="110" customFormat="false" ht="13.8" hidden="false" customHeight="false" outlineLevel="0" collapsed="false">
      <c r="A110" s="0" t="n">
        <f aca="false">CurrentPositions!A105</f>
        <v>0</v>
      </c>
      <c r="B110" s="0" t="n">
        <f aca="false">CurrentPositions!B105</f>
        <v>0</v>
      </c>
      <c r="C110" s="0" t="n">
        <f aca="false">CurrentPositions!C105</f>
        <v>0</v>
      </c>
      <c r="D110" s="0" t="n">
        <f aca="false">CurrentPositions!D105</f>
        <v>0</v>
      </c>
      <c r="E110" s="0" t="n">
        <f aca="false">CurrentPositions!E105</f>
        <v>0</v>
      </c>
      <c r="F110" s="0" t="n">
        <f aca="false">$B$4</f>
        <v>1.24</v>
      </c>
      <c r="G110" s="0" t="n">
        <f aca="false">IF(B110="BUY",(F110-E110)/Settings!$B$3,(E110-F110)/Settings!$B$3)</f>
        <v>-12400</v>
      </c>
      <c r="H110" s="0" t="n">
        <f aca="false">G110*D110*Settings!$B$4</f>
        <v>-0</v>
      </c>
      <c r="I110" s="0" t="n">
        <f aca="false">CurrentPositions!I105</f>
        <v>0</v>
      </c>
      <c r="J110" s="0" t="n">
        <f aca="false">CurrentPositions!J105</f>
        <v>0</v>
      </c>
    </row>
    <row r="111" customFormat="false" ht="13.8" hidden="false" customHeight="false" outlineLevel="0" collapsed="false">
      <c r="A111" s="0" t="n">
        <f aca="false">CurrentPositions!A106</f>
        <v>0</v>
      </c>
      <c r="B111" s="0" t="n">
        <f aca="false">CurrentPositions!B106</f>
        <v>0</v>
      </c>
      <c r="C111" s="0" t="n">
        <f aca="false">CurrentPositions!C106</f>
        <v>0</v>
      </c>
      <c r="D111" s="0" t="n">
        <f aca="false">CurrentPositions!D106</f>
        <v>0</v>
      </c>
      <c r="E111" s="0" t="n">
        <f aca="false">CurrentPositions!E106</f>
        <v>0</v>
      </c>
      <c r="F111" s="0" t="n">
        <f aca="false">$B$4</f>
        <v>1.24</v>
      </c>
      <c r="G111" s="0" t="n">
        <f aca="false">IF(B111="BUY",(F111-E111)/Settings!$B$3,(E111-F111)/Settings!$B$3)</f>
        <v>-12400</v>
      </c>
      <c r="H111" s="0" t="n">
        <f aca="false">G111*D111*Settings!$B$4</f>
        <v>-0</v>
      </c>
      <c r="I111" s="0" t="n">
        <f aca="false">CurrentPositions!I106</f>
        <v>0</v>
      </c>
      <c r="J111" s="0" t="n">
        <f aca="false">CurrentPositions!J106</f>
        <v>0</v>
      </c>
    </row>
    <row r="112" customFormat="false" ht="13.8" hidden="false" customHeight="false" outlineLevel="0" collapsed="false">
      <c r="A112" s="0" t="n">
        <f aca="false">CurrentPositions!A107</f>
        <v>0</v>
      </c>
      <c r="B112" s="0" t="n">
        <f aca="false">CurrentPositions!B107</f>
        <v>0</v>
      </c>
      <c r="C112" s="0" t="n">
        <f aca="false">CurrentPositions!C107</f>
        <v>0</v>
      </c>
      <c r="D112" s="0" t="n">
        <f aca="false">CurrentPositions!D107</f>
        <v>0</v>
      </c>
      <c r="E112" s="0" t="n">
        <f aca="false">CurrentPositions!E107</f>
        <v>0</v>
      </c>
      <c r="F112" s="0" t="n">
        <f aca="false">$B$4</f>
        <v>1.24</v>
      </c>
      <c r="G112" s="0" t="n">
        <f aca="false">IF(B112="BUY",(F112-E112)/Settings!$B$3,(E112-F112)/Settings!$B$3)</f>
        <v>-12400</v>
      </c>
      <c r="H112" s="0" t="n">
        <f aca="false">G112*D112*Settings!$B$4</f>
        <v>-0</v>
      </c>
      <c r="I112" s="0" t="n">
        <f aca="false">CurrentPositions!I107</f>
        <v>0</v>
      </c>
      <c r="J112" s="0" t="n">
        <f aca="false">CurrentPositions!J107</f>
        <v>0</v>
      </c>
    </row>
    <row r="113" customFormat="false" ht="13.8" hidden="false" customHeight="false" outlineLevel="0" collapsed="false">
      <c r="A113" s="0" t="n">
        <f aca="false">CurrentPositions!A108</f>
        <v>0</v>
      </c>
      <c r="B113" s="0" t="n">
        <f aca="false">CurrentPositions!B108</f>
        <v>0</v>
      </c>
      <c r="C113" s="0" t="n">
        <f aca="false">CurrentPositions!C108</f>
        <v>0</v>
      </c>
      <c r="D113" s="0" t="n">
        <f aca="false">CurrentPositions!D108</f>
        <v>0</v>
      </c>
      <c r="E113" s="0" t="n">
        <f aca="false">CurrentPositions!E108</f>
        <v>0</v>
      </c>
      <c r="F113" s="0" t="n">
        <f aca="false">$B$4</f>
        <v>1.24</v>
      </c>
      <c r="G113" s="0" t="n">
        <f aca="false">IF(B113="BUY",(F113-E113)/Settings!$B$3,(E113-F113)/Settings!$B$3)</f>
        <v>-12400</v>
      </c>
      <c r="H113" s="0" t="n">
        <f aca="false">G113*D113*Settings!$B$4</f>
        <v>-0</v>
      </c>
      <c r="I113" s="0" t="n">
        <f aca="false">CurrentPositions!I108</f>
        <v>0</v>
      </c>
      <c r="J113" s="0" t="n">
        <f aca="false">CurrentPositions!J108</f>
        <v>0</v>
      </c>
    </row>
    <row r="114" customFormat="false" ht="13.8" hidden="false" customHeight="false" outlineLevel="0" collapsed="false">
      <c r="A114" s="0" t="n">
        <f aca="false">CurrentPositions!A109</f>
        <v>0</v>
      </c>
      <c r="B114" s="0" t="n">
        <f aca="false">CurrentPositions!B109</f>
        <v>0</v>
      </c>
      <c r="C114" s="0" t="n">
        <f aca="false">CurrentPositions!C109</f>
        <v>0</v>
      </c>
      <c r="D114" s="0" t="n">
        <f aca="false">CurrentPositions!D109</f>
        <v>0</v>
      </c>
      <c r="E114" s="0" t="n">
        <f aca="false">CurrentPositions!E109</f>
        <v>0</v>
      </c>
      <c r="F114" s="0" t="n">
        <f aca="false">$B$4</f>
        <v>1.24</v>
      </c>
      <c r="G114" s="0" t="n">
        <f aca="false">IF(B114="BUY",(F114-E114)/Settings!$B$3,(E114-F114)/Settings!$B$3)</f>
        <v>-12400</v>
      </c>
      <c r="H114" s="0" t="n">
        <f aca="false">G114*D114*Settings!$B$4</f>
        <v>-0</v>
      </c>
      <c r="I114" s="0" t="n">
        <f aca="false">CurrentPositions!I109</f>
        <v>0</v>
      </c>
      <c r="J114" s="0" t="n">
        <f aca="false">CurrentPositions!J109</f>
        <v>0</v>
      </c>
    </row>
    <row r="115" customFormat="false" ht="13.8" hidden="false" customHeight="false" outlineLevel="0" collapsed="false">
      <c r="A115" s="0" t="n">
        <f aca="false">CurrentPositions!A110</f>
        <v>0</v>
      </c>
      <c r="B115" s="0" t="n">
        <f aca="false">CurrentPositions!B110</f>
        <v>0</v>
      </c>
      <c r="C115" s="0" t="n">
        <f aca="false">CurrentPositions!C110</f>
        <v>0</v>
      </c>
      <c r="D115" s="0" t="n">
        <f aca="false">CurrentPositions!D110</f>
        <v>0</v>
      </c>
      <c r="E115" s="0" t="n">
        <f aca="false">CurrentPositions!E110</f>
        <v>0</v>
      </c>
      <c r="F115" s="0" t="n">
        <f aca="false">$B$4</f>
        <v>1.24</v>
      </c>
      <c r="G115" s="0" t="n">
        <f aca="false">IF(B115="BUY",(F115-E115)/Settings!$B$3,(E115-F115)/Settings!$B$3)</f>
        <v>-12400</v>
      </c>
      <c r="H115" s="0" t="n">
        <f aca="false">G115*D115*Settings!$B$4</f>
        <v>-0</v>
      </c>
      <c r="I115" s="0" t="n">
        <f aca="false">CurrentPositions!I110</f>
        <v>0</v>
      </c>
      <c r="J115" s="0" t="n">
        <f aca="false">CurrentPositions!J110</f>
        <v>0</v>
      </c>
    </row>
    <row r="116" customFormat="false" ht="13.8" hidden="false" customHeight="false" outlineLevel="0" collapsed="false">
      <c r="A116" s="0" t="n">
        <f aca="false">CurrentPositions!A111</f>
        <v>0</v>
      </c>
      <c r="B116" s="0" t="n">
        <f aca="false">CurrentPositions!B111</f>
        <v>0</v>
      </c>
      <c r="C116" s="0" t="n">
        <f aca="false">CurrentPositions!C111</f>
        <v>0</v>
      </c>
      <c r="D116" s="0" t="n">
        <f aca="false">CurrentPositions!D111</f>
        <v>0</v>
      </c>
      <c r="E116" s="0" t="n">
        <f aca="false">CurrentPositions!E111</f>
        <v>0</v>
      </c>
      <c r="F116" s="0" t="n">
        <f aca="false">$B$4</f>
        <v>1.24</v>
      </c>
      <c r="G116" s="0" t="n">
        <f aca="false">IF(B116="BUY",(F116-E116)/Settings!$B$3,(E116-F116)/Settings!$B$3)</f>
        <v>-12400</v>
      </c>
      <c r="H116" s="0" t="n">
        <f aca="false">G116*D116*Settings!$B$4</f>
        <v>-0</v>
      </c>
      <c r="I116" s="0" t="n">
        <f aca="false">CurrentPositions!I111</f>
        <v>0</v>
      </c>
      <c r="J116" s="0" t="n">
        <f aca="false">CurrentPositions!J111</f>
        <v>0</v>
      </c>
    </row>
    <row r="117" customFormat="false" ht="13.8" hidden="false" customHeight="false" outlineLevel="0" collapsed="false">
      <c r="A117" s="0" t="n">
        <f aca="false">CurrentPositions!A112</f>
        <v>0</v>
      </c>
      <c r="B117" s="0" t="n">
        <f aca="false">CurrentPositions!B112</f>
        <v>0</v>
      </c>
      <c r="C117" s="0" t="n">
        <f aca="false">CurrentPositions!C112</f>
        <v>0</v>
      </c>
      <c r="D117" s="0" t="n">
        <f aca="false">CurrentPositions!D112</f>
        <v>0</v>
      </c>
      <c r="E117" s="0" t="n">
        <f aca="false">CurrentPositions!E112</f>
        <v>0</v>
      </c>
      <c r="F117" s="0" t="n">
        <f aca="false">$B$4</f>
        <v>1.24</v>
      </c>
      <c r="G117" s="0" t="n">
        <f aca="false">IF(B117="BUY",(F117-E117)/Settings!$B$3,(E117-F117)/Settings!$B$3)</f>
        <v>-12400</v>
      </c>
      <c r="H117" s="0" t="n">
        <f aca="false">G117*D117*Settings!$B$4</f>
        <v>-0</v>
      </c>
      <c r="I117" s="0" t="n">
        <f aca="false">CurrentPositions!I112</f>
        <v>0</v>
      </c>
      <c r="J117" s="0" t="n">
        <f aca="false">CurrentPositions!J112</f>
        <v>0</v>
      </c>
    </row>
    <row r="118" customFormat="false" ht="13.8" hidden="false" customHeight="false" outlineLevel="0" collapsed="false">
      <c r="A118" s="0" t="n">
        <f aca="false">CurrentPositions!A113</f>
        <v>0</v>
      </c>
      <c r="B118" s="0" t="n">
        <f aca="false">CurrentPositions!B113</f>
        <v>0</v>
      </c>
      <c r="C118" s="0" t="n">
        <f aca="false">CurrentPositions!C113</f>
        <v>0</v>
      </c>
      <c r="D118" s="0" t="n">
        <f aca="false">CurrentPositions!D113</f>
        <v>0</v>
      </c>
      <c r="E118" s="0" t="n">
        <f aca="false">CurrentPositions!E113</f>
        <v>0</v>
      </c>
      <c r="F118" s="0" t="n">
        <f aca="false">$B$4</f>
        <v>1.24</v>
      </c>
      <c r="G118" s="0" t="n">
        <f aca="false">IF(B118="BUY",(F118-E118)/Settings!$B$3,(E118-F118)/Settings!$B$3)</f>
        <v>-12400</v>
      </c>
      <c r="H118" s="0" t="n">
        <f aca="false">G118*D118*Settings!$B$4</f>
        <v>-0</v>
      </c>
      <c r="I118" s="0" t="n">
        <f aca="false">CurrentPositions!I113</f>
        <v>0</v>
      </c>
      <c r="J118" s="0" t="n">
        <f aca="false">CurrentPositions!J113</f>
        <v>0</v>
      </c>
    </row>
    <row r="119" customFormat="false" ht="13.8" hidden="false" customHeight="false" outlineLevel="0" collapsed="false">
      <c r="A119" s="0" t="n">
        <f aca="false">CurrentPositions!A114</f>
        <v>0</v>
      </c>
      <c r="B119" s="0" t="n">
        <f aca="false">CurrentPositions!B114</f>
        <v>0</v>
      </c>
      <c r="C119" s="0" t="n">
        <f aca="false">CurrentPositions!C114</f>
        <v>0</v>
      </c>
      <c r="D119" s="0" t="n">
        <f aca="false">CurrentPositions!D114</f>
        <v>0</v>
      </c>
      <c r="E119" s="0" t="n">
        <f aca="false">CurrentPositions!E114</f>
        <v>0</v>
      </c>
      <c r="F119" s="0" t="n">
        <f aca="false">$B$4</f>
        <v>1.24</v>
      </c>
      <c r="G119" s="0" t="n">
        <f aca="false">IF(B119="BUY",(F119-E119)/Settings!$B$3,(E119-F119)/Settings!$B$3)</f>
        <v>-12400</v>
      </c>
      <c r="H119" s="0" t="n">
        <f aca="false">G119*D119*Settings!$B$4</f>
        <v>-0</v>
      </c>
      <c r="I119" s="0" t="n">
        <f aca="false">CurrentPositions!I114</f>
        <v>0</v>
      </c>
      <c r="J119" s="0" t="n">
        <f aca="false">CurrentPositions!J114</f>
        <v>0</v>
      </c>
    </row>
    <row r="120" customFormat="false" ht="13.8" hidden="false" customHeight="false" outlineLevel="0" collapsed="false">
      <c r="A120" s="0" t="n">
        <f aca="false">CurrentPositions!A115</f>
        <v>0</v>
      </c>
      <c r="B120" s="0" t="n">
        <f aca="false">CurrentPositions!B115</f>
        <v>0</v>
      </c>
      <c r="C120" s="0" t="n">
        <f aca="false">CurrentPositions!C115</f>
        <v>0</v>
      </c>
      <c r="D120" s="0" t="n">
        <f aca="false">CurrentPositions!D115</f>
        <v>0</v>
      </c>
      <c r="E120" s="0" t="n">
        <f aca="false">CurrentPositions!E115</f>
        <v>0</v>
      </c>
      <c r="F120" s="0" t="n">
        <f aca="false">$B$4</f>
        <v>1.24</v>
      </c>
      <c r="G120" s="0" t="n">
        <f aca="false">IF(B120="BUY",(F120-E120)/Settings!$B$3,(E120-F120)/Settings!$B$3)</f>
        <v>-12400</v>
      </c>
      <c r="H120" s="0" t="n">
        <f aca="false">G120*D120*Settings!$B$4</f>
        <v>-0</v>
      </c>
      <c r="I120" s="0" t="n">
        <f aca="false">CurrentPositions!I115</f>
        <v>0</v>
      </c>
      <c r="J120" s="0" t="n">
        <f aca="false">CurrentPositions!J115</f>
        <v>0</v>
      </c>
    </row>
    <row r="121" customFormat="false" ht="13.8" hidden="false" customHeight="false" outlineLevel="0" collapsed="false">
      <c r="A121" s="0" t="n">
        <f aca="false">CurrentPositions!A116</f>
        <v>0</v>
      </c>
      <c r="B121" s="0" t="n">
        <f aca="false">CurrentPositions!B116</f>
        <v>0</v>
      </c>
      <c r="C121" s="0" t="n">
        <f aca="false">CurrentPositions!C116</f>
        <v>0</v>
      </c>
      <c r="D121" s="0" t="n">
        <f aca="false">CurrentPositions!D116</f>
        <v>0</v>
      </c>
      <c r="E121" s="0" t="n">
        <f aca="false">CurrentPositions!E116</f>
        <v>0</v>
      </c>
      <c r="F121" s="0" t="n">
        <f aca="false">$B$4</f>
        <v>1.24</v>
      </c>
      <c r="G121" s="0" t="n">
        <f aca="false">IF(B121="BUY",(F121-E121)/Settings!$B$3,(E121-F121)/Settings!$B$3)</f>
        <v>-12400</v>
      </c>
      <c r="H121" s="0" t="n">
        <f aca="false">G121*D121*Settings!$B$4</f>
        <v>-0</v>
      </c>
      <c r="I121" s="0" t="n">
        <f aca="false">CurrentPositions!I116</f>
        <v>0</v>
      </c>
      <c r="J121" s="0" t="n">
        <f aca="false">CurrentPositions!J116</f>
        <v>0</v>
      </c>
    </row>
    <row r="122" customFormat="false" ht="13.8" hidden="false" customHeight="false" outlineLevel="0" collapsed="false">
      <c r="A122" s="0" t="n">
        <f aca="false">CurrentPositions!A117</f>
        <v>0</v>
      </c>
      <c r="B122" s="0" t="n">
        <f aca="false">CurrentPositions!B117</f>
        <v>0</v>
      </c>
      <c r="C122" s="0" t="n">
        <f aca="false">CurrentPositions!C117</f>
        <v>0</v>
      </c>
      <c r="D122" s="0" t="n">
        <f aca="false">CurrentPositions!D117</f>
        <v>0</v>
      </c>
      <c r="E122" s="0" t="n">
        <f aca="false">CurrentPositions!E117</f>
        <v>0</v>
      </c>
      <c r="F122" s="0" t="n">
        <f aca="false">$B$4</f>
        <v>1.24</v>
      </c>
      <c r="G122" s="0" t="n">
        <f aca="false">IF(B122="BUY",(F122-E122)/Settings!$B$3,(E122-F122)/Settings!$B$3)</f>
        <v>-12400</v>
      </c>
      <c r="H122" s="0" t="n">
        <f aca="false">G122*D122*Settings!$B$4</f>
        <v>-0</v>
      </c>
      <c r="I122" s="0" t="n">
        <f aca="false">CurrentPositions!I117</f>
        <v>0</v>
      </c>
      <c r="J122" s="0" t="n">
        <f aca="false">CurrentPositions!J117</f>
        <v>0</v>
      </c>
    </row>
    <row r="123" customFormat="false" ht="13.8" hidden="false" customHeight="false" outlineLevel="0" collapsed="false">
      <c r="A123" s="0" t="n">
        <f aca="false">CurrentPositions!A118</f>
        <v>0</v>
      </c>
      <c r="B123" s="0" t="n">
        <f aca="false">CurrentPositions!B118</f>
        <v>0</v>
      </c>
      <c r="C123" s="0" t="n">
        <f aca="false">CurrentPositions!C118</f>
        <v>0</v>
      </c>
      <c r="D123" s="0" t="n">
        <f aca="false">CurrentPositions!D118</f>
        <v>0</v>
      </c>
      <c r="E123" s="0" t="n">
        <f aca="false">CurrentPositions!E118</f>
        <v>0</v>
      </c>
      <c r="F123" s="0" t="n">
        <f aca="false">$B$4</f>
        <v>1.24</v>
      </c>
      <c r="G123" s="0" t="n">
        <f aca="false">IF(B123="BUY",(F123-E123)/Settings!$B$3,(E123-F123)/Settings!$B$3)</f>
        <v>-12400</v>
      </c>
      <c r="H123" s="0" t="n">
        <f aca="false">G123*D123*Settings!$B$4</f>
        <v>-0</v>
      </c>
      <c r="I123" s="0" t="n">
        <f aca="false">CurrentPositions!I118</f>
        <v>0</v>
      </c>
      <c r="J123" s="0" t="n">
        <f aca="false">CurrentPositions!J118</f>
        <v>0</v>
      </c>
    </row>
    <row r="124" customFormat="false" ht="13.8" hidden="false" customHeight="false" outlineLevel="0" collapsed="false">
      <c r="A124" s="0" t="n">
        <f aca="false">CurrentPositions!A119</f>
        <v>0</v>
      </c>
      <c r="B124" s="0" t="n">
        <f aca="false">CurrentPositions!B119</f>
        <v>0</v>
      </c>
      <c r="C124" s="0" t="n">
        <f aca="false">CurrentPositions!C119</f>
        <v>0</v>
      </c>
      <c r="D124" s="0" t="n">
        <f aca="false">CurrentPositions!D119</f>
        <v>0</v>
      </c>
      <c r="E124" s="0" t="n">
        <f aca="false">CurrentPositions!E119</f>
        <v>0</v>
      </c>
      <c r="F124" s="0" t="n">
        <f aca="false">$B$4</f>
        <v>1.24</v>
      </c>
      <c r="G124" s="0" t="n">
        <f aca="false">IF(B124="BUY",(F124-E124)/Settings!$B$3,(E124-F124)/Settings!$B$3)</f>
        <v>-12400</v>
      </c>
      <c r="H124" s="0" t="n">
        <f aca="false">G124*D124*Settings!$B$4</f>
        <v>-0</v>
      </c>
      <c r="I124" s="0" t="n">
        <f aca="false">CurrentPositions!I119</f>
        <v>0</v>
      </c>
      <c r="J124" s="0" t="n">
        <f aca="false">CurrentPositions!J119</f>
        <v>0</v>
      </c>
    </row>
    <row r="125" customFormat="false" ht="13.8" hidden="false" customHeight="false" outlineLevel="0" collapsed="false">
      <c r="A125" s="0" t="n">
        <f aca="false">CurrentPositions!A120</f>
        <v>0</v>
      </c>
      <c r="B125" s="0" t="n">
        <f aca="false">CurrentPositions!B120</f>
        <v>0</v>
      </c>
      <c r="C125" s="0" t="n">
        <f aca="false">CurrentPositions!C120</f>
        <v>0</v>
      </c>
      <c r="D125" s="0" t="n">
        <f aca="false">CurrentPositions!D120</f>
        <v>0</v>
      </c>
      <c r="E125" s="0" t="n">
        <f aca="false">CurrentPositions!E120</f>
        <v>0</v>
      </c>
      <c r="F125" s="0" t="n">
        <f aca="false">$B$4</f>
        <v>1.24</v>
      </c>
      <c r="G125" s="0" t="n">
        <f aca="false">IF(B125="BUY",(F125-E125)/Settings!$B$3,(E125-F125)/Settings!$B$3)</f>
        <v>-12400</v>
      </c>
      <c r="H125" s="0" t="n">
        <f aca="false">G125*D125*Settings!$B$4</f>
        <v>-0</v>
      </c>
      <c r="I125" s="0" t="n">
        <f aca="false">CurrentPositions!I120</f>
        <v>0</v>
      </c>
      <c r="J125" s="0" t="n">
        <f aca="false">CurrentPositions!J120</f>
        <v>0</v>
      </c>
    </row>
    <row r="126" customFormat="false" ht="13.8" hidden="false" customHeight="false" outlineLevel="0" collapsed="false">
      <c r="A126" s="0" t="n">
        <f aca="false">CurrentPositions!A121</f>
        <v>0</v>
      </c>
      <c r="B126" s="0" t="n">
        <f aca="false">CurrentPositions!B121</f>
        <v>0</v>
      </c>
      <c r="C126" s="0" t="n">
        <f aca="false">CurrentPositions!C121</f>
        <v>0</v>
      </c>
      <c r="D126" s="0" t="n">
        <f aca="false">CurrentPositions!D121</f>
        <v>0</v>
      </c>
      <c r="E126" s="0" t="n">
        <f aca="false">CurrentPositions!E121</f>
        <v>0</v>
      </c>
      <c r="F126" s="0" t="n">
        <f aca="false">$B$4</f>
        <v>1.24</v>
      </c>
      <c r="G126" s="0" t="n">
        <f aca="false">IF(B126="BUY",(F126-E126)/Settings!$B$3,(E126-F126)/Settings!$B$3)</f>
        <v>-12400</v>
      </c>
      <c r="H126" s="0" t="n">
        <f aca="false">G126*D126*Settings!$B$4</f>
        <v>-0</v>
      </c>
      <c r="I126" s="0" t="n">
        <f aca="false">CurrentPositions!I121</f>
        <v>0</v>
      </c>
      <c r="J126" s="0" t="n">
        <f aca="false">CurrentPositions!J121</f>
        <v>0</v>
      </c>
    </row>
    <row r="127" customFormat="false" ht="13.8" hidden="false" customHeight="false" outlineLevel="0" collapsed="false">
      <c r="A127" s="0" t="n">
        <f aca="false">CurrentPositions!A122</f>
        <v>0</v>
      </c>
      <c r="B127" s="0" t="n">
        <f aca="false">CurrentPositions!B122</f>
        <v>0</v>
      </c>
      <c r="C127" s="0" t="n">
        <f aca="false">CurrentPositions!C122</f>
        <v>0</v>
      </c>
      <c r="D127" s="0" t="n">
        <f aca="false">CurrentPositions!D122</f>
        <v>0</v>
      </c>
      <c r="E127" s="0" t="n">
        <f aca="false">CurrentPositions!E122</f>
        <v>0</v>
      </c>
      <c r="F127" s="0" t="n">
        <f aca="false">$B$4</f>
        <v>1.24</v>
      </c>
      <c r="G127" s="0" t="n">
        <f aca="false">IF(B127="BUY",(F127-E127)/Settings!$B$3,(E127-F127)/Settings!$B$3)</f>
        <v>-12400</v>
      </c>
      <c r="H127" s="0" t="n">
        <f aca="false">G127*D127*Settings!$B$4</f>
        <v>-0</v>
      </c>
      <c r="I127" s="0" t="n">
        <f aca="false">CurrentPositions!I122</f>
        <v>0</v>
      </c>
      <c r="J127" s="0" t="n">
        <f aca="false">CurrentPositions!J122</f>
        <v>0</v>
      </c>
    </row>
    <row r="128" customFormat="false" ht="13.8" hidden="false" customHeight="false" outlineLevel="0" collapsed="false">
      <c r="A128" s="0" t="n">
        <f aca="false">CurrentPositions!A123</f>
        <v>0</v>
      </c>
      <c r="B128" s="0" t="n">
        <f aca="false">CurrentPositions!B123</f>
        <v>0</v>
      </c>
      <c r="C128" s="0" t="n">
        <f aca="false">CurrentPositions!C123</f>
        <v>0</v>
      </c>
      <c r="D128" s="0" t="n">
        <f aca="false">CurrentPositions!D123</f>
        <v>0</v>
      </c>
      <c r="E128" s="0" t="n">
        <f aca="false">CurrentPositions!E123</f>
        <v>0</v>
      </c>
      <c r="F128" s="0" t="n">
        <f aca="false">$B$4</f>
        <v>1.24</v>
      </c>
      <c r="G128" s="0" t="n">
        <f aca="false">IF(B128="BUY",(F128-E128)/Settings!$B$3,(E128-F128)/Settings!$B$3)</f>
        <v>-12400</v>
      </c>
      <c r="H128" s="0" t="n">
        <f aca="false">G128*D128*Settings!$B$4</f>
        <v>-0</v>
      </c>
      <c r="I128" s="0" t="n">
        <f aca="false">CurrentPositions!I123</f>
        <v>0</v>
      </c>
      <c r="J128" s="0" t="n">
        <f aca="false">CurrentPositions!J123</f>
        <v>0</v>
      </c>
    </row>
    <row r="129" customFormat="false" ht="13.8" hidden="false" customHeight="false" outlineLevel="0" collapsed="false">
      <c r="A129" s="0" t="n">
        <f aca="false">CurrentPositions!A124</f>
        <v>0</v>
      </c>
      <c r="B129" s="0" t="n">
        <f aca="false">CurrentPositions!B124</f>
        <v>0</v>
      </c>
      <c r="C129" s="0" t="n">
        <f aca="false">CurrentPositions!C124</f>
        <v>0</v>
      </c>
      <c r="D129" s="0" t="n">
        <f aca="false">CurrentPositions!D124</f>
        <v>0</v>
      </c>
      <c r="E129" s="0" t="n">
        <f aca="false">CurrentPositions!E124</f>
        <v>0</v>
      </c>
      <c r="F129" s="0" t="n">
        <f aca="false">$B$4</f>
        <v>1.24</v>
      </c>
      <c r="G129" s="0" t="n">
        <f aca="false">IF(B129="BUY",(F129-E129)/Settings!$B$3,(E129-F129)/Settings!$B$3)</f>
        <v>-12400</v>
      </c>
      <c r="H129" s="0" t="n">
        <f aca="false">G129*D129*Settings!$B$4</f>
        <v>-0</v>
      </c>
      <c r="I129" s="0" t="n">
        <f aca="false">CurrentPositions!I124</f>
        <v>0</v>
      </c>
      <c r="J129" s="0" t="n">
        <f aca="false">CurrentPositions!J124</f>
        <v>0</v>
      </c>
    </row>
    <row r="130" customFormat="false" ht="13.8" hidden="false" customHeight="false" outlineLevel="0" collapsed="false">
      <c r="A130" s="0" t="n">
        <f aca="false">CurrentPositions!A125</f>
        <v>0</v>
      </c>
      <c r="B130" s="0" t="n">
        <f aca="false">CurrentPositions!B125</f>
        <v>0</v>
      </c>
      <c r="C130" s="0" t="n">
        <f aca="false">CurrentPositions!C125</f>
        <v>0</v>
      </c>
      <c r="D130" s="0" t="n">
        <f aca="false">CurrentPositions!D125</f>
        <v>0</v>
      </c>
      <c r="E130" s="0" t="n">
        <f aca="false">CurrentPositions!E125</f>
        <v>0</v>
      </c>
      <c r="F130" s="0" t="n">
        <f aca="false">$B$4</f>
        <v>1.24</v>
      </c>
      <c r="G130" s="0" t="n">
        <f aca="false">IF(B130="BUY",(F130-E130)/Settings!$B$3,(E130-F130)/Settings!$B$3)</f>
        <v>-12400</v>
      </c>
      <c r="H130" s="0" t="n">
        <f aca="false">G130*D130*Settings!$B$4</f>
        <v>-0</v>
      </c>
      <c r="I130" s="0" t="n">
        <f aca="false">CurrentPositions!I125</f>
        <v>0</v>
      </c>
      <c r="J130" s="0" t="n">
        <f aca="false">CurrentPositions!J125</f>
        <v>0</v>
      </c>
    </row>
    <row r="131" customFormat="false" ht="13.8" hidden="false" customHeight="false" outlineLevel="0" collapsed="false">
      <c r="A131" s="0" t="n">
        <f aca="false">CurrentPositions!A126</f>
        <v>0</v>
      </c>
      <c r="B131" s="0" t="n">
        <f aca="false">CurrentPositions!B126</f>
        <v>0</v>
      </c>
      <c r="C131" s="0" t="n">
        <f aca="false">CurrentPositions!C126</f>
        <v>0</v>
      </c>
      <c r="D131" s="0" t="n">
        <f aca="false">CurrentPositions!D126</f>
        <v>0</v>
      </c>
      <c r="E131" s="0" t="n">
        <f aca="false">CurrentPositions!E126</f>
        <v>0</v>
      </c>
      <c r="F131" s="0" t="n">
        <f aca="false">$B$4</f>
        <v>1.24</v>
      </c>
      <c r="G131" s="0" t="n">
        <f aca="false">IF(B131="BUY",(F131-E131)/Settings!$B$3,(E131-F131)/Settings!$B$3)</f>
        <v>-12400</v>
      </c>
      <c r="H131" s="0" t="n">
        <f aca="false">G131*D131*Settings!$B$4</f>
        <v>-0</v>
      </c>
      <c r="I131" s="0" t="n">
        <f aca="false">CurrentPositions!I126</f>
        <v>0</v>
      </c>
      <c r="J131" s="0" t="n">
        <f aca="false">CurrentPositions!J126</f>
        <v>0</v>
      </c>
    </row>
    <row r="132" customFormat="false" ht="13.8" hidden="false" customHeight="false" outlineLevel="0" collapsed="false">
      <c r="A132" s="0" t="n">
        <f aca="false">CurrentPositions!A127</f>
        <v>0</v>
      </c>
      <c r="B132" s="0" t="n">
        <f aca="false">CurrentPositions!B127</f>
        <v>0</v>
      </c>
      <c r="C132" s="0" t="n">
        <f aca="false">CurrentPositions!C127</f>
        <v>0</v>
      </c>
      <c r="D132" s="0" t="n">
        <f aca="false">CurrentPositions!D127</f>
        <v>0</v>
      </c>
      <c r="E132" s="0" t="n">
        <f aca="false">CurrentPositions!E127</f>
        <v>0</v>
      </c>
      <c r="F132" s="0" t="n">
        <f aca="false">$B$4</f>
        <v>1.24</v>
      </c>
      <c r="G132" s="0" t="n">
        <f aca="false">IF(B132="BUY",(F132-E132)/Settings!$B$3,(E132-F132)/Settings!$B$3)</f>
        <v>-12400</v>
      </c>
      <c r="H132" s="0" t="n">
        <f aca="false">G132*D132*Settings!$B$4</f>
        <v>-0</v>
      </c>
      <c r="I132" s="0" t="n">
        <f aca="false">CurrentPositions!I127</f>
        <v>0</v>
      </c>
      <c r="J132" s="0" t="n">
        <f aca="false">CurrentPositions!J127</f>
        <v>0</v>
      </c>
    </row>
    <row r="133" customFormat="false" ht="13.8" hidden="false" customHeight="false" outlineLevel="0" collapsed="false">
      <c r="A133" s="0" t="n">
        <f aca="false">CurrentPositions!A128</f>
        <v>0</v>
      </c>
      <c r="B133" s="0" t="n">
        <f aca="false">CurrentPositions!B128</f>
        <v>0</v>
      </c>
      <c r="C133" s="0" t="n">
        <f aca="false">CurrentPositions!C128</f>
        <v>0</v>
      </c>
      <c r="D133" s="0" t="n">
        <f aca="false">CurrentPositions!D128</f>
        <v>0</v>
      </c>
      <c r="E133" s="0" t="n">
        <f aca="false">CurrentPositions!E128</f>
        <v>0</v>
      </c>
      <c r="F133" s="0" t="n">
        <f aca="false">$B$4</f>
        <v>1.24</v>
      </c>
      <c r="G133" s="0" t="n">
        <f aca="false">IF(B133="BUY",(F133-E133)/Settings!$B$3,(E133-F133)/Settings!$B$3)</f>
        <v>-12400</v>
      </c>
      <c r="H133" s="0" t="n">
        <f aca="false">G133*D133*Settings!$B$4</f>
        <v>-0</v>
      </c>
      <c r="I133" s="0" t="n">
        <f aca="false">CurrentPositions!I128</f>
        <v>0</v>
      </c>
      <c r="J133" s="0" t="n">
        <f aca="false">CurrentPositions!J128</f>
        <v>0</v>
      </c>
    </row>
    <row r="134" customFormat="false" ht="13.8" hidden="false" customHeight="false" outlineLevel="0" collapsed="false">
      <c r="A134" s="0" t="n">
        <f aca="false">CurrentPositions!A129</f>
        <v>0</v>
      </c>
      <c r="B134" s="0" t="n">
        <f aca="false">CurrentPositions!B129</f>
        <v>0</v>
      </c>
      <c r="C134" s="0" t="n">
        <f aca="false">CurrentPositions!C129</f>
        <v>0</v>
      </c>
      <c r="D134" s="0" t="n">
        <f aca="false">CurrentPositions!D129</f>
        <v>0</v>
      </c>
      <c r="E134" s="0" t="n">
        <f aca="false">CurrentPositions!E129</f>
        <v>0</v>
      </c>
      <c r="F134" s="0" t="n">
        <f aca="false">$B$4</f>
        <v>1.24</v>
      </c>
      <c r="G134" s="0" t="n">
        <f aca="false">IF(B134="BUY",(F134-E134)/Settings!$B$3,(E134-F134)/Settings!$B$3)</f>
        <v>-12400</v>
      </c>
      <c r="H134" s="0" t="n">
        <f aca="false">G134*D134*Settings!$B$4</f>
        <v>-0</v>
      </c>
      <c r="I134" s="0" t="n">
        <f aca="false">CurrentPositions!I129</f>
        <v>0</v>
      </c>
      <c r="J134" s="0" t="n">
        <f aca="false">CurrentPositions!J129</f>
        <v>0</v>
      </c>
    </row>
    <row r="135" customFormat="false" ht="13.8" hidden="false" customHeight="false" outlineLevel="0" collapsed="false">
      <c r="A135" s="0" t="n">
        <f aca="false">CurrentPositions!A130</f>
        <v>0</v>
      </c>
      <c r="B135" s="0" t="n">
        <f aca="false">CurrentPositions!B130</f>
        <v>0</v>
      </c>
      <c r="C135" s="0" t="n">
        <f aca="false">CurrentPositions!C130</f>
        <v>0</v>
      </c>
      <c r="D135" s="0" t="n">
        <f aca="false">CurrentPositions!D130</f>
        <v>0</v>
      </c>
      <c r="E135" s="0" t="n">
        <f aca="false">CurrentPositions!E130</f>
        <v>0</v>
      </c>
      <c r="F135" s="0" t="n">
        <f aca="false">$B$4</f>
        <v>1.24</v>
      </c>
      <c r="G135" s="0" t="n">
        <f aca="false">IF(B135="BUY",(F135-E135)/Settings!$B$3,(E135-F135)/Settings!$B$3)</f>
        <v>-12400</v>
      </c>
      <c r="H135" s="0" t="n">
        <f aca="false">G135*D135*Settings!$B$4</f>
        <v>-0</v>
      </c>
      <c r="I135" s="0" t="n">
        <f aca="false">CurrentPositions!I130</f>
        <v>0</v>
      </c>
      <c r="J135" s="0" t="n">
        <f aca="false">CurrentPositions!J130</f>
        <v>0</v>
      </c>
    </row>
    <row r="136" customFormat="false" ht="13.8" hidden="false" customHeight="false" outlineLevel="0" collapsed="false">
      <c r="A136" s="0" t="n">
        <f aca="false">CurrentPositions!A131</f>
        <v>0</v>
      </c>
      <c r="B136" s="0" t="n">
        <f aca="false">CurrentPositions!B131</f>
        <v>0</v>
      </c>
      <c r="C136" s="0" t="n">
        <f aca="false">CurrentPositions!C131</f>
        <v>0</v>
      </c>
      <c r="D136" s="0" t="n">
        <f aca="false">CurrentPositions!D131</f>
        <v>0</v>
      </c>
      <c r="E136" s="0" t="n">
        <f aca="false">CurrentPositions!E131</f>
        <v>0</v>
      </c>
      <c r="F136" s="0" t="n">
        <f aca="false">$B$4</f>
        <v>1.24</v>
      </c>
      <c r="G136" s="0" t="n">
        <f aca="false">IF(B136="BUY",(F136-E136)/Settings!$B$3,(E136-F136)/Settings!$B$3)</f>
        <v>-12400</v>
      </c>
      <c r="H136" s="0" t="n">
        <f aca="false">G136*D136*Settings!$B$4</f>
        <v>-0</v>
      </c>
      <c r="I136" s="0" t="n">
        <f aca="false">CurrentPositions!I131</f>
        <v>0</v>
      </c>
      <c r="J136" s="0" t="n">
        <f aca="false">CurrentPositions!J131</f>
        <v>0</v>
      </c>
    </row>
    <row r="137" customFormat="false" ht="13.8" hidden="false" customHeight="false" outlineLevel="0" collapsed="false">
      <c r="A137" s="0" t="n">
        <f aca="false">CurrentPositions!A132</f>
        <v>0</v>
      </c>
      <c r="B137" s="0" t="n">
        <f aca="false">CurrentPositions!B132</f>
        <v>0</v>
      </c>
      <c r="C137" s="0" t="n">
        <f aca="false">CurrentPositions!C132</f>
        <v>0</v>
      </c>
      <c r="D137" s="0" t="n">
        <f aca="false">CurrentPositions!D132</f>
        <v>0</v>
      </c>
      <c r="E137" s="0" t="n">
        <f aca="false">CurrentPositions!E132</f>
        <v>0</v>
      </c>
      <c r="F137" s="0" t="n">
        <f aca="false">$B$4</f>
        <v>1.24</v>
      </c>
      <c r="G137" s="0" t="n">
        <f aca="false">IF(B137="BUY",(F137-E137)/Settings!$B$3,(E137-F137)/Settings!$B$3)</f>
        <v>-12400</v>
      </c>
      <c r="H137" s="0" t="n">
        <f aca="false">G137*D137*Settings!$B$4</f>
        <v>-0</v>
      </c>
      <c r="I137" s="0" t="n">
        <f aca="false">CurrentPositions!I132</f>
        <v>0</v>
      </c>
      <c r="J137" s="0" t="n">
        <f aca="false">CurrentPositions!J132</f>
        <v>0</v>
      </c>
    </row>
    <row r="138" customFormat="false" ht="13.8" hidden="false" customHeight="false" outlineLevel="0" collapsed="false">
      <c r="A138" s="0" t="n">
        <f aca="false">CurrentPositions!A133</f>
        <v>0</v>
      </c>
      <c r="B138" s="0" t="n">
        <f aca="false">CurrentPositions!B133</f>
        <v>0</v>
      </c>
      <c r="C138" s="0" t="n">
        <f aca="false">CurrentPositions!C133</f>
        <v>0</v>
      </c>
      <c r="D138" s="0" t="n">
        <f aca="false">CurrentPositions!D133</f>
        <v>0</v>
      </c>
      <c r="E138" s="0" t="n">
        <f aca="false">CurrentPositions!E133</f>
        <v>0</v>
      </c>
      <c r="F138" s="0" t="n">
        <f aca="false">$B$4</f>
        <v>1.24</v>
      </c>
      <c r="G138" s="0" t="n">
        <f aca="false">IF(B138="BUY",(F138-E138)/Settings!$B$3,(E138-F138)/Settings!$B$3)</f>
        <v>-12400</v>
      </c>
      <c r="H138" s="0" t="n">
        <f aca="false">G138*D138*Settings!$B$4</f>
        <v>-0</v>
      </c>
      <c r="I138" s="0" t="n">
        <f aca="false">CurrentPositions!I133</f>
        <v>0</v>
      </c>
      <c r="J138" s="0" t="n">
        <f aca="false">CurrentPositions!J133</f>
        <v>0</v>
      </c>
    </row>
    <row r="139" customFormat="false" ht="13.8" hidden="false" customHeight="false" outlineLevel="0" collapsed="false">
      <c r="A139" s="0" t="n">
        <f aca="false">CurrentPositions!A134</f>
        <v>0</v>
      </c>
      <c r="B139" s="0" t="n">
        <f aca="false">CurrentPositions!B134</f>
        <v>0</v>
      </c>
      <c r="C139" s="0" t="n">
        <f aca="false">CurrentPositions!C134</f>
        <v>0</v>
      </c>
      <c r="D139" s="0" t="n">
        <f aca="false">CurrentPositions!D134</f>
        <v>0</v>
      </c>
      <c r="E139" s="0" t="n">
        <f aca="false">CurrentPositions!E134</f>
        <v>0</v>
      </c>
      <c r="F139" s="0" t="n">
        <f aca="false">$B$4</f>
        <v>1.24</v>
      </c>
      <c r="G139" s="0" t="n">
        <f aca="false">IF(B139="BUY",(F139-E139)/Settings!$B$3,(E139-F139)/Settings!$B$3)</f>
        <v>-12400</v>
      </c>
      <c r="H139" s="0" t="n">
        <f aca="false">G139*D139*Settings!$B$4</f>
        <v>-0</v>
      </c>
      <c r="I139" s="0" t="n">
        <f aca="false">CurrentPositions!I134</f>
        <v>0</v>
      </c>
      <c r="J139" s="0" t="n">
        <f aca="false">CurrentPositions!J134</f>
        <v>0</v>
      </c>
    </row>
    <row r="140" customFormat="false" ht="13.8" hidden="false" customHeight="false" outlineLevel="0" collapsed="false">
      <c r="A140" s="0" t="n">
        <f aca="false">CurrentPositions!A135</f>
        <v>0</v>
      </c>
      <c r="B140" s="0" t="n">
        <f aca="false">CurrentPositions!B135</f>
        <v>0</v>
      </c>
      <c r="C140" s="0" t="n">
        <f aca="false">CurrentPositions!C135</f>
        <v>0</v>
      </c>
      <c r="D140" s="0" t="n">
        <f aca="false">CurrentPositions!D135</f>
        <v>0</v>
      </c>
      <c r="E140" s="0" t="n">
        <f aca="false">CurrentPositions!E135</f>
        <v>0</v>
      </c>
      <c r="F140" s="0" t="n">
        <f aca="false">$B$4</f>
        <v>1.24</v>
      </c>
      <c r="G140" s="0" t="n">
        <f aca="false">IF(B140="BUY",(F140-E140)/Settings!$B$3,(E140-F140)/Settings!$B$3)</f>
        <v>-12400</v>
      </c>
      <c r="H140" s="0" t="n">
        <f aca="false">G140*D140*Settings!$B$4</f>
        <v>-0</v>
      </c>
      <c r="I140" s="0" t="n">
        <f aca="false">CurrentPositions!I135</f>
        <v>0</v>
      </c>
      <c r="J140" s="0" t="n">
        <f aca="false">CurrentPositions!J135</f>
        <v>0</v>
      </c>
    </row>
    <row r="141" customFormat="false" ht="13.8" hidden="false" customHeight="false" outlineLevel="0" collapsed="false">
      <c r="A141" s="0" t="n">
        <f aca="false">CurrentPositions!A136</f>
        <v>0</v>
      </c>
      <c r="B141" s="0" t="n">
        <f aca="false">CurrentPositions!B136</f>
        <v>0</v>
      </c>
      <c r="C141" s="0" t="n">
        <f aca="false">CurrentPositions!C136</f>
        <v>0</v>
      </c>
      <c r="D141" s="0" t="n">
        <f aca="false">CurrentPositions!D136</f>
        <v>0</v>
      </c>
      <c r="E141" s="0" t="n">
        <f aca="false">CurrentPositions!E136</f>
        <v>0</v>
      </c>
      <c r="F141" s="0" t="n">
        <f aca="false">$B$4</f>
        <v>1.24</v>
      </c>
      <c r="G141" s="0" t="n">
        <f aca="false">IF(B141="BUY",(F141-E141)/Settings!$B$3,(E141-F141)/Settings!$B$3)</f>
        <v>-12400</v>
      </c>
      <c r="H141" s="0" t="n">
        <f aca="false">G141*D141*Settings!$B$4</f>
        <v>-0</v>
      </c>
      <c r="I141" s="0" t="n">
        <f aca="false">CurrentPositions!I136</f>
        <v>0</v>
      </c>
      <c r="J141" s="0" t="n">
        <f aca="false">CurrentPositions!J136</f>
        <v>0</v>
      </c>
    </row>
    <row r="142" customFormat="false" ht="13.8" hidden="false" customHeight="false" outlineLevel="0" collapsed="false">
      <c r="A142" s="0" t="n">
        <f aca="false">CurrentPositions!A137</f>
        <v>0</v>
      </c>
      <c r="B142" s="0" t="n">
        <f aca="false">CurrentPositions!B137</f>
        <v>0</v>
      </c>
      <c r="C142" s="0" t="n">
        <f aca="false">CurrentPositions!C137</f>
        <v>0</v>
      </c>
      <c r="D142" s="0" t="n">
        <f aca="false">CurrentPositions!D137</f>
        <v>0</v>
      </c>
      <c r="E142" s="0" t="n">
        <f aca="false">CurrentPositions!E137</f>
        <v>0</v>
      </c>
      <c r="F142" s="0" t="n">
        <f aca="false">$B$4</f>
        <v>1.24</v>
      </c>
      <c r="G142" s="0" t="n">
        <f aca="false">IF(B142="BUY",(F142-E142)/Settings!$B$3,(E142-F142)/Settings!$B$3)</f>
        <v>-12400</v>
      </c>
      <c r="H142" s="0" t="n">
        <f aca="false">G142*D142*Settings!$B$4</f>
        <v>-0</v>
      </c>
      <c r="I142" s="0" t="n">
        <f aca="false">CurrentPositions!I137</f>
        <v>0</v>
      </c>
      <c r="J142" s="0" t="n">
        <f aca="false">CurrentPositions!J137</f>
        <v>0</v>
      </c>
    </row>
    <row r="143" customFormat="false" ht="13.8" hidden="false" customHeight="false" outlineLevel="0" collapsed="false">
      <c r="A143" s="0" t="n">
        <f aca="false">CurrentPositions!A138</f>
        <v>0</v>
      </c>
      <c r="B143" s="0" t="n">
        <f aca="false">CurrentPositions!B138</f>
        <v>0</v>
      </c>
      <c r="C143" s="0" t="n">
        <f aca="false">CurrentPositions!C138</f>
        <v>0</v>
      </c>
      <c r="D143" s="0" t="n">
        <f aca="false">CurrentPositions!D138</f>
        <v>0</v>
      </c>
      <c r="E143" s="0" t="n">
        <f aca="false">CurrentPositions!E138</f>
        <v>0</v>
      </c>
      <c r="F143" s="0" t="n">
        <f aca="false">$B$4</f>
        <v>1.24</v>
      </c>
      <c r="G143" s="0" t="n">
        <f aca="false">IF(B143="BUY",(F143-E143)/Settings!$B$3,(E143-F143)/Settings!$B$3)</f>
        <v>-12400</v>
      </c>
      <c r="H143" s="0" t="n">
        <f aca="false">G143*D143*Settings!$B$4</f>
        <v>-0</v>
      </c>
      <c r="I143" s="0" t="n">
        <f aca="false">CurrentPositions!I138</f>
        <v>0</v>
      </c>
      <c r="J143" s="0" t="n">
        <f aca="false">CurrentPositions!J138</f>
        <v>0</v>
      </c>
    </row>
    <row r="144" customFormat="false" ht="13.8" hidden="false" customHeight="false" outlineLevel="0" collapsed="false">
      <c r="A144" s="0" t="n">
        <f aca="false">CurrentPositions!A139</f>
        <v>0</v>
      </c>
      <c r="B144" s="0" t="n">
        <f aca="false">CurrentPositions!B139</f>
        <v>0</v>
      </c>
      <c r="C144" s="0" t="n">
        <f aca="false">CurrentPositions!C139</f>
        <v>0</v>
      </c>
      <c r="D144" s="0" t="n">
        <f aca="false">CurrentPositions!D139</f>
        <v>0</v>
      </c>
      <c r="E144" s="0" t="n">
        <f aca="false">CurrentPositions!E139</f>
        <v>0</v>
      </c>
      <c r="F144" s="0" t="n">
        <f aca="false">$B$4</f>
        <v>1.24</v>
      </c>
      <c r="G144" s="0" t="n">
        <f aca="false">IF(B144="BUY",(F144-E144)/Settings!$B$3,(E144-F144)/Settings!$B$3)</f>
        <v>-12400</v>
      </c>
      <c r="H144" s="0" t="n">
        <f aca="false">G144*D144*Settings!$B$4</f>
        <v>-0</v>
      </c>
      <c r="I144" s="0" t="n">
        <f aca="false">CurrentPositions!I139</f>
        <v>0</v>
      </c>
      <c r="J144" s="0" t="n">
        <f aca="false">CurrentPositions!J139</f>
        <v>0</v>
      </c>
    </row>
    <row r="145" customFormat="false" ht="13.8" hidden="false" customHeight="false" outlineLevel="0" collapsed="false">
      <c r="A145" s="0" t="n">
        <f aca="false">CurrentPositions!A140</f>
        <v>0</v>
      </c>
      <c r="B145" s="0" t="n">
        <f aca="false">CurrentPositions!B140</f>
        <v>0</v>
      </c>
      <c r="C145" s="0" t="n">
        <f aca="false">CurrentPositions!C140</f>
        <v>0</v>
      </c>
      <c r="D145" s="0" t="n">
        <f aca="false">CurrentPositions!D140</f>
        <v>0</v>
      </c>
      <c r="E145" s="0" t="n">
        <f aca="false">CurrentPositions!E140</f>
        <v>0</v>
      </c>
      <c r="F145" s="0" t="n">
        <f aca="false">$B$4</f>
        <v>1.24</v>
      </c>
      <c r="G145" s="0" t="n">
        <f aca="false">IF(B145="BUY",(F145-E145)/Settings!$B$3,(E145-F145)/Settings!$B$3)</f>
        <v>-12400</v>
      </c>
      <c r="H145" s="0" t="n">
        <f aca="false">G145*D145*Settings!$B$4</f>
        <v>-0</v>
      </c>
      <c r="I145" s="0" t="n">
        <f aca="false">CurrentPositions!I140</f>
        <v>0</v>
      </c>
      <c r="J145" s="0" t="n">
        <f aca="false">CurrentPositions!J140</f>
        <v>0</v>
      </c>
    </row>
    <row r="146" customFormat="false" ht="13.8" hidden="false" customHeight="false" outlineLevel="0" collapsed="false">
      <c r="A146" s="0" t="n">
        <f aca="false">CurrentPositions!A141</f>
        <v>0</v>
      </c>
      <c r="B146" s="0" t="n">
        <f aca="false">CurrentPositions!B141</f>
        <v>0</v>
      </c>
      <c r="C146" s="0" t="n">
        <f aca="false">CurrentPositions!C141</f>
        <v>0</v>
      </c>
      <c r="D146" s="0" t="n">
        <f aca="false">CurrentPositions!D141</f>
        <v>0</v>
      </c>
      <c r="E146" s="0" t="n">
        <f aca="false">CurrentPositions!E141</f>
        <v>0</v>
      </c>
      <c r="F146" s="0" t="n">
        <f aca="false">$B$4</f>
        <v>1.24</v>
      </c>
      <c r="G146" s="0" t="n">
        <f aca="false">IF(B146="BUY",(F146-E146)/Settings!$B$3,(E146-F146)/Settings!$B$3)</f>
        <v>-12400</v>
      </c>
      <c r="H146" s="0" t="n">
        <f aca="false">G146*D146*Settings!$B$4</f>
        <v>-0</v>
      </c>
      <c r="I146" s="0" t="n">
        <f aca="false">CurrentPositions!I141</f>
        <v>0</v>
      </c>
      <c r="J146" s="0" t="n">
        <f aca="false">CurrentPositions!J141</f>
        <v>0</v>
      </c>
    </row>
    <row r="147" customFormat="false" ht="13.8" hidden="false" customHeight="false" outlineLevel="0" collapsed="false">
      <c r="A147" s="0" t="n">
        <f aca="false">CurrentPositions!A142</f>
        <v>0</v>
      </c>
      <c r="B147" s="0" t="n">
        <f aca="false">CurrentPositions!B142</f>
        <v>0</v>
      </c>
      <c r="C147" s="0" t="n">
        <f aca="false">CurrentPositions!C142</f>
        <v>0</v>
      </c>
      <c r="D147" s="0" t="n">
        <f aca="false">CurrentPositions!D142</f>
        <v>0</v>
      </c>
      <c r="E147" s="0" t="n">
        <f aca="false">CurrentPositions!E142</f>
        <v>0</v>
      </c>
      <c r="F147" s="0" t="n">
        <f aca="false">$B$4</f>
        <v>1.24</v>
      </c>
      <c r="G147" s="0" t="n">
        <f aca="false">IF(B147="BUY",(F147-E147)/Settings!$B$3,(E147-F147)/Settings!$B$3)</f>
        <v>-12400</v>
      </c>
      <c r="H147" s="0" t="n">
        <f aca="false">G147*D147*Settings!$B$4</f>
        <v>-0</v>
      </c>
      <c r="I147" s="0" t="n">
        <f aca="false">CurrentPositions!I142</f>
        <v>0</v>
      </c>
      <c r="J147" s="0" t="n">
        <f aca="false">CurrentPositions!J142</f>
        <v>0</v>
      </c>
    </row>
    <row r="148" customFormat="false" ht="13.8" hidden="false" customHeight="false" outlineLevel="0" collapsed="false">
      <c r="A148" s="0" t="n">
        <f aca="false">CurrentPositions!A143</f>
        <v>0</v>
      </c>
      <c r="B148" s="0" t="n">
        <f aca="false">CurrentPositions!B143</f>
        <v>0</v>
      </c>
      <c r="C148" s="0" t="n">
        <f aca="false">CurrentPositions!C143</f>
        <v>0</v>
      </c>
      <c r="D148" s="0" t="n">
        <f aca="false">CurrentPositions!D143</f>
        <v>0</v>
      </c>
      <c r="E148" s="0" t="n">
        <f aca="false">CurrentPositions!E143</f>
        <v>0</v>
      </c>
      <c r="F148" s="0" t="n">
        <f aca="false">$B$4</f>
        <v>1.24</v>
      </c>
      <c r="G148" s="0" t="n">
        <f aca="false">IF(B148="BUY",(F148-E148)/Settings!$B$3,(E148-F148)/Settings!$B$3)</f>
        <v>-12400</v>
      </c>
      <c r="H148" s="0" t="n">
        <f aca="false">G148*D148*Settings!$B$4</f>
        <v>-0</v>
      </c>
      <c r="I148" s="0" t="n">
        <f aca="false">CurrentPositions!I143</f>
        <v>0</v>
      </c>
      <c r="J148" s="0" t="n">
        <f aca="false">CurrentPositions!J143</f>
        <v>0</v>
      </c>
    </row>
    <row r="149" customFormat="false" ht="13.8" hidden="false" customHeight="false" outlineLevel="0" collapsed="false">
      <c r="A149" s="0" t="n">
        <f aca="false">CurrentPositions!A144</f>
        <v>0</v>
      </c>
      <c r="B149" s="0" t="n">
        <f aca="false">CurrentPositions!B144</f>
        <v>0</v>
      </c>
      <c r="C149" s="0" t="n">
        <f aca="false">CurrentPositions!C144</f>
        <v>0</v>
      </c>
      <c r="D149" s="0" t="n">
        <f aca="false">CurrentPositions!D144</f>
        <v>0</v>
      </c>
      <c r="E149" s="0" t="n">
        <f aca="false">CurrentPositions!E144</f>
        <v>0</v>
      </c>
      <c r="F149" s="0" t="n">
        <f aca="false">$B$4</f>
        <v>1.24</v>
      </c>
      <c r="G149" s="0" t="n">
        <f aca="false">IF(B149="BUY",(F149-E149)/Settings!$B$3,(E149-F149)/Settings!$B$3)</f>
        <v>-12400</v>
      </c>
      <c r="H149" s="0" t="n">
        <f aca="false">G149*D149*Settings!$B$4</f>
        <v>-0</v>
      </c>
      <c r="I149" s="0" t="n">
        <f aca="false">CurrentPositions!I144</f>
        <v>0</v>
      </c>
      <c r="J149" s="0" t="n">
        <f aca="false">CurrentPositions!J144</f>
        <v>0</v>
      </c>
    </row>
    <row r="150" customFormat="false" ht="13.8" hidden="false" customHeight="false" outlineLevel="0" collapsed="false">
      <c r="A150" s="0" t="n">
        <f aca="false">CurrentPositions!A145</f>
        <v>0</v>
      </c>
      <c r="B150" s="0" t="n">
        <f aca="false">CurrentPositions!B145</f>
        <v>0</v>
      </c>
      <c r="C150" s="0" t="n">
        <f aca="false">CurrentPositions!C145</f>
        <v>0</v>
      </c>
      <c r="D150" s="0" t="n">
        <f aca="false">CurrentPositions!D145</f>
        <v>0</v>
      </c>
      <c r="E150" s="0" t="n">
        <f aca="false">CurrentPositions!E145</f>
        <v>0</v>
      </c>
      <c r="F150" s="0" t="n">
        <f aca="false">$B$4</f>
        <v>1.24</v>
      </c>
      <c r="G150" s="0" t="n">
        <f aca="false">IF(B150="BUY",(F150-E150)/Settings!$B$3,(E150-F150)/Settings!$B$3)</f>
        <v>-12400</v>
      </c>
      <c r="H150" s="0" t="n">
        <f aca="false">G150*D150*Settings!$B$4</f>
        <v>-0</v>
      </c>
      <c r="I150" s="0" t="n">
        <f aca="false">CurrentPositions!I145</f>
        <v>0</v>
      </c>
      <c r="J150" s="0" t="n">
        <f aca="false">CurrentPositions!J145</f>
        <v>0</v>
      </c>
    </row>
    <row r="151" customFormat="false" ht="13.8" hidden="false" customHeight="false" outlineLevel="0" collapsed="false">
      <c r="A151" s="0" t="n">
        <f aca="false">CurrentPositions!A146</f>
        <v>0</v>
      </c>
      <c r="B151" s="0" t="n">
        <f aca="false">CurrentPositions!B146</f>
        <v>0</v>
      </c>
      <c r="C151" s="0" t="n">
        <f aca="false">CurrentPositions!C146</f>
        <v>0</v>
      </c>
      <c r="D151" s="0" t="n">
        <f aca="false">CurrentPositions!D146</f>
        <v>0</v>
      </c>
      <c r="E151" s="0" t="n">
        <f aca="false">CurrentPositions!E146</f>
        <v>0</v>
      </c>
      <c r="F151" s="0" t="n">
        <f aca="false">$B$4</f>
        <v>1.24</v>
      </c>
      <c r="G151" s="0" t="n">
        <f aca="false">IF(B151="BUY",(F151-E151)/Settings!$B$3,(E151-F151)/Settings!$B$3)</f>
        <v>-12400</v>
      </c>
      <c r="H151" s="0" t="n">
        <f aca="false">G151*D151*Settings!$B$4</f>
        <v>-0</v>
      </c>
      <c r="I151" s="0" t="n">
        <f aca="false">CurrentPositions!I146</f>
        <v>0</v>
      </c>
      <c r="J151" s="0" t="n">
        <f aca="false">CurrentPositions!J146</f>
        <v>0</v>
      </c>
    </row>
    <row r="152" customFormat="false" ht="13.8" hidden="false" customHeight="false" outlineLevel="0" collapsed="false">
      <c r="A152" s="0" t="n">
        <f aca="false">CurrentPositions!A147</f>
        <v>0</v>
      </c>
      <c r="B152" s="0" t="n">
        <f aca="false">CurrentPositions!B147</f>
        <v>0</v>
      </c>
      <c r="C152" s="0" t="n">
        <f aca="false">CurrentPositions!C147</f>
        <v>0</v>
      </c>
      <c r="D152" s="0" t="n">
        <f aca="false">CurrentPositions!D147</f>
        <v>0</v>
      </c>
      <c r="E152" s="0" t="n">
        <f aca="false">CurrentPositions!E147</f>
        <v>0</v>
      </c>
      <c r="F152" s="0" t="n">
        <f aca="false">$B$4</f>
        <v>1.24</v>
      </c>
      <c r="G152" s="0" t="n">
        <f aca="false">IF(B152="BUY",(F152-E152)/Settings!$B$3,(E152-F152)/Settings!$B$3)</f>
        <v>-12400</v>
      </c>
      <c r="H152" s="0" t="n">
        <f aca="false">G152*D152*Settings!$B$4</f>
        <v>-0</v>
      </c>
      <c r="I152" s="0" t="n">
        <f aca="false">CurrentPositions!I147</f>
        <v>0</v>
      </c>
      <c r="J152" s="0" t="n">
        <f aca="false">CurrentPositions!J147</f>
        <v>0</v>
      </c>
    </row>
    <row r="153" customFormat="false" ht="13.8" hidden="false" customHeight="false" outlineLevel="0" collapsed="false">
      <c r="A153" s="0" t="n">
        <f aca="false">CurrentPositions!A148</f>
        <v>0</v>
      </c>
      <c r="B153" s="0" t="n">
        <f aca="false">CurrentPositions!B148</f>
        <v>0</v>
      </c>
      <c r="C153" s="0" t="n">
        <f aca="false">CurrentPositions!C148</f>
        <v>0</v>
      </c>
      <c r="D153" s="0" t="n">
        <f aca="false">CurrentPositions!D148</f>
        <v>0</v>
      </c>
      <c r="E153" s="0" t="n">
        <f aca="false">CurrentPositions!E148</f>
        <v>0</v>
      </c>
      <c r="F153" s="0" t="n">
        <f aca="false">$B$4</f>
        <v>1.24</v>
      </c>
      <c r="G153" s="0" t="n">
        <f aca="false">IF(B153="BUY",(F153-E153)/Settings!$B$3,(E153-F153)/Settings!$B$3)</f>
        <v>-12400</v>
      </c>
      <c r="H153" s="0" t="n">
        <f aca="false">G153*D153*Settings!$B$4</f>
        <v>-0</v>
      </c>
      <c r="I153" s="0" t="n">
        <f aca="false">CurrentPositions!I148</f>
        <v>0</v>
      </c>
      <c r="J153" s="0" t="n">
        <f aca="false">CurrentPositions!J148</f>
        <v>0</v>
      </c>
    </row>
    <row r="154" customFormat="false" ht="13.8" hidden="false" customHeight="false" outlineLevel="0" collapsed="false">
      <c r="A154" s="0" t="n">
        <f aca="false">CurrentPositions!A149</f>
        <v>0</v>
      </c>
      <c r="B154" s="0" t="n">
        <f aca="false">CurrentPositions!B149</f>
        <v>0</v>
      </c>
      <c r="C154" s="0" t="n">
        <f aca="false">CurrentPositions!C149</f>
        <v>0</v>
      </c>
      <c r="D154" s="0" t="n">
        <f aca="false">CurrentPositions!D149</f>
        <v>0</v>
      </c>
      <c r="E154" s="0" t="n">
        <f aca="false">CurrentPositions!E149</f>
        <v>0</v>
      </c>
      <c r="F154" s="0" t="n">
        <f aca="false">$B$4</f>
        <v>1.24</v>
      </c>
      <c r="G154" s="0" t="n">
        <f aca="false">IF(B154="BUY",(F154-E154)/Settings!$B$3,(E154-F154)/Settings!$B$3)</f>
        <v>-12400</v>
      </c>
      <c r="H154" s="0" t="n">
        <f aca="false">G154*D154*Settings!$B$4</f>
        <v>-0</v>
      </c>
      <c r="I154" s="0" t="n">
        <f aca="false">CurrentPositions!I149</f>
        <v>0</v>
      </c>
      <c r="J154" s="0" t="n">
        <f aca="false">CurrentPositions!J149</f>
        <v>0</v>
      </c>
    </row>
    <row r="155" customFormat="false" ht="13.8" hidden="false" customHeight="false" outlineLevel="0" collapsed="false">
      <c r="A155" s="0" t="n">
        <f aca="false">CurrentPositions!A150</f>
        <v>0</v>
      </c>
      <c r="B155" s="0" t="n">
        <f aca="false">CurrentPositions!B150</f>
        <v>0</v>
      </c>
      <c r="C155" s="0" t="n">
        <f aca="false">CurrentPositions!C150</f>
        <v>0</v>
      </c>
      <c r="D155" s="0" t="n">
        <f aca="false">CurrentPositions!D150</f>
        <v>0</v>
      </c>
      <c r="E155" s="0" t="n">
        <f aca="false">CurrentPositions!E150</f>
        <v>0</v>
      </c>
      <c r="F155" s="0" t="n">
        <f aca="false">$B$4</f>
        <v>1.24</v>
      </c>
      <c r="G155" s="0" t="n">
        <f aca="false">IF(B155="BUY",(F155-E155)/Settings!$B$3,(E155-F155)/Settings!$B$3)</f>
        <v>-12400</v>
      </c>
      <c r="H155" s="0" t="n">
        <f aca="false">G155*D155*Settings!$B$4</f>
        <v>-0</v>
      </c>
      <c r="I155" s="0" t="n">
        <f aca="false">CurrentPositions!I150</f>
        <v>0</v>
      </c>
      <c r="J155" s="0" t="n">
        <f aca="false">CurrentPositions!J150</f>
        <v>0</v>
      </c>
    </row>
    <row r="156" customFormat="false" ht="13.8" hidden="false" customHeight="false" outlineLevel="0" collapsed="false">
      <c r="A156" s="0" t="n">
        <f aca="false">CurrentPositions!A151</f>
        <v>0</v>
      </c>
      <c r="B156" s="0" t="n">
        <f aca="false">CurrentPositions!B151</f>
        <v>0</v>
      </c>
      <c r="C156" s="0" t="n">
        <f aca="false">CurrentPositions!C151</f>
        <v>0</v>
      </c>
      <c r="D156" s="0" t="n">
        <f aca="false">CurrentPositions!D151</f>
        <v>0</v>
      </c>
      <c r="E156" s="0" t="n">
        <f aca="false">CurrentPositions!E151</f>
        <v>0</v>
      </c>
      <c r="F156" s="0" t="n">
        <f aca="false">$B$4</f>
        <v>1.24</v>
      </c>
      <c r="G156" s="0" t="n">
        <f aca="false">IF(B156="BUY",(F156-E156)/Settings!$B$3,(E156-F156)/Settings!$B$3)</f>
        <v>-12400</v>
      </c>
      <c r="H156" s="0" t="n">
        <f aca="false">G156*D156*Settings!$B$4</f>
        <v>-0</v>
      </c>
      <c r="I156" s="0" t="n">
        <f aca="false">CurrentPositions!I151</f>
        <v>0</v>
      </c>
      <c r="J156" s="0" t="n">
        <f aca="false">CurrentPositions!J151</f>
        <v>0</v>
      </c>
    </row>
    <row r="157" customFormat="false" ht="13.8" hidden="false" customHeight="false" outlineLevel="0" collapsed="false">
      <c r="A157" s="0" t="n">
        <f aca="false">CurrentPositions!A152</f>
        <v>0</v>
      </c>
      <c r="B157" s="0" t="n">
        <f aca="false">CurrentPositions!B152</f>
        <v>0</v>
      </c>
      <c r="C157" s="0" t="n">
        <f aca="false">CurrentPositions!C152</f>
        <v>0</v>
      </c>
      <c r="D157" s="0" t="n">
        <f aca="false">CurrentPositions!D152</f>
        <v>0</v>
      </c>
      <c r="E157" s="0" t="n">
        <f aca="false">CurrentPositions!E152</f>
        <v>0</v>
      </c>
      <c r="F157" s="0" t="n">
        <f aca="false">$B$4</f>
        <v>1.24</v>
      </c>
      <c r="G157" s="0" t="n">
        <f aca="false">IF(B157="BUY",(F157-E157)/Settings!$B$3,(E157-F157)/Settings!$B$3)</f>
        <v>-12400</v>
      </c>
      <c r="H157" s="0" t="n">
        <f aca="false">G157*D157*Settings!$B$4</f>
        <v>-0</v>
      </c>
      <c r="I157" s="0" t="n">
        <f aca="false">CurrentPositions!I152</f>
        <v>0</v>
      </c>
      <c r="J157" s="0" t="n">
        <f aca="false">CurrentPositions!J152</f>
        <v>0</v>
      </c>
    </row>
    <row r="158" customFormat="false" ht="13.8" hidden="false" customHeight="false" outlineLevel="0" collapsed="false">
      <c r="A158" s="0" t="n">
        <f aca="false">CurrentPositions!A153</f>
        <v>0</v>
      </c>
      <c r="B158" s="0" t="n">
        <f aca="false">CurrentPositions!B153</f>
        <v>0</v>
      </c>
      <c r="C158" s="0" t="n">
        <f aca="false">CurrentPositions!C153</f>
        <v>0</v>
      </c>
      <c r="D158" s="0" t="n">
        <f aca="false">CurrentPositions!D153</f>
        <v>0</v>
      </c>
      <c r="E158" s="0" t="n">
        <f aca="false">CurrentPositions!E153</f>
        <v>0</v>
      </c>
      <c r="F158" s="0" t="n">
        <f aca="false">$B$4</f>
        <v>1.24</v>
      </c>
      <c r="G158" s="0" t="n">
        <f aca="false">IF(B158="BUY",(F158-E158)/Settings!$B$3,(E158-F158)/Settings!$B$3)</f>
        <v>-12400</v>
      </c>
      <c r="H158" s="0" t="n">
        <f aca="false">G158*D158*Settings!$B$4</f>
        <v>-0</v>
      </c>
      <c r="I158" s="0" t="n">
        <f aca="false">CurrentPositions!I153</f>
        <v>0</v>
      </c>
      <c r="J158" s="0" t="n">
        <f aca="false">CurrentPositions!J153</f>
        <v>0</v>
      </c>
    </row>
    <row r="159" customFormat="false" ht="13.8" hidden="false" customHeight="false" outlineLevel="0" collapsed="false">
      <c r="A159" s="0" t="n">
        <f aca="false">CurrentPositions!A154</f>
        <v>0</v>
      </c>
      <c r="B159" s="0" t="n">
        <f aca="false">CurrentPositions!B154</f>
        <v>0</v>
      </c>
      <c r="C159" s="0" t="n">
        <f aca="false">CurrentPositions!C154</f>
        <v>0</v>
      </c>
      <c r="D159" s="0" t="n">
        <f aca="false">CurrentPositions!D154</f>
        <v>0</v>
      </c>
      <c r="E159" s="0" t="n">
        <f aca="false">CurrentPositions!E154</f>
        <v>0</v>
      </c>
      <c r="F159" s="0" t="n">
        <f aca="false">$B$4</f>
        <v>1.24</v>
      </c>
      <c r="G159" s="0" t="n">
        <f aca="false">IF(B159="BUY",(F159-E159)/Settings!$B$3,(E159-F159)/Settings!$B$3)</f>
        <v>-12400</v>
      </c>
      <c r="H159" s="0" t="n">
        <f aca="false">G159*D159*Settings!$B$4</f>
        <v>-0</v>
      </c>
      <c r="I159" s="0" t="n">
        <f aca="false">CurrentPositions!I154</f>
        <v>0</v>
      </c>
      <c r="J159" s="0" t="n">
        <f aca="false">CurrentPositions!J154</f>
        <v>0</v>
      </c>
    </row>
    <row r="160" customFormat="false" ht="13.8" hidden="false" customHeight="false" outlineLevel="0" collapsed="false">
      <c r="A160" s="0" t="n">
        <f aca="false">CurrentPositions!A155</f>
        <v>0</v>
      </c>
      <c r="B160" s="0" t="n">
        <f aca="false">CurrentPositions!B155</f>
        <v>0</v>
      </c>
      <c r="C160" s="0" t="n">
        <f aca="false">CurrentPositions!C155</f>
        <v>0</v>
      </c>
      <c r="D160" s="0" t="n">
        <f aca="false">CurrentPositions!D155</f>
        <v>0</v>
      </c>
      <c r="E160" s="0" t="n">
        <f aca="false">CurrentPositions!E155</f>
        <v>0</v>
      </c>
      <c r="F160" s="0" t="n">
        <f aca="false">$B$4</f>
        <v>1.24</v>
      </c>
      <c r="G160" s="0" t="n">
        <f aca="false">IF(B160="BUY",(F160-E160)/Settings!$B$3,(E160-F160)/Settings!$B$3)</f>
        <v>-12400</v>
      </c>
      <c r="H160" s="0" t="n">
        <f aca="false">G160*D160*Settings!$B$4</f>
        <v>-0</v>
      </c>
      <c r="I160" s="0" t="n">
        <f aca="false">CurrentPositions!I155</f>
        <v>0</v>
      </c>
      <c r="J160" s="0" t="n">
        <f aca="false">CurrentPositions!J155</f>
        <v>0</v>
      </c>
    </row>
    <row r="161" customFormat="false" ht="13.8" hidden="false" customHeight="false" outlineLevel="0" collapsed="false">
      <c r="A161" s="0" t="n">
        <f aca="false">CurrentPositions!A156</f>
        <v>0</v>
      </c>
      <c r="B161" s="0" t="n">
        <f aca="false">CurrentPositions!B156</f>
        <v>0</v>
      </c>
      <c r="C161" s="0" t="n">
        <f aca="false">CurrentPositions!C156</f>
        <v>0</v>
      </c>
      <c r="D161" s="0" t="n">
        <f aca="false">CurrentPositions!D156</f>
        <v>0</v>
      </c>
      <c r="E161" s="0" t="n">
        <f aca="false">CurrentPositions!E156</f>
        <v>0</v>
      </c>
      <c r="F161" s="0" t="n">
        <f aca="false">$B$4</f>
        <v>1.24</v>
      </c>
      <c r="G161" s="0" t="n">
        <f aca="false">IF(B161="BUY",(F161-E161)/Settings!$B$3,(E161-F161)/Settings!$B$3)</f>
        <v>-12400</v>
      </c>
      <c r="H161" s="0" t="n">
        <f aca="false">G161*D161*Settings!$B$4</f>
        <v>-0</v>
      </c>
      <c r="I161" s="0" t="n">
        <f aca="false">CurrentPositions!I156</f>
        <v>0</v>
      </c>
      <c r="J161" s="0" t="n">
        <f aca="false">CurrentPositions!J156</f>
        <v>0</v>
      </c>
    </row>
    <row r="162" customFormat="false" ht="13.8" hidden="false" customHeight="false" outlineLevel="0" collapsed="false">
      <c r="A162" s="0" t="n">
        <f aca="false">CurrentPositions!A157</f>
        <v>0</v>
      </c>
      <c r="B162" s="0" t="n">
        <f aca="false">CurrentPositions!B157</f>
        <v>0</v>
      </c>
      <c r="C162" s="0" t="n">
        <f aca="false">CurrentPositions!C157</f>
        <v>0</v>
      </c>
      <c r="D162" s="0" t="n">
        <f aca="false">CurrentPositions!D157</f>
        <v>0</v>
      </c>
      <c r="E162" s="0" t="n">
        <f aca="false">CurrentPositions!E157</f>
        <v>0</v>
      </c>
      <c r="F162" s="0" t="n">
        <f aca="false">$B$4</f>
        <v>1.24</v>
      </c>
      <c r="G162" s="0" t="n">
        <f aca="false">IF(B162="BUY",(F162-E162)/Settings!$B$3,(E162-F162)/Settings!$B$3)</f>
        <v>-12400</v>
      </c>
      <c r="H162" s="0" t="n">
        <f aca="false">G162*D162*Settings!$B$4</f>
        <v>-0</v>
      </c>
      <c r="I162" s="0" t="n">
        <f aca="false">CurrentPositions!I157</f>
        <v>0</v>
      </c>
      <c r="J162" s="0" t="n">
        <f aca="false">CurrentPositions!J157</f>
        <v>0</v>
      </c>
    </row>
    <row r="163" customFormat="false" ht="13.8" hidden="false" customHeight="false" outlineLevel="0" collapsed="false">
      <c r="A163" s="0" t="n">
        <f aca="false">CurrentPositions!A158</f>
        <v>0</v>
      </c>
      <c r="B163" s="0" t="n">
        <f aca="false">CurrentPositions!B158</f>
        <v>0</v>
      </c>
      <c r="C163" s="0" t="n">
        <f aca="false">CurrentPositions!C158</f>
        <v>0</v>
      </c>
      <c r="D163" s="0" t="n">
        <f aca="false">CurrentPositions!D158</f>
        <v>0</v>
      </c>
      <c r="E163" s="0" t="n">
        <f aca="false">CurrentPositions!E158</f>
        <v>0</v>
      </c>
      <c r="F163" s="0" t="n">
        <f aca="false">$B$4</f>
        <v>1.24</v>
      </c>
      <c r="G163" s="0" t="n">
        <f aca="false">IF(B163="BUY",(F163-E163)/Settings!$B$3,(E163-F163)/Settings!$B$3)</f>
        <v>-12400</v>
      </c>
      <c r="H163" s="0" t="n">
        <f aca="false">G163*D163*Settings!$B$4</f>
        <v>-0</v>
      </c>
      <c r="I163" s="0" t="n">
        <f aca="false">CurrentPositions!I158</f>
        <v>0</v>
      </c>
      <c r="J163" s="0" t="n">
        <f aca="false">CurrentPositions!J158</f>
        <v>0</v>
      </c>
    </row>
    <row r="164" customFormat="false" ht="13.8" hidden="false" customHeight="false" outlineLevel="0" collapsed="false">
      <c r="A164" s="0" t="n">
        <f aca="false">CurrentPositions!A159</f>
        <v>0</v>
      </c>
      <c r="B164" s="0" t="n">
        <f aca="false">CurrentPositions!B159</f>
        <v>0</v>
      </c>
      <c r="C164" s="0" t="n">
        <f aca="false">CurrentPositions!C159</f>
        <v>0</v>
      </c>
      <c r="D164" s="0" t="n">
        <f aca="false">CurrentPositions!D159</f>
        <v>0</v>
      </c>
      <c r="E164" s="0" t="n">
        <f aca="false">CurrentPositions!E159</f>
        <v>0</v>
      </c>
      <c r="F164" s="0" t="n">
        <f aca="false">$B$4</f>
        <v>1.24</v>
      </c>
      <c r="G164" s="0" t="n">
        <f aca="false">IF(B164="BUY",(F164-E164)/Settings!$B$3,(E164-F164)/Settings!$B$3)</f>
        <v>-12400</v>
      </c>
      <c r="H164" s="0" t="n">
        <f aca="false">G164*D164*Settings!$B$4</f>
        <v>-0</v>
      </c>
      <c r="I164" s="0" t="n">
        <f aca="false">CurrentPositions!I159</f>
        <v>0</v>
      </c>
      <c r="J164" s="0" t="n">
        <f aca="false">CurrentPositions!J159</f>
        <v>0</v>
      </c>
    </row>
    <row r="165" customFormat="false" ht="13.8" hidden="false" customHeight="false" outlineLevel="0" collapsed="false">
      <c r="A165" s="0" t="n">
        <f aca="false">CurrentPositions!A160</f>
        <v>0</v>
      </c>
      <c r="B165" s="0" t="n">
        <f aca="false">CurrentPositions!B160</f>
        <v>0</v>
      </c>
      <c r="C165" s="0" t="n">
        <f aca="false">CurrentPositions!C160</f>
        <v>0</v>
      </c>
      <c r="D165" s="0" t="n">
        <f aca="false">CurrentPositions!D160</f>
        <v>0</v>
      </c>
      <c r="E165" s="0" t="n">
        <f aca="false">CurrentPositions!E160</f>
        <v>0</v>
      </c>
      <c r="F165" s="0" t="n">
        <f aca="false">$B$4</f>
        <v>1.24</v>
      </c>
      <c r="G165" s="0" t="n">
        <f aca="false">IF(B165="BUY",(F165-E165)/Settings!$B$3,(E165-F165)/Settings!$B$3)</f>
        <v>-12400</v>
      </c>
      <c r="H165" s="0" t="n">
        <f aca="false">G165*D165*Settings!$B$4</f>
        <v>-0</v>
      </c>
      <c r="I165" s="0" t="n">
        <f aca="false">CurrentPositions!I160</f>
        <v>0</v>
      </c>
      <c r="J165" s="0" t="n">
        <f aca="false">CurrentPositions!J160</f>
        <v>0</v>
      </c>
    </row>
    <row r="166" customFormat="false" ht="13.8" hidden="false" customHeight="false" outlineLevel="0" collapsed="false">
      <c r="A166" s="0" t="n">
        <f aca="false">CurrentPositions!A161</f>
        <v>0</v>
      </c>
      <c r="B166" s="0" t="n">
        <f aca="false">CurrentPositions!B161</f>
        <v>0</v>
      </c>
      <c r="C166" s="0" t="n">
        <f aca="false">CurrentPositions!C161</f>
        <v>0</v>
      </c>
      <c r="D166" s="0" t="n">
        <f aca="false">CurrentPositions!D161</f>
        <v>0</v>
      </c>
      <c r="E166" s="0" t="n">
        <f aca="false">CurrentPositions!E161</f>
        <v>0</v>
      </c>
      <c r="F166" s="0" t="n">
        <f aca="false">$B$4</f>
        <v>1.24</v>
      </c>
      <c r="G166" s="0" t="n">
        <f aca="false">IF(B166="BUY",(F166-E166)/Settings!$B$3,(E166-F166)/Settings!$B$3)</f>
        <v>-12400</v>
      </c>
      <c r="H166" s="0" t="n">
        <f aca="false">G166*D166*Settings!$B$4</f>
        <v>-0</v>
      </c>
      <c r="I166" s="0" t="n">
        <f aca="false">CurrentPositions!I161</f>
        <v>0</v>
      </c>
      <c r="J166" s="0" t="n">
        <f aca="false">CurrentPositions!J161</f>
        <v>0</v>
      </c>
    </row>
    <row r="167" customFormat="false" ht="13.8" hidden="false" customHeight="false" outlineLevel="0" collapsed="false">
      <c r="A167" s="0" t="n">
        <f aca="false">CurrentPositions!A162</f>
        <v>0</v>
      </c>
      <c r="B167" s="0" t="n">
        <f aca="false">CurrentPositions!B162</f>
        <v>0</v>
      </c>
      <c r="C167" s="0" t="n">
        <f aca="false">CurrentPositions!C162</f>
        <v>0</v>
      </c>
      <c r="D167" s="0" t="n">
        <f aca="false">CurrentPositions!D162</f>
        <v>0</v>
      </c>
      <c r="E167" s="0" t="n">
        <f aca="false">CurrentPositions!E162</f>
        <v>0</v>
      </c>
      <c r="F167" s="0" t="n">
        <f aca="false">$B$4</f>
        <v>1.24</v>
      </c>
      <c r="G167" s="0" t="n">
        <f aca="false">IF(B167="BUY",(F167-E167)/Settings!$B$3,(E167-F167)/Settings!$B$3)</f>
        <v>-12400</v>
      </c>
      <c r="H167" s="0" t="n">
        <f aca="false">G167*D167*Settings!$B$4</f>
        <v>-0</v>
      </c>
      <c r="I167" s="0" t="n">
        <f aca="false">CurrentPositions!I162</f>
        <v>0</v>
      </c>
      <c r="J167" s="0" t="n">
        <f aca="false">CurrentPositions!J162</f>
        <v>0</v>
      </c>
    </row>
    <row r="168" customFormat="false" ht="13.8" hidden="false" customHeight="false" outlineLevel="0" collapsed="false">
      <c r="A168" s="0" t="n">
        <f aca="false">CurrentPositions!A163</f>
        <v>0</v>
      </c>
      <c r="B168" s="0" t="n">
        <f aca="false">CurrentPositions!B163</f>
        <v>0</v>
      </c>
      <c r="C168" s="0" t="n">
        <f aca="false">CurrentPositions!C163</f>
        <v>0</v>
      </c>
      <c r="D168" s="0" t="n">
        <f aca="false">CurrentPositions!D163</f>
        <v>0</v>
      </c>
      <c r="E168" s="0" t="n">
        <f aca="false">CurrentPositions!E163</f>
        <v>0</v>
      </c>
      <c r="F168" s="0" t="n">
        <f aca="false">$B$4</f>
        <v>1.24</v>
      </c>
      <c r="G168" s="0" t="n">
        <f aca="false">IF(B168="BUY",(F168-E168)/Settings!$B$3,(E168-F168)/Settings!$B$3)</f>
        <v>-12400</v>
      </c>
      <c r="H168" s="0" t="n">
        <f aca="false">G168*D168*Settings!$B$4</f>
        <v>-0</v>
      </c>
      <c r="I168" s="0" t="n">
        <f aca="false">CurrentPositions!I163</f>
        <v>0</v>
      </c>
      <c r="J168" s="0" t="n">
        <f aca="false">CurrentPositions!J163</f>
        <v>0</v>
      </c>
    </row>
    <row r="169" customFormat="false" ht="13.8" hidden="false" customHeight="false" outlineLevel="0" collapsed="false">
      <c r="A169" s="0" t="n">
        <f aca="false">CurrentPositions!A164</f>
        <v>0</v>
      </c>
      <c r="B169" s="0" t="n">
        <f aca="false">CurrentPositions!B164</f>
        <v>0</v>
      </c>
      <c r="C169" s="0" t="n">
        <f aca="false">CurrentPositions!C164</f>
        <v>0</v>
      </c>
      <c r="D169" s="0" t="n">
        <f aca="false">CurrentPositions!D164</f>
        <v>0</v>
      </c>
      <c r="E169" s="0" t="n">
        <f aca="false">CurrentPositions!E164</f>
        <v>0</v>
      </c>
      <c r="F169" s="0" t="n">
        <f aca="false">$B$4</f>
        <v>1.24</v>
      </c>
      <c r="G169" s="0" t="n">
        <f aca="false">IF(B169="BUY",(F169-E169)/Settings!$B$3,(E169-F169)/Settings!$B$3)</f>
        <v>-12400</v>
      </c>
      <c r="H169" s="0" t="n">
        <f aca="false">G169*D169*Settings!$B$4</f>
        <v>-0</v>
      </c>
      <c r="I169" s="0" t="n">
        <f aca="false">CurrentPositions!I164</f>
        <v>0</v>
      </c>
      <c r="J169" s="0" t="n">
        <f aca="false">CurrentPositions!J164</f>
        <v>0</v>
      </c>
    </row>
    <row r="170" customFormat="false" ht="13.8" hidden="false" customHeight="false" outlineLevel="0" collapsed="false">
      <c r="A170" s="0" t="n">
        <f aca="false">CurrentPositions!A165</f>
        <v>0</v>
      </c>
      <c r="B170" s="0" t="n">
        <f aca="false">CurrentPositions!B165</f>
        <v>0</v>
      </c>
      <c r="C170" s="0" t="n">
        <f aca="false">CurrentPositions!C165</f>
        <v>0</v>
      </c>
      <c r="D170" s="0" t="n">
        <f aca="false">CurrentPositions!D165</f>
        <v>0</v>
      </c>
      <c r="E170" s="0" t="n">
        <f aca="false">CurrentPositions!E165</f>
        <v>0</v>
      </c>
      <c r="F170" s="0" t="n">
        <f aca="false">$B$4</f>
        <v>1.24</v>
      </c>
      <c r="G170" s="0" t="n">
        <f aca="false">IF(B170="BUY",(F170-E170)/Settings!$B$3,(E170-F170)/Settings!$B$3)</f>
        <v>-12400</v>
      </c>
      <c r="H170" s="0" t="n">
        <f aca="false">G170*D170*Settings!$B$4</f>
        <v>-0</v>
      </c>
      <c r="I170" s="0" t="n">
        <f aca="false">CurrentPositions!I165</f>
        <v>0</v>
      </c>
      <c r="J170" s="0" t="n">
        <f aca="false">CurrentPositions!J165</f>
        <v>0</v>
      </c>
    </row>
    <row r="171" customFormat="false" ht="13.8" hidden="false" customHeight="false" outlineLevel="0" collapsed="false">
      <c r="A171" s="0" t="n">
        <f aca="false">CurrentPositions!A166</f>
        <v>0</v>
      </c>
      <c r="B171" s="0" t="n">
        <f aca="false">CurrentPositions!B166</f>
        <v>0</v>
      </c>
      <c r="C171" s="0" t="n">
        <f aca="false">CurrentPositions!C166</f>
        <v>0</v>
      </c>
      <c r="D171" s="0" t="n">
        <f aca="false">CurrentPositions!D166</f>
        <v>0</v>
      </c>
      <c r="E171" s="0" t="n">
        <f aca="false">CurrentPositions!E166</f>
        <v>0</v>
      </c>
      <c r="F171" s="0" t="n">
        <f aca="false">$B$4</f>
        <v>1.24</v>
      </c>
      <c r="G171" s="0" t="n">
        <f aca="false">IF(B171="BUY",(F171-E171)/Settings!$B$3,(E171-F171)/Settings!$B$3)</f>
        <v>-12400</v>
      </c>
      <c r="H171" s="0" t="n">
        <f aca="false">G171*D171*Settings!$B$4</f>
        <v>-0</v>
      </c>
      <c r="I171" s="0" t="n">
        <f aca="false">CurrentPositions!I166</f>
        <v>0</v>
      </c>
      <c r="J171" s="0" t="n">
        <f aca="false">CurrentPositions!J166</f>
        <v>0</v>
      </c>
    </row>
    <row r="172" customFormat="false" ht="13.8" hidden="false" customHeight="false" outlineLevel="0" collapsed="false">
      <c r="A172" s="0" t="n">
        <f aca="false">CurrentPositions!A167</f>
        <v>0</v>
      </c>
      <c r="B172" s="0" t="n">
        <f aca="false">CurrentPositions!B167</f>
        <v>0</v>
      </c>
      <c r="C172" s="0" t="n">
        <f aca="false">CurrentPositions!C167</f>
        <v>0</v>
      </c>
      <c r="D172" s="0" t="n">
        <f aca="false">CurrentPositions!D167</f>
        <v>0</v>
      </c>
      <c r="E172" s="0" t="n">
        <f aca="false">CurrentPositions!E167</f>
        <v>0</v>
      </c>
      <c r="F172" s="0" t="n">
        <f aca="false">$B$4</f>
        <v>1.24</v>
      </c>
      <c r="G172" s="0" t="n">
        <f aca="false">IF(B172="BUY",(F172-E172)/Settings!$B$3,(E172-F172)/Settings!$B$3)</f>
        <v>-12400</v>
      </c>
      <c r="H172" s="0" t="n">
        <f aca="false">G172*D172*Settings!$B$4</f>
        <v>-0</v>
      </c>
      <c r="I172" s="0" t="n">
        <f aca="false">CurrentPositions!I167</f>
        <v>0</v>
      </c>
      <c r="J172" s="0" t="n">
        <f aca="false">CurrentPositions!J167</f>
        <v>0</v>
      </c>
    </row>
    <row r="173" customFormat="false" ht="13.8" hidden="false" customHeight="false" outlineLevel="0" collapsed="false">
      <c r="A173" s="0" t="n">
        <f aca="false">CurrentPositions!A168</f>
        <v>0</v>
      </c>
      <c r="B173" s="0" t="n">
        <f aca="false">CurrentPositions!B168</f>
        <v>0</v>
      </c>
      <c r="C173" s="0" t="n">
        <f aca="false">CurrentPositions!C168</f>
        <v>0</v>
      </c>
      <c r="D173" s="0" t="n">
        <f aca="false">CurrentPositions!D168</f>
        <v>0</v>
      </c>
      <c r="E173" s="0" t="n">
        <f aca="false">CurrentPositions!E168</f>
        <v>0</v>
      </c>
      <c r="F173" s="0" t="n">
        <f aca="false">$B$4</f>
        <v>1.24</v>
      </c>
      <c r="G173" s="0" t="n">
        <f aca="false">IF(B173="BUY",(F173-E173)/Settings!$B$3,(E173-F173)/Settings!$B$3)</f>
        <v>-12400</v>
      </c>
      <c r="H173" s="0" t="n">
        <f aca="false">G173*D173*Settings!$B$4</f>
        <v>-0</v>
      </c>
      <c r="I173" s="0" t="n">
        <f aca="false">CurrentPositions!I168</f>
        <v>0</v>
      </c>
      <c r="J173" s="0" t="n">
        <f aca="false">CurrentPositions!J168</f>
        <v>0</v>
      </c>
    </row>
    <row r="174" customFormat="false" ht="13.8" hidden="false" customHeight="false" outlineLevel="0" collapsed="false">
      <c r="A174" s="0" t="n">
        <f aca="false">CurrentPositions!A169</f>
        <v>0</v>
      </c>
      <c r="B174" s="0" t="n">
        <f aca="false">CurrentPositions!B169</f>
        <v>0</v>
      </c>
      <c r="C174" s="0" t="n">
        <f aca="false">CurrentPositions!C169</f>
        <v>0</v>
      </c>
      <c r="D174" s="0" t="n">
        <f aca="false">CurrentPositions!D169</f>
        <v>0</v>
      </c>
      <c r="E174" s="0" t="n">
        <f aca="false">CurrentPositions!E169</f>
        <v>0</v>
      </c>
      <c r="F174" s="0" t="n">
        <f aca="false">$B$4</f>
        <v>1.24</v>
      </c>
      <c r="G174" s="0" t="n">
        <f aca="false">IF(B174="BUY",(F174-E174)/Settings!$B$3,(E174-F174)/Settings!$B$3)</f>
        <v>-12400</v>
      </c>
      <c r="H174" s="0" t="n">
        <f aca="false">G174*D174*Settings!$B$4</f>
        <v>-0</v>
      </c>
      <c r="I174" s="0" t="n">
        <f aca="false">CurrentPositions!I169</f>
        <v>0</v>
      </c>
      <c r="J174" s="0" t="n">
        <f aca="false">CurrentPositions!J169</f>
        <v>0</v>
      </c>
    </row>
    <row r="175" customFormat="false" ht="13.8" hidden="false" customHeight="false" outlineLevel="0" collapsed="false">
      <c r="A175" s="0" t="n">
        <f aca="false">CurrentPositions!A170</f>
        <v>0</v>
      </c>
      <c r="B175" s="0" t="n">
        <f aca="false">CurrentPositions!B170</f>
        <v>0</v>
      </c>
      <c r="C175" s="0" t="n">
        <f aca="false">CurrentPositions!C170</f>
        <v>0</v>
      </c>
      <c r="D175" s="0" t="n">
        <f aca="false">CurrentPositions!D170</f>
        <v>0</v>
      </c>
      <c r="E175" s="0" t="n">
        <f aca="false">CurrentPositions!E170</f>
        <v>0</v>
      </c>
      <c r="F175" s="0" t="n">
        <f aca="false">$B$4</f>
        <v>1.24</v>
      </c>
      <c r="G175" s="0" t="n">
        <f aca="false">IF(B175="BUY",(F175-E175)/Settings!$B$3,(E175-F175)/Settings!$B$3)</f>
        <v>-12400</v>
      </c>
      <c r="H175" s="0" t="n">
        <f aca="false">G175*D175*Settings!$B$4</f>
        <v>-0</v>
      </c>
      <c r="I175" s="0" t="n">
        <f aca="false">CurrentPositions!I170</f>
        <v>0</v>
      </c>
      <c r="J175" s="0" t="n">
        <f aca="false">CurrentPositions!J170</f>
        <v>0</v>
      </c>
    </row>
    <row r="176" customFormat="false" ht="13.8" hidden="false" customHeight="false" outlineLevel="0" collapsed="false">
      <c r="A176" s="0" t="n">
        <f aca="false">CurrentPositions!A171</f>
        <v>0</v>
      </c>
      <c r="B176" s="0" t="n">
        <f aca="false">CurrentPositions!B171</f>
        <v>0</v>
      </c>
      <c r="C176" s="0" t="n">
        <f aca="false">CurrentPositions!C171</f>
        <v>0</v>
      </c>
      <c r="D176" s="0" t="n">
        <f aca="false">CurrentPositions!D171</f>
        <v>0</v>
      </c>
      <c r="E176" s="0" t="n">
        <f aca="false">CurrentPositions!E171</f>
        <v>0</v>
      </c>
      <c r="F176" s="0" t="n">
        <f aca="false">$B$4</f>
        <v>1.24</v>
      </c>
      <c r="G176" s="0" t="n">
        <f aca="false">IF(B176="BUY",(F176-E176)/Settings!$B$3,(E176-F176)/Settings!$B$3)</f>
        <v>-12400</v>
      </c>
      <c r="H176" s="0" t="n">
        <f aca="false">G176*D176*Settings!$B$4</f>
        <v>-0</v>
      </c>
      <c r="I176" s="0" t="n">
        <f aca="false">CurrentPositions!I171</f>
        <v>0</v>
      </c>
      <c r="J176" s="0" t="n">
        <f aca="false">CurrentPositions!J171</f>
        <v>0</v>
      </c>
    </row>
    <row r="177" customFormat="false" ht="13.8" hidden="false" customHeight="false" outlineLevel="0" collapsed="false">
      <c r="A177" s="0" t="n">
        <f aca="false">CurrentPositions!A172</f>
        <v>0</v>
      </c>
      <c r="B177" s="0" t="n">
        <f aca="false">CurrentPositions!B172</f>
        <v>0</v>
      </c>
      <c r="C177" s="0" t="n">
        <f aca="false">CurrentPositions!C172</f>
        <v>0</v>
      </c>
      <c r="D177" s="0" t="n">
        <f aca="false">CurrentPositions!D172</f>
        <v>0</v>
      </c>
      <c r="E177" s="0" t="n">
        <f aca="false">CurrentPositions!E172</f>
        <v>0</v>
      </c>
      <c r="F177" s="0" t="n">
        <f aca="false">$B$4</f>
        <v>1.24</v>
      </c>
      <c r="G177" s="0" t="n">
        <f aca="false">IF(B177="BUY",(F177-E177)/Settings!$B$3,(E177-F177)/Settings!$B$3)</f>
        <v>-12400</v>
      </c>
      <c r="H177" s="0" t="n">
        <f aca="false">G177*D177*Settings!$B$4</f>
        <v>-0</v>
      </c>
      <c r="I177" s="0" t="n">
        <f aca="false">CurrentPositions!I172</f>
        <v>0</v>
      </c>
      <c r="J177" s="0" t="n">
        <f aca="false">CurrentPositions!J172</f>
        <v>0</v>
      </c>
    </row>
    <row r="178" customFormat="false" ht="13.8" hidden="false" customHeight="false" outlineLevel="0" collapsed="false">
      <c r="A178" s="0" t="n">
        <f aca="false">CurrentPositions!A173</f>
        <v>0</v>
      </c>
      <c r="B178" s="0" t="n">
        <f aca="false">CurrentPositions!B173</f>
        <v>0</v>
      </c>
      <c r="C178" s="0" t="n">
        <f aca="false">CurrentPositions!C173</f>
        <v>0</v>
      </c>
      <c r="D178" s="0" t="n">
        <f aca="false">CurrentPositions!D173</f>
        <v>0</v>
      </c>
      <c r="E178" s="0" t="n">
        <f aca="false">CurrentPositions!E173</f>
        <v>0</v>
      </c>
      <c r="F178" s="0" t="n">
        <f aca="false">$B$4</f>
        <v>1.24</v>
      </c>
      <c r="G178" s="0" t="n">
        <f aca="false">IF(B178="BUY",(F178-E178)/Settings!$B$3,(E178-F178)/Settings!$B$3)</f>
        <v>-12400</v>
      </c>
      <c r="H178" s="0" t="n">
        <f aca="false">G178*D178*Settings!$B$4</f>
        <v>-0</v>
      </c>
      <c r="I178" s="0" t="n">
        <f aca="false">CurrentPositions!I173</f>
        <v>0</v>
      </c>
      <c r="J178" s="0" t="n">
        <f aca="false">CurrentPositions!J173</f>
        <v>0</v>
      </c>
    </row>
    <row r="179" customFormat="false" ht="13.8" hidden="false" customHeight="false" outlineLevel="0" collapsed="false">
      <c r="A179" s="0" t="n">
        <f aca="false">CurrentPositions!A174</f>
        <v>0</v>
      </c>
      <c r="B179" s="0" t="n">
        <f aca="false">CurrentPositions!B174</f>
        <v>0</v>
      </c>
      <c r="C179" s="0" t="n">
        <f aca="false">CurrentPositions!C174</f>
        <v>0</v>
      </c>
      <c r="D179" s="0" t="n">
        <f aca="false">CurrentPositions!D174</f>
        <v>0</v>
      </c>
      <c r="E179" s="0" t="n">
        <f aca="false">CurrentPositions!E174</f>
        <v>0</v>
      </c>
      <c r="F179" s="0" t="n">
        <f aca="false">$B$4</f>
        <v>1.24</v>
      </c>
      <c r="G179" s="0" t="n">
        <f aca="false">IF(B179="BUY",(F179-E179)/Settings!$B$3,(E179-F179)/Settings!$B$3)</f>
        <v>-12400</v>
      </c>
      <c r="H179" s="0" t="n">
        <f aca="false">G179*D179*Settings!$B$4</f>
        <v>-0</v>
      </c>
      <c r="I179" s="0" t="n">
        <f aca="false">CurrentPositions!I174</f>
        <v>0</v>
      </c>
      <c r="J179" s="0" t="n">
        <f aca="false">CurrentPositions!J174</f>
        <v>0</v>
      </c>
    </row>
    <row r="180" customFormat="false" ht="13.8" hidden="false" customHeight="false" outlineLevel="0" collapsed="false">
      <c r="A180" s="0" t="n">
        <f aca="false">CurrentPositions!A175</f>
        <v>0</v>
      </c>
      <c r="B180" s="0" t="n">
        <f aca="false">CurrentPositions!B175</f>
        <v>0</v>
      </c>
      <c r="C180" s="0" t="n">
        <f aca="false">CurrentPositions!C175</f>
        <v>0</v>
      </c>
      <c r="D180" s="0" t="n">
        <f aca="false">CurrentPositions!D175</f>
        <v>0</v>
      </c>
      <c r="E180" s="0" t="n">
        <f aca="false">CurrentPositions!E175</f>
        <v>0</v>
      </c>
      <c r="F180" s="0" t="n">
        <f aca="false">$B$4</f>
        <v>1.24</v>
      </c>
      <c r="G180" s="0" t="n">
        <f aca="false">IF(B180="BUY",(F180-E180)/Settings!$B$3,(E180-F180)/Settings!$B$3)</f>
        <v>-12400</v>
      </c>
      <c r="H180" s="0" t="n">
        <f aca="false">G180*D180*Settings!$B$4</f>
        <v>-0</v>
      </c>
      <c r="I180" s="0" t="n">
        <f aca="false">CurrentPositions!I175</f>
        <v>0</v>
      </c>
      <c r="J180" s="0" t="n">
        <f aca="false">CurrentPositions!J175</f>
        <v>0</v>
      </c>
    </row>
    <row r="181" customFormat="false" ht="13.8" hidden="false" customHeight="false" outlineLevel="0" collapsed="false">
      <c r="A181" s="0" t="n">
        <f aca="false">CurrentPositions!A176</f>
        <v>0</v>
      </c>
      <c r="B181" s="0" t="n">
        <f aca="false">CurrentPositions!B176</f>
        <v>0</v>
      </c>
      <c r="C181" s="0" t="n">
        <f aca="false">CurrentPositions!C176</f>
        <v>0</v>
      </c>
      <c r="D181" s="0" t="n">
        <f aca="false">CurrentPositions!D176</f>
        <v>0</v>
      </c>
      <c r="E181" s="0" t="n">
        <f aca="false">CurrentPositions!E176</f>
        <v>0</v>
      </c>
      <c r="F181" s="0" t="n">
        <f aca="false">$B$4</f>
        <v>1.24</v>
      </c>
      <c r="G181" s="0" t="n">
        <f aca="false">IF(B181="BUY",(F181-E181)/Settings!$B$3,(E181-F181)/Settings!$B$3)</f>
        <v>-12400</v>
      </c>
      <c r="H181" s="0" t="n">
        <f aca="false">G181*D181*Settings!$B$4</f>
        <v>-0</v>
      </c>
      <c r="I181" s="0" t="n">
        <f aca="false">CurrentPositions!I176</f>
        <v>0</v>
      </c>
      <c r="J181" s="0" t="n">
        <f aca="false">CurrentPositions!J176</f>
        <v>0</v>
      </c>
    </row>
    <row r="182" customFormat="false" ht="13.8" hidden="false" customHeight="false" outlineLevel="0" collapsed="false">
      <c r="A182" s="0" t="n">
        <f aca="false">CurrentPositions!A177</f>
        <v>0</v>
      </c>
      <c r="B182" s="0" t="n">
        <f aca="false">CurrentPositions!B177</f>
        <v>0</v>
      </c>
      <c r="C182" s="0" t="n">
        <f aca="false">CurrentPositions!C177</f>
        <v>0</v>
      </c>
      <c r="D182" s="0" t="n">
        <f aca="false">CurrentPositions!D177</f>
        <v>0</v>
      </c>
      <c r="E182" s="0" t="n">
        <f aca="false">CurrentPositions!E177</f>
        <v>0</v>
      </c>
      <c r="F182" s="0" t="n">
        <f aca="false">$B$4</f>
        <v>1.24</v>
      </c>
      <c r="G182" s="0" t="n">
        <f aca="false">IF(B182="BUY",(F182-E182)/Settings!$B$3,(E182-F182)/Settings!$B$3)</f>
        <v>-12400</v>
      </c>
      <c r="H182" s="0" t="n">
        <f aca="false">G182*D182*Settings!$B$4</f>
        <v>-0</v>
      </c>
      <c r="I182" s="0" t="n">
        <f aca="false">CurrentPositions!I177</f>
        <v>0</v>
      </c>
      <c r="J182" s="0" t="n">
        <f aca="false">CurrentPositions!J177</f>
        <v>0</v>
      </c>
    </row>
    <row r="183" customFormat="false" ht="13.8" hidden="false" customHeight="false" outlineLevel="0" collapsed="false">
      <c r="A183" s="0" t="n">
        <f aca="false">CurrentPositions!A178</f>
        <v>0</v>
      </c>
      <c r="B183" s="0" t="n">
        <f aca="false">CurrentPositions!B178</f>
        <v>0</v>
      </c>
      <c r="C183" s="0" t="n">
        <f aca="false">CurrentPositions!C178</f>
        <v>0</v>
      </c>
      <c r="D183" s="0" t="n">
        <f aca="false">CurrentPositions!D178</f>
        <v>0</v>
      </c>
      <c r="E183" s="0" t="n">
        <f aca="false">CurrentPositions!E178</f>
        <v>0</v>
      </c>
      <c r="F183" s="0" t="n">
        <f aca="false">$B$4</f>
        <v>1.24</v>
      </c>
      <c r="G183" s="0" t="n">
        <f aca="false">IF(B183="BUY",(F183-E183)/Settings!$B$3,(E183-F183)/Settings!$B$3)</f>
        <v>-12400</v>
      </c>
      <c r="H183" s="0" t="n">
        <f aca="false">G183*D183*Settings!$B$4</f>
        <v>-0</v>
      </c>
      <c r="I183" s="0" t="n">
        <f aca="false">CurrentPositions!I178</f>
        <v>0</v>
      </c>
      <c r="J183" s="0" t="n">
        <f aca="false">CurrentPositions!J178</f>
        <v>0</v>
      </c>
    </row>
    <row r="184" customFormat="false" ht="13.8" hidden="false" customHeight="false" outlineLevel="0" collapsed="false">
      <c r="A184" s="0" t="n">
        <f aca="false">CurrentPositions!A179</f>
        <v>0</v>
      </c>
      <c r="B184" s="0" t="n">
        <f aca="false">CurrentPositions!B179</f>
        <v>0</v>
      </c>
      <c r="C184" s="0" t="n">
        <f aca="false">CurrentPositions!C179</f>
        <v>0</v>
      </c>
      <c r="D184" s="0" t="n">
        <f aca="false">CurrentPositions!D179</f>
        <v>0</v>
      </c>
      <c r="E184" s="0" t="n">
        <f aca="false">CurrentPositions!E179</f>
        <v>0</v>
      </c>
      <c r="F184" s="0" t="n">
        <f aca="false">$B$4</f>
        <v>1.24</v>
      </c>
      <c r="G184" s="0" t="n">
        <f aca="false">IF(B184="BUY",(F184-E184)/Settings!$B$3,(E184-F184)/Settings!$B$3)</f>
        <v>-12400</v>
      </c>
      <c r="H184" s="0" t="n">
        <f aca="false">G184*D184*Settings!$B$4</f>
        <v>-0</v>
      </c>
      <c r="I184" s="0" t="n">
        <f aca="false">CurrentPositions!I179</f>
        <v>0</v>
      </c>
      <c r="J184" s="0" t="n">
        <f aca="false">CurrentPositions!J179</f>
        <v>0</v>
      </c>
    </row>
    <row r="185" customFormat="false" ht="13.8" hidden="false" customHeight="false" outlineLevel="0" collapsed="false">
      <c r="A185" s="0" t="n">
        <f aca="false">CurrentPositions!A180</f>
        <v>0</v>
      </c>
      <c r="B185" s="0" t="n">
        <f aca="false">CurrentPositions!B180</f>
        <v>0</v>
      </c>
      <c r="C185" s="0" t="n">
        <f aca="false">CurrentPositions!C180</f>
        <v>0</v>
      </c>
      <c r="D185" s="0" t="n">
        <f aca="false">CurrentPositions!D180</f>
        <v>0</v>
      </c>
      <c r="E185" s="0" t="n">
        <f aca="false">CurrentPositions!E180</f>
        <v>0</v>
      </c>
      <c r="F185" s="0" t="n">
        <f aca="false">$B$4</f>
        <v>1.24</v>
      </c>
      <c r="G185" s="0" t="n">
        <f aca="false">IF(B185="BUY",(F185-E185)/Settings!$B$3,(E185-F185)/Settings!$B$3)</f>
        <v>-12400</v>
      </c>
      <c r="H185" s="0" t="n">
        <f aca="false">G185*D185*Settings!$B$4</f>
        <v>-0</v>
      </c>
      <c r="I185" s="0" t="n">
        <f aca="false">CurrentPositions!I180</f>
        <v>0</v>
      </c>
      <c r="J185" s="0" t="n">
        <f aca="false">CurrentPositions!J180</f>
        <v>0</v>
      </c>
    </row>
    <row r="186" customFormat="false" ht="13.8" hidden="false" customHeight="false" outlineLevel="0" collapsed="false">
      <c r="A186" s="0" t="n">
        <f aca="false">CurrentPositions!A181</f>
        <v>0</v>
      </c>
      <c r="B186" s="0" t="n">
        <f aca="false">CurrentPositions!B181</f>
        <v>0</v>
      </c>
      <c r="C186" s="0" t="n">
        <f aca="false">CurrentPositions!C181</f>
        <v>0</v>
      </c>
      <c r="D186" s="0" t="n">
        <f aca="false">CurrentPositions!D181</f>
        <v>0</v>
      </c>
      <c r="E186" s="0" t="n">
        <f aca="false">CurrentPositions!E181</f>
        <v>0</v>
      </c>
      <c r="F186" s="0" t="n">
        <f aca="false">$B$4</f>
        <v>1.24</v>
      </c>
      <c r="G186" s="0" t="n">
        <f aca="false">IF(B186="BUY",(F186-E186)/Settings!$B$3,(E186-F186)/Settings!$B$3)</f>
        <v>-12400</v>
      </c>
      <c r="H186" s="0" t="n">
        <f aca="false">G186*D186*Settings!$B$4</f>
        <v>-0</v>
      </c>
      <c r="I186" s="0" t="n">
        <f aca="false">CurrentPositions!I181</f>
        <v>0</v>
      </c>
      <c r="J186" s="0" t="n">
        <f aca="false">CurrentPositions!J181</f>
        <v>0</v>
      </c>
    </row>
    <row r="187" customFormat="false" ht="13.8" hidden="false" customHeight="false" outlineLevel="0" collapsed="false">
      <c r="A187" s="0" t="n">
        <f aca="false">CurrentPositions!A182</f>
        <v>0</v>
      </c>
      <c r="B187" s="0" t="n">
        <f aca="false">CurrentPositions!B182</f>
        <v>0</v>
      </c>
      <c r="C187" s="0" t="n">
        <f aca="false">CurrentPositions!C182</f>
        <v>0</v>
      </c>
      <c r="D187" s="0" t="n">
        <f aca="false">CurrentPositions!D182</f>
        <v>0</v>
      </c>
      <c r="E187" s="0" t="n">
        <f aca="false">CurrentPositions!E182</f>
        <v>0</v>
      </c>
      <c r="F187" s="0" t="n">
        <f aca="false">$B$4</f>
        <v>1.24</v>
      </c>
      <c r="G187" s="0" t="n">
        <f aca="false">IF(B187="BUY",(F187-E187)/Settings!$B$3,(E187-F187)/Settings!$B$3)</f>
        <v>-12400</v>
      </c>
      <c r="H187" s="0" t="n">
        <f aca="false">G187*D187*Settings!$B$4</f>
        <v>-0</v>
      </c>
      <c r="I187" s="0" t="n">
        <f aca="false">CurrentPositions!I182</f>
        <v>0</v>
      </c>
      <c r="J187" s="0" t="n">
        <f aca="false">CurrentPositions!J182</f>
        <v>0</v>
      </c>
    </row>
    <row r="188" customFormat="false" ht="13.8" hidden="false" customHeight="false" outlineLevel="0" collapsed="false">
      <c r="A188" s="0" t="n">
        <f aca="false">CurrentPositions!A183</f>
        <v>0</v>
      </c>
      <c r="B188" s="0" t="n">
        <f aca="false">CurrentPositions!B183</f>
        <v>0</v>
      </c>
      <c r="C188" s="0" t="n">
        <f aca="false">CurrentPositions!C183</f>
        <v>0</v>
      </c>
      <c r="D188" s="0" t="n">
        <f aca="false">CurrentPositions!D183</f>
        <v>0</v>
      </c>
      <c r="E188" s="0" t="n">
        <f aca="false">CurrentPositions!E183</f>
        <v>0</v>
      </c>
      <c r="F188" s="0" t="n">
        <f aca="false">$B$4</f>
        <v>1.24</v>
      </c>
      <c r="G188" s="0" t="n">
        <f aca="false">IF(B188="BUY",(F188-E188)/Settings!$B$3,(E188-F188)/Settings!$B$3)</f>
        <v>-12400</v>
      </c>
      <c r="H188" s="0" t="n">
        <f aca="false">G188*D188*Settings!$B$4</f>
        <v>-0</v>
      </c>
      <c r="I188" s="0" t="n">
        <f aca="false">CurrentPositions!I183</f>
        <v>0</v>
      </c>
      <c r="J188" s="0" t="n">
        <f aca="false">CurrentPositions!J183</f>
        <v>0</v>
      </c>
    </row>
    <row r="189" customFormat="false" ht="13.8" hidden="false" customHeight="false" outlineLevel="0" collapsed="false">
      <c r="A189" s="0" t="n">
        <f aca="false">CurrentPositions!A184</f>
        <v>0</v>
      </c>
      <c r="B189" s="0" t="n">
        <f aca="false">CurrentPositions!B184</f>
        <v>0</v>
      </c>
      <c r="C189" s="0" t="n">
        <f aca="false">CurrentPositions!C184</f>
        <v>0</v>
      </c>
      <c r="D189" s="0" t="n">
        <f aca="false">CurrentPositions!D184</f>
        <v>0</v>
      </c>
      <c r="E189" s="0" t="n">
        <f aca="false">CurrentPositions!E184</f>
        <v>0</v>
      </c>
      <c r="F189" s="0" t="n">
        <f aca="false">$B$4</f>
        <v>1.24</v>
      </c>
      <c r="G189" s="0" t="n">
        <f aca="false">IF(B189="BUY",(F189-E189)/Settings!$B$3,(E189-F189)/Settings!$B$3)</f>
        <v>-12400</v>
      </c>
      <c r="H189" s="0" t="n">
        <f aca="false">G189*D189*Settings!$B$4</f>
        <v>-0</v>
      </c>
      <c r="I189" s="0" t="n">
        <f aca="false">CurrentPositions!I184</f>
        <v>0</v>
      </c>
      <c r="J189" s="0" t="n">
        <f aca="false">CurrentPositions!J184</f>
        <v>0</v>
      </c>
    </row>
    <row r="190" customFormat="false" ht="13.8" hidden="false" customHeight="false" outlineLevel="0" collapsed="false">
      <c r="A190" s="0" t="n">
        <f aca="false">CurrentPositions!A185</f>
        <v>0</v>
      </c>
      <c r="B190" s="0" t="n">
        <f aca="false">CurrentPositions!B185</f>
        <v>0</v>
      </c>
      <c r="C190" s="0" t="n">
        <f aca="false">CurrentPositions!C185</f>
        <v>0</v>
      </c>
      <c r="D190" s="0" t="n">
        <f aca="false">CurrentPositions!D185</f>
        <v>0</v>
      </c>
      <c r="E190" s="0" t="n">
        <f aca="false">CurrentPositions!E185</f>
        <v>0</v>
      </c>
      <c r="F190" s="0" t="n">
        <f aca="false">$B$4</f>
        <v>1.24</v>
      </c>
      <c r="G190" s="0" t="n">
        <f aca="false">IF(B190="BUY",(F190-E190)/Settings!$B$3,(E190-F190)/Settings!$B$3)</f>
        <v>-12400</v>
      </c>
      <c r="H190" s="0" t="n">
        <f aca="false">G190*D190*Settings!$B$4</f>
        <v>-0</v>
      </c>
      <c r="I190" s="0" t="n">
        <f aca="false">CurrentPositions!I185</f>
        <v>0</v>
      </c>
      <c r="J190" s="0" t="n">
        <f aca="false">CurrentPositions!J185</f>
        <v>0</v>
      </c>
    </row>
    <row r="191" customFormat="false" ht="13.8" hidden="false" customHeight="false" outlineLevel="0" collapsed="false">
      <c r="A191" s="0" t="n">
        <f aca="false">CurrentPositions!A186</f>
        <v>0</v>
      </c>
      <c r="B191" s="0" t="n">
        <f aca="false">CurrentPositions!B186</f>
        <v>0</v>
      </c>
      <c r="C191" s="0" t="n">
        <f aca="false">CurrentPositions!C186</f>
        <v>0</v>
      </c>
      <c r="D191" s="0" t="n">
        <f aca="false">CurrentPositions!D186</f>
        <v>0</v>
      </c>
      <c r="E191" s="0" t="n">
        <f aca="false">CurrentPositions!E186</f>
        <v>0</v>
      </c>
      <c r="F191" s="0" t="n">
        <f aca="false">$B$4</f>
        <v>1.24</v>
      </c>
      <c r="G191" s="0" t="n">
        <f aca="false">IF(B191="BUY",(F191-E191)/Settings!$B$3,(E191-F191)/Settings!$B$3)</f>
        <v>-12400</v>
      </c>
      <c r="H191" s="0" t="n">
        <f aca="false">G191*D191*Settings!$B$4</f>
        <v>-0</v>
      </c>
      <c r="I191" s="0" t="n">
        <f aca="false">CurrentPositions!I186</f>
        <v>0</v>
      </c>
      <c r="J191" s="0" t="n">
        <f aca="false">CurrentPositions!J186</f>
        <v>0</v>
      </c>
    </row>
    <row r="192" customFormat="false" ht="13.8" hidden="false" customHeight="false" outlineLevel="0" collapsed="false">
      <c r="A192" s="0" t="n">
        <f aca="false">CurrentPositions!A187</f>
        <v>0</v>
      </c>
      <c r="B192" s="0" t="n">
        <f aca="false">CurrentPositions!B187</f>
        <v>0</v>
      </c>
      <c r="C192" s="0" t="n">
        <f aca="false">CurrentPositions!C187</f>
        <v>0</v>
      </c>
      <c r="D192" s="0" t="n">
        <f aca="false">CurrentPositions!D187</f>
        <v>0</v>
      </c>
      <c r="E192" s="0" t="n">
        <f aca="false">CurrentPositions!E187</f>
        <v>0</v>
      </c>
      <c r="F192" s="0" t="n">
        <f aca="false">$B$4</f>
        <v>1.24</v>
      </c>
      <c r="G192" s="0" t="n">
        <f aca="false">IF(B192="BUY",(F192-E192)/Settings!$B$3,(E192-F192)/Settings!$B$3)</f>
        <v>-12400</v>
      </c>
      <c r="H192" s="0" t="n">
        <f aca="false">G192*D192*Settings!$B$4</f>
        <v>-0</v>
      </c>
      <c r="I192" s="0" t="n">
        <f aca="false">CurrentPositions!I187</f>
        <v>0</v>
      </c>
      <c r="J192" s="0" t="n">
        <f aca="false">CurrentPositions!J187</f>
        <v>0</v>
      </c>
    </row>
    <row r="193" customFormat="false" ht="13.8" hidden="false" customHeight="false" outlineLevel="0" collapsed="false">
      <c r="A193" s="0" t="n">
        <f aca="false">CurrentPositions!A188</f>
        <v>0</v>
      </c>
      <c r="B193" s="0" t="n">
        <f aca="false">CurrentPositions!B188</f>
        <v>0</v>
      </c>
      <c r="C193" s="0" t="n">
        <f aca="false">CurrentPositions!C188</f>
        <v>0</v>
      </c>
      <c r="D193" s="0" t="n">
        <f aca="false">CurrentPositions!D188</f>
        <v>0</v>
      </c>
      <c r="E193" s="0" t="n">
        <f aca="false">CurrentPositions!E188</f>
        <v>0</v>
      </c>
      <c r="F193" s="0" t="n">
        <f aca="false">$B$4</f>
        <v>1.24</v>
      </c>
      <c r="G193" s="0" t="n">
        <f aca="false">IF(B193="BUY",(F193-E193)/Settings!$B$3,(E193-F193)/Settings!$B$3)</f>
        <v>-12400</v>
      </c>
      <c r="H193" s="0" t="n">
        <f aca="false">G193*D193*Settings!$B$4</f>
        <v>-0</v>
      </c>
      <c r="I193" s="0" t="n">
        <f aca="false">CurrentPositions!I188</f>
        <v>0</v>
      </c>
      <c r="J193" s="0" t="n">
        <f aca="false">CurrentPositions!J188</f>
        <v>0</v>
      </c>
    </row>
    <row r="194" customFormat="false" ht="13.8" hidden="false" customHeight="false" outlineLevel="0" collapsed="false">
      <c r="A194" s="0" t="n">
        <f aca="false">CurrentPositions!A189</f>
        <v>0</v>
      </c>
      <c r="B194" s="0" t="n">
        <f aca="false">CurrentPositions!B189</f>
        <v>0</v>
      </c>
      <c r="C194" s="0" t="n">
        <f aca="false">CurrentPositions!C189</f>
        <v>0</v>
      </c>
      <c r="D194" s="0" t="n">
        <f aca="false">CurrentPositions!D189</f>
        <v>0</v>
      </c>
      <c r="E194" s="0" t="n">
        <f aca="false">CurrentPositions!E189</f>
        <v>0</v>
      </c>
      <c r="F194" s="0" t="n">
        <f aca="false">$B$4</f>
        <v>1.24</v>
      </c>
      <c r="G194" s="0" t="n">
        <f aca="false">IF(B194="BUY",(F194-E194)/Settings!$B$3,(E194-F194)/Settings!$B$3)</f>
        <v>-12400</v>
      </c>
      <c r="H194" s="0" t="n">
        <f aca="false">G194*D194*Settings!$B$4</f>
        <v>-0</v>
      </c>
      <c r="I194" s="0" t="n">
        <f aca="false">CurrentPositions!I189</f>
        <v>0</v>
      </c>
      <c r="J194" s="0" t="n">
        <f aca="false">CurrentPositions!J189</f>
        <v>0</v>
      </c>
    </row>
    <row r="195" customFormat="false" ht="13.8" hidden="false" customHeight="false" outlineLevel="0" collapsed="false">
      <c r="A195" s="0" t="n">
        <f aca="false">CurrentPositions!A190</f>
        <v>0</v>
      </c>
      <c r="B195" s="0" t="n">
        <f aca="false">CurrentPositions!B190</f>
        <v>0</v>
      </c>
      <c r="C195" s="0" t="n">
        <f aca="false">CurrentPositions!C190</f>
        <v>0</v>
      </c>
      <c r="D195" s="0" t="n">
        <f aca="false">CurrentPositions!D190</f>
        <v>0</v>
      </c>
      <c r="E195" s="0" t="n">
        <f aca="false">CurrentPositions!E190</f>
        <v>0</v>
      </c>
      <c r="F195" s="0" t="n">
        <f aca="false">$B$4</f>
        <v>1.24</v>
      </c>
      <c r="G195" s="0" t="n">
        <f aca="false">IF(B195="BUY",(F195-E195)/Settings!$B$3,(E195-F195)/Settings!$B$3)</f>
        <v>-12400</v>
      </c>
      <c r="H195" s="0" t="n">
        <f aca="false">G195*D195*Settings!$B$4</f>
        <v>-0</v>
      </c>
      <c r="I195" s="0" t="n">
        <f aca="false">CurrentPositions!I190</f>
        <v>0</v>
      </c>
      <c r="J195" s="0" t="n">
        <f aca="false">CurrentPositions!J190</f>
        <v>0</v>
      </c>
    </row>
    <row r="196" customFormat="false" ht="13.8" hidden="false" customHeight="false" outlineLevel="0" collapsed="false">
      <c r="A196" s="0" t="n">
        <f aca="false">CurrentPositions!A191</f>
        <v>0</v>
      </c>
      <c r="B196" s="0" t="n">
        <f aca="false">CurrentPositions!B191</f>
        <v>0</v>
      </c>
      <c r="C196" s="0" t="n">
        <f aca="false">CurrentPositions!C191</f>
        <v>0</v>
      </c>
      <c r="D196" s="0" t="n">
        <f aca="false">CurrentPositions!D191</f>
        <v>0</v>
      </c>
      <c r="E196" s="0" t="n">
        <f aca="false">CurrentPositions!E191</f>
        <v>0</v>
      </c>
      <c r="F196" s="0" t="n">
        <f aca="false">$B$4</f>
        <v>1.24</v>
      </c>
      <c r="G196" s="0" t="n">
        <f aca="false">IF(B196="BUY",(F196-E196)/Settings!$B$3,(E196-F196)/Settings!$B$3)</f>
        <v>-12400</v>
      </c>
      <c r="H196" s="0" t="n">
        <f aca="false">G196*D196*Settings!$B$4</f>
        <v>-0</v>
      </c>
      <c r="I196" s="0" t="n">
        <f aca="false">CurrentPositions!I191</f>
        <v>0</v>
      </c>
      <c r="J196" s="0" t="n">
        <f aca="false">CurrentPositions!J191</f>
        <v>0</v>
      </c>
    </row>
    <row r="197" customFormat="false" ht="13.8" hidden="false" customHeight="false" outlineLevel="0" collapsed="false">
      <c r="A197" s="0" t="n">
        <f aca="false">CurrentPositions!A192</f>
        <v>0</v>
      </c>
      <c r="B197" s="0" t="n">
        <f aca="false">CurrentPositions!B192</f>
        <v>0</v>
      </c>
      <c r="C197" s="0" t="n">
        <f aca="false">CurrentPositions!C192</f>
        <v>0</v>
      </c>
      <c r="D197" s="0" t="n">
        <f aca="false">CurrentPositions!D192</f>
        <v>0</v>
      </c>
      <c r="E197" s="0" t="n">
        <f aca="false">CurrentPositions!E192</f>
        <v>0</v>
      </c>
      <c r="F197" s="0" t="n">
        <f aca="false">$B$4</f>
        <v>1.24</v>
      </c>
      <c r="G197" s="0" t="n">
        <f aca="false">IF(B197="BUY",(F197-E197)/Settings!$B$3,(E197-F197)/Settings!$B$3)</f>
        <v>-12400</v>
      </c>
      <c r="H197" s="0" t="n">
        <f aca="false">G197*D197*Settings!$B$4</f>
        <v>-0</v>
      </c>
      <c r="I197" s="0" t="n">
        <f aca="false">CurrentPositions!I192</f>
        <v>0</v>
      </c>
      <c r="J197" s="0" t="n">
        <f aca="false">CurrentPositions!J192</f>
        <v>0</v>
      </c>
    </row>
    <row r="198" customFormat="false" ht="13.8" hidden="false" customHeight="false" outlineLevel="0" collapsed="false">
      <c r="A198" s="0" t="n">
        <f aca="false">CurrentPositions!A193</f>
        <v>0</v>
      </c>
      <c r="B198" s="0" t="n">
        <f aca="false">CurrentPositions!B193</f>
        <v>0</v>
      </c>
      <c r="C198" s="0" t="n">
        <f aca="false">CurrentPositions!C193</f>
        <v>0</v>
      </c>
      <c r="D198" s="0" t="n">
        <f aca="false">CurrentPositions!D193</f>
        <v>0</v>
      </c>
      <c r="E198" s="0" t="n">
        <f aca="false">CurrentPositions!E193</f>
        <v>0</v>
      </c>
      <c r="F198" s="0" t="n">
        <f aca="false">$B$4</f>
        <v>1.24</v>
      </c>
      <c r="G198" s="0" t="n">
        <f aca="false">IF(B198="BUY",(F198-E198)/Settings!$B$3,(E198-F198)/Settings!$B$3)</f>
        <v>-12400</v>
      </c>
      <c r="H198" s="0" t="n">
        <f aca="false">G198*D198*Settings!$B$4</f>
        <v>-0</v>
      </c>
      <c r="I198" s="0" t="n">
        <f aca="false">CurrentPositions!I193</f>
        <v>0</v>
      </c>
      <c r="J198" s="0" t="n">
        <f aca="false">CurrentPositions!J193</f>
        <v>0</v>
      </c>
    </row>
    <row r="199" customFormat="false" ht="13.8" hidden="false" customHeight="false" outlineLevel="0" collapsed="false">
      <c r="A199" s="0" t="n">
        <f aca="false">CurrentPositions!A194</f>
        <v>0</v>
      </c>
      <c r="B199" s="0" t="n">
        <f aca="false">CurrentPositions!B194</f>
        <v>0</v>
      </c>
      <c r="C199" s="0" t="n">
        <f aca="false">CurrentPositions!C194</f>
        <v>0</v>
      </c>
      <c r="D199" s="0" t="n">
        <f aca="false">CurrentPositions!D194</f>
        <v>0</v>
      </c>
      <c r="E199" s="0" t="n">
        <f aca="false">CurrentPositions!E194</f>
        <v>0</v>
      </c>
      <c r="F199" s="0" t="n">
        <f aca="false">$B$4</f>
        <v>1.24</v>
      </c>
      <c r="G199" s="0" t="n">
        <f aca="false">IF(B199="BUY",(F199-E199)/Settings!$B$3,(E199-F199)/Settings!$B$3)</f>
        <v>-12400</v>
      </c>
      <c r="H199" s="0" t="n">
        <f aca="false">G199*D199*Settings!$B$4</f>
        <v>-0</v>
      </c>
      <c r="I199" s="0" t="n">
        <f aca="false">CurrentPositions!I194</f>
        <v>0</v>
      </c>
      <c r="J199" s="0" t="n">
        <f aca="false">CurrentPositions!J194</f>
        <v>0</v>
      </c>
    </row>
    <row r="200" customFormat="false" ht="13.8" hidden="false" customHeight="false" outlineLevel="0" collapsed="false">
      <c r="A200" s="0" t="n">
        <f aca="false">CurrentPositions!A195</f>
        <v>0</v>
      </c>
      <c r="B200" s="0" t="n">
        <f aca="false">CurrentPositions!B195</f>
        <v>0</v>
      </c>
      <c r="C200" s="0" t="n">
        <f aca="false">CurrentPositions!C195</f>
        <v>0</v>
      </c>
      <c r="D200" s="0" t="n">
        <f aca="false">CurrentPositions!D195</f>
        <v>0</v>
      </c>
      <c r="E200" s="0" t="n">
        <f aca="false">CurrentPositions!E195</f>
        <v>0</v>
      </c>
      <c r="F200" s="0" t="n">
        <f aca="false">$B$4</f>
        <v>1.24</v>
      </c>
      <c r="G200" s="0" t="n">
        <f aca="false">IF(B200="BUY",(F200-E200)/Settings!$B$3,(E200-F200)/Settings!$B$3)</f>
        <v>-12400</v>
      </c>
      <c r="H200" s="0" t="n">
        <f aca="false">G200*D200*Settings!$B$4</f>
        <v>-0</v>
      </c>
      <c r="I200" s="0" t="n">
        <f aca="false">CurrentPositions!I195</f>
        <v>0</v>
      </c>
      <c r="J200" s="0" t="n">
        <f aca="false">CurrentPositions!J195</f>
        <v>0</v>
      </c>
    </row>
    <row r="201" customFormat="false" ht="13.8" hidden="false" customHeight="false" outlineLevel="0" collapsed="false">
      <c r="A201" s="0" t="n">
        <f aca="false">CurrentPositions!A196</f>
        <v>0</v>
      </c>
      <c r="B201" s="0" t="n">
        <f aca="false">CurrentPositions!B196</f>
        <v>0</v>
      </c>
      <c r="C201" s="0" t="n">
        <f aca="false">CurrentPositions!C196</f>
        <v>0</v>
      </c>
      <c r="D201" s="0" t="n">
        <f aca="false">CurrentPositions!D196</f>
        <v>0</v>
      </c>
      <c r="E201" s="0" t="n">
        <f aca="false">CurrentPositions!E196</f>
        <v>0</v>
      </c>
      <c r="F201" s="0" t="n">
        <f aca="false">$B$4</f>
        <v>1.24</v>
      </c>
      <c r="G201" s="0" t="n">
        <f aca="false">IF(B201="BUY",(F201-E201)/Settings!$B$3,(E201-F201)/Settings!$B$3)</f>
        <v>-12400</v>
      </c>
      <c r="H201" s="0" t="n">
        <f aca="false">G201*D201*Settings!$B$4</f>
        <v>-0</v>
      </c>
      <c r="I201" s="0" t="n">
        <f aca="false">CurrentPositions!I196</f>
        <v>0</v>
      </c>
      <c r="J201" s="0" t="n">
        <f aca="false">CurrentPositions!J196</f>
        <v>0</v>
      </c>
    </row>
    <row r="202" customFormat="false" ht="15" hidden="false" customHeight="false" outlineLevel="0" collapsed="false">
      <c r="A202" s="0" t="n">
        <f aca="false">CurrentPositions!A197</f>
        <v>0</v>
      </c>
      <c r="B202" s="0" t="n">
        <f aca="false">CurrentPositions!B197</f>
        <v>0</v>
      </c>
      <c r="C202" s="0" t="n">
        <f aca="false">CurrentPositions!C197</f>
        <v>0</v>
      </c>
      <c r="D202" s="0" t="n">
        <f aca="false">CurrentPositions!D197</f>
        <v>0</v>
      </c>
      <c r="E202" s="0" t="n">
        <f aca="false">CurrentPositions!E197</f>
        <v>0</v>
      </c>
      <c r="F202" s="0" t="n">
        <f aca="false">$B$4</f>
        <v>1.24</v>
      </c>
      <c r="G202" s="0" t="n">
        <f aca="false">IF(B202="BUY",(F202-E202)/Settings!$B$3,(E202-F202)/Settings!$B$3)</f>
        <v>-12400</v>
      </c>
      <c r="H202" s="0" t="n">
        <f aca="false">G202*D202*Settings!$B$4</f>
        <v>-0</v>
      </c>
      <c r="I202" s="0" t="n">
        <f aca="false">CurrentPositions!I197</f>
        <v>0</v>
      </c>
      <c r="J202" s="0" t="n">
        <f aca="false">CurrentPositions!J197</f>
        <v>0</v>
      </c>
    </row>
    <row r="203" customFormat="false" ht="15" hidden="false" customHeight="false" outlineLevel="0" collapsed="false">
      <c r="A203" s="0" t="n">
        <f aca="false">CurrentPositions!A198</f>
        <v>0</v>
      </c>
      <c r="B203" s="0" t="n">
        <f aca="false">CurrentPositions!B198</f>
        <v>0</v>
      </c>
      <c r="C203" s="0" t="n">
        <f aca="false">CurrentPositions!C198</f>
        <v>0</v>
      </c>
      <c r="D203" s="0" t="n">
        <f aca="false">CurrentPositions!D198</f>
        <v>0</v>
      </c>
      <c r="E203" s="0" t="n">
        <f aca="false">CurrentPositions!E198</f>
        <v>0</v>
      </c>
      <c r="F203" s="0" t="n">
        <f aca="false">$B$4</f>
        <v>1.24</v>
      </c>
      <c r="G203" s="0" t="n">
        <f aca="false">IF(B203="BUY",(F203-E203)/Settings!$B$3,(E203-F203)/Settings!$B$3)</f>
        <v>-12400</v>
      </c>
      <c r="H203" s="0" t="n">
        <f aca="false">G203*D203*Settings!$B$4</f>
        <v>-0</v>
      </c>
      <c r="I203" s="0" t="n">
        <f aca="false">CurrentPositions!I198</f>
        <v>0</v>
      </c>
      <c r="J203" s="0" t="n">
        <f aca="false">CurrentPositions!J198</f>
        <v>0</v>
      </c>
    </row>
    <row r="204" customFormat="false" ht="15" hidden="false" customHeight="false" outlineLevel="0" collapsed="false">
      <c r="A204" s="0" t="n">
        <f aca="false">CurrentPositions!A199</f>
        <v>0</v>
      </c>
      <c r="B204" s="0" t="n">
        <f aca="false">CurrentPositions!B199</f>
        <v>0</v>
      </c>
      <c r="C204" s="0" t="n">
        <f aca="false">CurrentPositions!C199</f>
        <v>0</v>
      </c>
      <c r="D204" s="0" t="n">
        <f aca="false">CurrentPositions!D199</f>
        <v>0</v>
      </c>
      <c r="E204" s="0" t="n">
        <f aca="false">CurrentPositions!E199</f>
        <v>0</v>
      </c>
      <c r="F204" s="0" t="n">
        <f aca="false">$B$4</f>
        <v>1.24</v>
      </c>
      <c r="G204" s="0" t="n">
        <f aca="false">IF(B204="BUY",(F204-E204)/Settings!$B$3,(E204-F204)/Settings!$B$3)</f>
        <v>-12400</v>
      </c>
      <c r="H204" s="0" t="n">
        <f aca="false">G204*D204*Settings!$B$4</f>
        <v>-0</v>
      </c>
      <c r="I204" s="0" t="n">
        <f aca="false">CurrentPositions!I199</f>
        <v>0</v>
      </c>
      <c r="J204" s="0" t="n">
        <f aca="false">CurrentPositions!J199</f>
        <v>0</v>
      </c>
    </row>
    <row r="205" customFormat="false" ht="15" hidden="false" customHeight="false" outlineLevel="0" collapsed="false">
      <c r="A205" s="0" t="n">
        <f aca="false">CurrentPositions!A200</f>
        <v>0</v>
      </c>
      <c r="B205" s="0" t="n">
        <f aca="false">CurrentPositions!B200</f>
        <v>0</v>
      </c>
      <c r="C205" s="0" t="n">
        <f aca="false">CurrentPositions!C200</f>
        <v>0</v>
      </c>
      <c r="D205" s="0" t="n">
        <f aca="false">CurrentPositions!D200</f>
        <v>0</v>
      </c>
      <c r="E205" s="0" t="n">
        <f aca="false">CurrentPositions!E200</f>
        <v>0</v>
      </c>
      <c r="F205" s="0" t="n">
        <f aca="false">$B$4</f>
        <v>1.24</v>
      </c>
      <c r="G205" s="0" t="n">
        <f aca="false">IF(B205="BUY",(F205-E205)/Settings!$B$3,(E205-F205)/Settings!$B$3)</f>
        <v>-12400</v>
      </c>
      <c r="H205" s="0" t="n">
        <f aca="false">G205*D205*Settings!$B$4</f>
        <v>-0</v>
      </c>
      <c r="I205" s="0" t="n">
        <f aca="false">CurrentPositions!I200</f>
        <v>0</v>
      </c>
      <c r="J205" s="0" t="n">
        <f aca="false">CurrentPositions!J200</f>
        <v>0</v>
      </c>
    </row>
    <row r="206" customFormat="false" ht="15" hidden="false" customHeight="false" outlineLevel="0" collapsed="false">
      <c r="A206" s="0" t="n">
        <f aca="false">CurrentPositions!A201</f>
        <v>0</v>
      </c>
      <c r="B206" s="0" t="n">
        <f aca="false">CurrentPositions!B201</f>
        <v>0</v>
      </c>
      <c r="C206" s="0" t="n">
        <f aca="false">CurrentPositions!C201</f>
        <v>0</v>
      </c>
      <c r="D206" s="0" t="n">
        <f aca="false">CurrentPositions!D201</f>
        <v>0</v>
      </c>
      <c r="E206" s="0" t="n">
        <f aca="false">CurrentPositions!E201</f>
        <v>0</v>
      </c>
      <c r="F206" s="0" t="n">
        <f aca="false">$B$4</f>
        <v>1.24</v>
      </c>
      <c r="G206" s="0" t="n">
        <f aca="false">IF(B206="BUY",(F206-E206)/Settings!$B$3,(E206-F206)/Settings!$B$3)</f>
        <v>-12400</v>
      </c>
      <c r="H206" s="0" t="n">
        <f aca="false">G206*D206*Settings!$B$4</f>
        <v>-0</v>
      </c>
      <c r="I206" s="0" t="n">
        <f aca="false">CurrentPositions!I201</f>
        <v>0</v>
      </c>
      <c r="J206" s="0" t="n">
        <f aca="false">CurrentPositions!J201</f>
        <v>0</v>
      </c>
    </row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>
      <c r="A220" s="0" t="s">
        <v>59</v>
      </c>
      <c r="B220" s="0" t="s">
        <v>38</v>
      </c>
    </row>
    <row r="221" customFormat="false" ht="15" hidden="false" customHeight="false" outlineLevel="0" collapsed="false">
      <c r="A221" s="0" t="s">
        <v>60</v>
      </c>
      <c r="B221" s="0" t="n">
        <f aca="false">MIN(IF(AND(B7="SELL",H7&lt;0),H7,0),IF(AND(B8="SELL",H8&lt;0),H8,0),IF(AND(B9="SELL",H9&lt;0),H9,0))</f>
        <v>-50</v>
      </c>
    </row>
    <row r="222" customFormat="false" ht="15" hidden="false" customHeight="false" outlineLevel="0" collapsed="false">
      <c r="A222" s="0" t="s">
        <v>61</v>
      </c>
      <c r="B222" s="0" t="n">
        <f aca="false">IF(B7=B8,MIN(A7,A8),IF(H7=B221,A7,IF(H8=B221,A8,A9)))</f>
        <v>10005</v>
      </c>
    </row>
    <row r="223" customFormat="false" ht="15" hidden="false" customHeight="false" outlineLevel="0" collapsed="false">
      <c r="A223" s="0" t="s">
        <v>62</v>
      </c>
      <c r="B223" s="0" t="n">
        <f aca="false">IF(B222="N/A",0,INDEX(D7:D206,MATCH(B222,A7:A206,0)))</f>
        <v>1</v>
      </c>
    </row>
    <row r="224" customFormat="false" ht="15" hidden="false" customHeight="false" outlineLevel="0" collapsed="false">
      <c r="A224" s="0" t="s">
        <v>63</v>
      </c>
      <c r="B224" s="0" t="n">
        <f aca="false">IF(B222="N/A",0,ABS(INDEX(H7:H206,MATCH(B222,A7:A206,0))))</f>
        <v>50</v>
      </c>
    </row>
    <row r="225" customFormat="false" ht="15" hidden="false" customHeight="false" outlineLevel="0" collapsed="false">
      <c r="A225" s="0" t="s">
        <v>64</v>
      </c>
      <c r="B225" s="0" t="n">
        <f aca="false">IF(B223=0,0,ABS(B224/B223))</f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D1" s="0" t="s">
        <v>44</v>
      </c>
      <c r="E1" s="0" t="n">
        <f aca="false">IFERROR(SUMPRODUCT((B7:B206="BUY")*E7:E206*D7:D206)/SUMIFS(D7:D206,B7:B206,"BUY"),0)</f>
        <v>0</v>
      </c>
    </row>
    <row r="2" customFormat="false" ht="13.8" hidden="false" customHeight="false" outlineLevel="0" collapsed="false">
      <c r="A2" s="0" t="s">
        <v>30</v>
      </c>
      <c r="B2" s="0" t="n">
        <f aca="false">CurrentPositions!F2</f>
        <v>1.23</v>
      </c>
      <c r="D2" s="0" t="s">
        <v>45</v>
      </c>
      <c r="E2" s="0" t="n">
        <f aca="false">IFERROR(SUMPRODUCT((B7:B206="SELL")*E7:E206*D7:D206)/SUMIFS(D7:D206,B7:B206,"SELL"),0)</f>
        <v>0</v>
      </c>
    </row>
    <row r="3" customFormat="false" ht="13.8" hidden="false" customHeight="false" outlineLevel="0" collapsed="false">
      <c r="A3" s="0" t="s">
        <v>65</v>
      </c>
      <c r="B3" s="0" t="n">
        <v>100</v>
      </c>
      <c r="D3" s="0" t="s">
        <v>47</v>
      </c>
      <c r="E3" s="0" t="e">
        <f aca="false">(E1+E2)/2</f>
        <v>#VALUE!</v>
      </c>
    </row>
    <row r="4" customFormat="false" ht="13.8" hidden="false" customHeight="false" outlineLevel="0" collapsed="false">
      <c r="A4" s="0" t="s">
        <v>48</v>
      </c>
      <c r="B4" s="0" t="n">
        <f aca="false">B2-B3*Settings!$B$3</f>
        <v>1.22</v>
      </c>
      <c r="D4" s="0" t="s">
        <v>49</v>
      </c>
      <c r="E4" s="0" t="e">
        <f aca="false">E3+1*Settings!$B$5*Settings!$B$3</f>
        <v>#VALUE!</v>
      </c>
    </row>
    <row r="5" customFormat="false" ht="13.8" hidden="false" customHeight="false" outlineLevel="0" collapsed="false">
      <c r="D5" s="0" t="s">
        <v>50</v>
      </c>
      <c r="E5" s="0" t="e">
        <f aca="false">E3+2*Settings!$B$5*Settings!$B$3</f>
        <v>#VALUE!</v>
      </c>
    </row>
    <row r="6" customFormat="false" ht="13.8" hidden="false" customHeight="false" outlineLevel="0" collapsed="false">
      <c r="A6" s="1" t="s">
        <v>25</v>
      </c>
      <c r="B6" s="1" t="s">
        <v>26</v>
      </c>
      <c r="C6" s="1" t="s">
        <v>27</v>
      </c>
      <c r="D6" s="1" t="s">
        <v>51</v>
      </c>
      <c r="E6" s="1" t="e">
        <f aca="false">E3+3*Settings!$B$5*Settings!$B$3</f>
        <v>#VALUE!</v>
      </c>
      <c r="F6" s="1" t="s">
        <v>48</v>
      </c>
      <c r="G6" s="1" t="s">
        <v>52</v>
      </c>
      <c r="H6" s="1" t="s">
        <v>53</v>
      </c>
      <c r="I6" s="1" t="s">
        <v>33</v>
      </c>
      <c r="J6" s="1" t="s">
        <v>34</v>
      </c>
    </row>
    <row r="7" customFormat="false" ht="13.8" hidden="false" customHeight="false" outlineLevel="0" collapsed="false">
      <c r="A7" s="0" t="n">
        <v>20012</v>
      </c>
      <c r="B7" s="0" t="s">
        <v>35</v>
      </c>
      <c r="C7" s="0" t="str">
        <f aca="false">CurrentPositions!C2</f>
        <v>MAIN</v>
      </c>
      <c r="D7" s="0" t="s">
        <v>54</v>
      </c>
      <c r="E7" s="0" t="e">
        <f aca="false">E3+4*Settings!$B$5*Settings!$B$3</f>
        <v>#VALUE!</v>
      </c>
      <c r="F7" s="0" t="n">
        <f aca="false">$B$4</f>
        <v>1.22</v>
      </c>
      <c r="G7" s="0" t="e">
        <f aca="false">IF(B7="BUY",(F7-E7)/Settings!$B$3,(E7-F7)/Settings!$B$3)</f>
        <v>#VALUE!</v>
      </c>
      <c r="H7" s="0" t="n">
        <v>-80</v>
      </c>
      <c r="I7" s="0" t="str">
        <f aca="false">CurrentPositions!I2</f>
        <v>NO</v>
      </c>
      <c r="J7" s="0" t="n">
        <f aca="false">CurrentPositions!J2</f>
        <v>0</v>
      </c>
    </row>
    <row r="8" customFormat="false" ht="13.8" hidden="false" customHeight="false" outlineLevel="0" collapsed="false">
      <c r="A8" s="0" t="n">
        <v>20003</v>
      </c>
      <c r="B8" s="0" t="s">
        <v>35</v>
      </c>
      <c r="C8" s="0" t="str">
        <f aca="false">CurrentPositions!C3</f>
        <v>TAIL</v>
      </c>
      <c r="D8" s="0" t="n">
        <f aca="false">CurrentPositions!D3</f>
        <v>1</v>
      </c>
      <c r="E8" s="0" t="n">
        <f aca="false">CurrentPositions!E3</f>
        <v>1.23</v>
      </c>
      <c r="F8" s="0" t="n">
        <f aca="false">$B$4</f>
        <v>1.22</v>
      </c>
      <c r="G8" s="0" t="n">
        <f aca="false">IF(B8="BUY",(F8-E8)/Settings!$B$3,(E8-F8)/Settings!$B$3)</f>
        <v>-100</v>
      </c>
      <c r="H8" s="0" t="n">
        <v>-80</v>
      </c>
      <c r="I8" s="0" t="str">
        <f aca="false">CurrentPositions!I3</f>
        <v>YES</v>
      </c>
      <c r="J8" s="0" t="n">
        <f aca="false">CurrentPositions!J3</f>
        <v>0</v>
      </c>
    </row>
    <row r="9" customFormat="false" ht="13.8" hidden="false" customHeight="false" outlineLevel="0" collapsed="false">
      <c r="A9" s="0" t="n">
        <v>20030</v>
      </c>
      <c r="B9" s="0" t="s">
        <v>35</v>
      </c>
      <c r="C9" s="0" t="str">
        <f aca="false">CurrentPositions!C4</f>
        <v>SECTION_BIG</v>
      </c>
      <c r="D9" s="0" t="s">
        <v>55</v>
      </c>
      <c r="E9" s="0" t="e">
        <f aca="false">E3-1*Settings!$B$5*Settings!$B$3</f>
        <v>#VALUE!</v>
      </c>
      <c r="F9" s="0" t="n">
        <f aca="false">$B$4</f>
        <v>1.22</v>
      </c>
      <c r="G9" s="0" t="e">
        <f aca="false">IF(B9="BUY",(F9-E9)/Settings!$B$3,(E9-F9)/Settings!$B$3)</f>
        <v>#VALUE!</v>
      </c>
      <c r="H9" s="0" t="n">
        <v>-20</v>
      </c>
      <c r="I9" s="0" t="str">
        <f aca="false">CurrentPositions!I4</f>
        <v>NO</v>
      </c>
      <c r="J9" s="0" t="str">
        <f aca="false">CurrentPositions!J4</f>
        <v>S1</v>
      </c>
    </row>
    <row r="10" customFormat="false" ht="13.8" hidden="false" customHeight="false" outlineLevel="0" collapsed="false">
      <c r="A10" s="0" t="n">
        <f aca="false">CurrentPositions!A5</f>
        <v>10004</v>
      </c>
      <c r="B10" s="0" t="str">
        <f aca="false">CurrentPositions!B5</f>
        <v>BUY</v>
      </c>
      <c r="C10" s="0" t="str">
        <f aca="false">CurrentPositions!C5</f>
        <v>SECTION_SMALL</v>
      </c>
      <c r="D10" s="0" t="s">
        <v>56</v>
      </c>
      <c r="E10" s="0" t="e">
        <f aca="false">E3-2*Settings!$B$5*Settings!$B$3</f>
        <v>#VALUE!</v>
      </c>
      <c r="F10" s="0" t="n">
        <f aca="false">$B$4</f>
        <v>1.22</v>
      </c>
      <c r="G10" s="0" t="e">
        <f aca="false">IF(B10="BUY",(F10-E10)/Settings!$B$3,(E10-F10)/Settings!$B$3)</f>
        <v>#VALUE!</v>
      </c>
      <c r="H10" s="0" t="e">
        <f aca="false">G10*D10*Settings!$B$4</f>
        <v>#VALUE!</v>
      </c>
      <c r="I10" s="0" t="str">
        <f aca="false">CurrentPositions!I5</f>
        <v>NO</v>
      </c>
      <c r="J10" s="0" t="str">
        <f aca="false">CurrentPositions!J5</f>
        <v>S1</v>
      </c>
    </row>
    <row r="11" customFormat="false" ht="13.8" hidden="false" customHeight="false" outlineLevel="0" collapsed="false">
      <c r="A11" s="0" t="n">
        <f aca="false">CurrentPositions!A6</f>
        <v>0</v>
      </c>
      <c r="B11" s="0" t="n">
        <f aca="false">CurrentPositions!B6</f>
        <v>0</v>
      </c>
      <c r="C11" s="0" t="n">
        <f aca="false">CurrentPositions!C6</f>
        <v>0</v>
      </c>
      <c r="D11" s="0" t="s">
        <v>57</v>
      </c>
      <c r="E11" s="0" t="e">
        <f aca="false">E3-3*Settings!$B$5*Settings!$B$3</f>
        <v>#VALUE!</v>
      </c>
      <c r="F11" s="0" t="n">
        <f aca="false">$B$4</f>
        <v>1.22</v>
      </c>
      <c r="G11" s="0" t="e">
        <f aca="false">IF(B11="BUY",(F11-E11)/Settings!$B$3,(E11-F11)/Settings!$B$3)</f>
        <v>#VALUE!</v>
      </c>
      <c r="H11" s="0" t="e">
        <f aca="false">G11*D11*Settings!$B$4</f>
        <v>#VALUE!</v>
      </c>
      <c r="I11" s="0" t="n">
        <f aca="false">CurrentPositions!I6</f>
        <v>0</v>
      </c>
      <c r="J11" s="0" t="n">
        <f aca="false">CurrentPositions!J6</f>
        <v>0</v>
      </c>
    </row>
    <row r="12" customFormat="false" ht="13.8" hidden="false" customHeight="false" outlineLevel="0" collapsed="false">
      <c r="A12" s="0" t="n">
        <f aca="false">CurrentPositions!A7</f>
        <v>0</v>
      </c>
      <c r="B12" s="0" t="n">
        <f aca="false">CurrentPositions!B7</f>
        <v>0</v>
      </c>
      <c r="C12" s="0" t="n">
        <f aca="false">CurrentPositions!C7</f>
        <v>0</v>
      </c>
      <c r="D12" s="0" t="s">
        <v>58</v>
      </c>
      <c r="E12" s="0" t="e">
        <f aca="false">E3-4*Settings!$B$5*Settings!$B$3</f>
        <v>#VALUE!</v>
      </c>
      <c r="F12" s="0" t="n">
        <f aca="false">$B$4</f>
        <v>1.22</v>
      </c>
      <c r="G12" s="0" t="e">
        <f aca="false">IF(B12="BUY",(F12-E12)/Settings!$B$3,(E12-F12)/Settings!$B$3)</f>
        <v>#VALUE!</v>
      </c>
      <c r="H12" s="0" t="e">
        <f aca="false">G12*D12*Settings!$B$4</f>
        <v>#VALUE!</v>
      </c>
      <c r="I12" s="0" t="n">
        <f aca="false">CurrentPositions!I7</f>
        <v>0</v>
      </c>
      <c r="J12" s="0" t="n">
        <f aca="false">CurrentPositions!J7</f>
        <v>0</v>
      </c>
    </row>
    <row r="13" customFormat="false" ht="13.8" hidden="false" customHeight="false" outlineLevel="0" collapsed="false">
      <c r="A13" s="0" t="n">
        <f aca="false">CurrentPositions!A8</f>
        <v>0</v>
      </c>
      <c r="B13" s="0" t="n">
        <f aca="false">CurrentPositions!B8</f>
        <v>0</v>
      </c>
      <c r="C13" s="0" t="n">
        <f aca="false">CurrentPositions!C8</f>
        <v>0</v>
      </c>
      <c r="D13" s="0" t="n">
        <f aca="false">CurrentPositions!D8</f>
        <v>0</v>
      </c>
      <c r="E13" s="0" t="n">
        <f aca="false">CurrentPositions!E8</f>
        <v>0</v>
      </c>
      <c r="F13" s="0" t="n">
        <f aca="false">$B$4</f>
        <v>1.22</v>
      </c>
      <c r="G13" s="0" t="n">
        <f aca="false">IF(B13="BUY",(F13-E13)/Settings!$B$3,(E13-F13)/Settings!$B$3)</f>
        <v>-12200</v>
      </c>
      <c r="H13" s="0" t="n">
        <f aca="false">G13*D13*Settings!$B$4</f>
        <v>-0</v>
      </c>
      <c r="I13" s="0" t="n">
        <f aca="false">CurrentPositions!I8</f>
        <v>0</v>
      </c>
      <c r="J13" s="0" t="n">
        <f aca="false">CurrentPositions!J8</f>
        <v>0</v>
      </c>
    </row>
    <row r="14" customFormat="false" ht="13.8" hidden="false" customHeight="false" outlineLevel="0" collapsed="false">
      <c r="A14" s="0" t="n">
        <f aca="false">CurrentPositions!A9</f>
        <v>0</v>
      </c>
      <c r="B14" s="0" t="n">
        <f aca="false">CurrentPositions!B9</f>
        <v>0</v>
      </c>
      <c r="C14" s="0" t="n">
        <f aca="false">CurrentPositions!C9</f>
        <v>0</v>
      </c>
      <c r="D14" s="0" t="n">
        <f aca="false">CurrentPositions!D9</f>
        <v>0</v>
      </c>
      <c r="E14" s="0" t="n">
        <f aca="false">CurrentPositions!E9</f>
        <v>0</v>
      </c>
      <c r="F14" s="0" t="n">
        <f aca="false">$B$4</f>
        <v>1.22</v>
      </c>
      <c r="G14" s="0" t="n">
        <f aca="false">IF(B14="BUY",(F14-E14)/Settings!$B$3,(E14-F14)/Settings!$B$3)</f>
        <v>-12200</v>
      </c>
      <c r="H14" s="0" t="n">
        <f aca="false">G14*D14*Settings!$B$4</f>
        <v>-0</v>
      </c>
      <c r="I14" s="0" t="n">
        <f aca="false">CurrentPositions!I9</f>
        <v>0</v>
      </c>
      <c r="J14" s="0" t="n">
        <f aca="false">CurrentPositions!J9</f>
        <v>0</v>
      </c>
    </row>
    <row r="15" customFormat="false" ht="13.8" hidden="false" customHeight="false" outlineLevel="0" collapsed="false">
      <c r="A15" s="0" t="n">
        <f aca="false">CurrentPositions!A10</f>
        <v>0</v>
      </c>
      <c r="B15" s="0" t="n">
        <f aca="false">CurrentPositions!B10</f>
        <v>0</v>
      </c>
      <c r="C15" s="0" t="n">
        <f aca="false">CurrentPositions!C10</f>
        <v>0</v>
      </c>
      <c r="D15" s="0" t="n">
        <f aca="false">CurrentPositions!D10</f>
        <v>0</v>
      </c>
      <c r="E15" s="0" t="n">
        <f aca="false">CurrentPositions!E10</f>
        <v>0</v>
      </c>
      <c r="F15" s="0" t="n">
        <f aca="false">$B$4</f>
        <v>1.22</v>
      </c>
      <c r="G15" s="0" t="n">
        <f aca="false">IF(B15="BUY",(F15-E15)/Settings!$B$3,(E15-F15)/Settings!$B$3)</f>
        <v>-12200</v>
      </c>
      <c r="H15" s="0" t="n">
        <f aca="false">G15*D15*Settings!$B$4</f>
        <v>-0</v>
      </c>
      <c r="I15" s="0" t="n">
        <f aca="false">CurrentPositions!I10</f>
        <v>0</v>
      </c>
      <c r="J15" s="0" t="n">
        <f aca="false">CurrentPositions!J10</f>
        <v>0</v>
      </c>
    </row>
    <row r="16" customFormat="false" ht="13.8" hidden="false" customHeight="false" outlineLevel="0" collapsed="false">
      <c r="A16" s="0" t="n">
        <f aca="false">CurrentPositions!A11</f>
        <v>0</v>
      </c>
      <c r="B16" s="0" t="n">
        <f aca="false">CurrentPositions!B11</f>
        <v>0</v>
      </c>
      <c r="C16" s="0" t="n">
        <f aca="false">CurrentPositions!C11</f>
        <v>0</v>
      </c>
      <c r="D16" s="0" t="n">
        <f aca="false">CurrentPositions!D11</f>
        <v>0</v>
      </c>
      <c r="E16" s="0" t="n">
        <f aca="false">CurrentPositions!E11</f>
        <v>0</v>
      </c>
      <c r="F16" s="0" t="n">
        <f aca="false">$B$4</f>
        <v>1.22</v>
      </c>
      <c r="G16" s="0" t="n">
        <f aca="false">IF(B16="BUY",(F16-E16)/Settings!$B$3,(E16-F16)/Settings!$B$3)</f>
        <v>-12200</v>
      </c>
      <c r="H16" s="0" t="n">
        <f aca="false">G16*D16*Settings!$B$4</f>
        <v>-0</v>
      </c>
      <c r="I16" s="0" t="n">
        <f aca="false">CurrentPositions!I11</f>
        <v>0</v>
      </c>
      <c r="J16" s="0" t="n">
        <f aca="false">CurrentPositions!J11</f>
        <v>0</v>
      </c>
    </row>
    <row r="17" customFormat="false" ht="13.8" hidden="false" customHeight="false" outlineLevel="0" collapsed="false">
      <c r="A17" s="0" t="n">
        <f aca="false">CurrentPositions!A12</f>
        <v>0</v>
      </c>
      <c r="B17" s="0" t="n">
        <f aca="false">CurrentPositions!B12</f>
        <v>0</v>
      </c>
      <c r="C17" s="0" t="n">
        <f aca="false">CurrentPositions!C12</f>
        <v>0</v>
      </c>
      <c r="D17" s="0" t="n">
        <f aca="false">CurrentPositions!D12</f>
        <v>0</v>
      </c>
      <c r="E17" s="0" t="n">
        <f aca="false">CurrentPositions!E12</f>
        <v>0</v>
      </c>
      <c r="F17" s="0" t="n">
        <f aca="false">$B$4</f>
        <v>1.22</v>
      </c>
      <c r="G17" s="0" t="n">
        <f aca="false">IF(B17="BUY",(F17-E17)/Settings!$B$3,(E17-F17)/Settings!$B$3)</f>
        <v>-12200</v>
      </c>
      <c r="H17" s="0" t="n">
        <f aca="false">G17*D17*Settings!$B$4</f>
        <v>-0</v>
      </c>
      <c r="I17" s="0" t="n">
        <f aca="false">CurrentPositions!I12</f>
        <v>0</v>
      </c>
      <c r="J17" s="0" t="n">
        <f aca="false">CurrentPositions!J12</f>
        <v>0</v>
      </c>
    </row>
    <row r="18" customFormat="false" ht="13.8" hidden="false" customHeight="false" outlineLevel="0" collapsed="false">
      <c r="A18" s="0" t="n">
        <f aca="false">CurrentPositions!A13</f>
        <v>0</v>
      </c>
      <c r="B18" s="0" t="n">
        <f aca="false">CurrentPositions!B13</f>
        <v>0</v>
      </c>
      <c r="C18" s="0" t="n">
        <f aca="false">CurrentPositions!C13</f>
        <v>0</v>
      </c>
      <c r="D18" s="0" t="n">
        <f aca="false">CurrentPositions!D13</f>
        <v>0</v>
      </c>
      <c r="E18" s="0" t="n">
        <f aca="false">CurrentPositions!E13</f>
        <v>0</v>
      </c>
      <c r="F18" s="0" t="n">
        <f aca="false">$B$4</f>
        <v>1.22</v>
      </c>
      <c r="G18" s="0" t="n">
        <f aca="false">IF(B18="BUY",(F18-E18)/Settings!$B$3,(E18-F18)/Settings!$B$3)</f>
        <v>-12200</v>
      </c>
      <c r="H18" s="0" t="n">
        <f aca="false">G18*D18*Settings!$B$4</f>
        <v>-0</v>
      </c>
      <c r="I18" s="0" t="n">
        <f aca="false">CurrentPositions!I13</f>
        <v>0</v>
      </c>
      <c r="J18" s="0" t="n">
        <f aca="false">CurrentPositions!J13</f>
        <v>0</v>
      </c>
    </row>
    <row r="19" customFormat="false" ht="13.8" hidden="false" customHeight="false" outlineLevel="0" collapsed="false">
      <c r="A19" s="0" t="n">
        <f aca="false">CurrentPositions!A14</f>
        <v>0</v>
      </c>
      <c r="B19" s="0" t="n">
        <f aca="false">CurrentPositions!B14</f>
        <v>0</v>
      </c>
      <c r="C19" s="0" t="n">
        <f aca="false">CurrentPositions!C14</f>
        <v>0</v>
      </c>
      <c r="D19" s="0" t="n">
        <f aca="false">CurrentPositions!D14</f>
        <v>0</v>
      </c>
      <c r="E19" s="0" t="n">
        <f aca="false">CurrentPositions!E14</f>
        <v>0</v>
      </c>
      <c r="F19" s="0" t="n">
        <f aca="false">$B$4</f>
        <v>1.22</v>
      </c>
      <c r="G19" s="0" t="n">
        <f aca="false">IF(B19="BUY",(F19-E19)/Settings!$B$3,(E19-F19)/Settings!$B$3)</f>
        <v>-12200</v>
      </c>
      <c r="H19" s="0" t="n">
        <f aca="false">G19*D19*Settings!$B$4</f>
        <v>-0</v>
      </c>
      <c r="I19" s="0" t="n">
        <f aca="false">CurrentPositions!I14</f>
        <v>0</v>
      </c>
      <c r="J19" s="0" t="n">
        <f aca="false">CurrentPositions!J14</f>
        <v>0</v>
      </c>
    </row>
    <row r="20" customFormat="false" ht="13.8" hidden="false" customHeight="false" outlineLevel="0" collapsed="false">
      <c r="A20" s="0" t="n">
        <f aca="false">CurrentPositions!A15</f>
        <v>0</v>
      </c>
      <c r="B20" s="0" t="n">
        <f aca="false">CurrentPositions!B15</f>
        <v>0</v>
      </c>
      <c r="C20" s="0" t="n">
        <f aca="false">CurrentPositions!C15</f>
        <v>0</v>
      </c>
      <c r="D20" s="0" t="n">
        <f aca="false">CurrentPositions!D15</f>
        <v>0</v>
      </c>
      <c r="E20" s="0" t="n">
        <f aca="false">CurrentPositions!E15</f>
        <v>0</v>
      </c>
      <c r="F20" s="0" t="n">
        <f aca="false">$B$4</f>
        <v>1.22</v>
      </c>
      <c r="G20" s="0" t="n">
        <f aca="false">IF(B20="BUY",(F20-E20)/Settings!$B$3,(E20-F20)/Settings!$B$3)</f>
        <v>-12200</v>
      </c>
      <c r="H20" s="0" t="n">
        <f aca="false">G20*D20*Settings!$B$4</f>
        <v>-0</v>
      </c>
      <c r="I20" s="0" t="n">
        <f aca="false">CurrentPositions!I15</f>
        <v>0</v>
      </c>
      <c r="J20" s="0" t="n">
        <f aca="false">CurrentPositions!J15</f>
        <v>0</v>
      </c>
    </row>
    <row r="21" customFormat="false" ht="13.8" hidden="false" customHeight="false" outlineLevel="0" collapsed="false">
      <c r="A21" s="0" t="n">
        <f aca="false">CurrentPositions!A16</f>
        <v>0</v>
      </c>
      <c r="B21" s="0" t="n">
        <f aca="false">CurrentPositions!B16</f>
        <v>0</v>
      </c>
      <c r="C21" s="0" t="n">
        <f aca="false">CurrentPositions!C16</f>
        <v>0</v>
      </c>
      <c r="D21" s="0" t="n">
        <f aca="false">CurrentPositions!D16</f>
        <v>0</v>
      </c>
      <c r="E21" s="0" t="n">
        <f aca="false">CurrentPositions!E16</f>
        <v>0</v>
      </c>
      <c r="F21" s="0" t="n">
        <f aca="false">$B$4</f>
        <v>1.22</v>
      </c>
      <c r="G21" s="0" t="n">
        <f aca="false">IF(B21="BUY",(F21-E21)/Settings!$B$3,(E21-F21)/Settings!$B$3)</f>
        <v>-12200</v>
      </c>
      <c r="H21" s="0" t="n">
        <f aca="false">G21*D21*Settings!$B$4</f>
        <v>-0</v>
      </c>
      <c r="I21" s="0" t="n">
        <f aca="false">CurrentPositions!I16</f>
        <v>0</v>
      </c>
      <c r="J21" s="0" t="n">
        <f aca="false">CurrentPositions!J16</f>
        <v>0</v>
      </c>
    </row>
    <row r="22" customFormat="false" ht="13.8" hidden="false" customHeight="false" outlineLevel="0" collapsed="false">
      <c r="A22" s="0" t="n">
        <f aca="false">CurrentPositions!A17</f>
        <v>0</v>
      </c>
      <c r="B22" s="0" t="n">
        <f aca="false">CurrentPositions!B17</f>
        <v>0</v>
      </c>
      <c r="C22" s="0" t="n">
        <f aca="false">CurrentPositions!C17</f>
        <v>0</v>
      </c>
      <c r="D22" s="0" t="n">
        <f aca="false">CurrentPositions!D17</f>
        <v>0</v>
      </c>
      <c r="E22" s="0" t="n">
        <f aca="false">CurrentPositions!E17</f>
        <v>0</v>
      </c>
      <c r="F22" s="0" t="n">
        <f aca="false">$B$4</f>
        <v>1.22</v>
      </c>
      <c r="G22" s="0" t="n">
        <f aca="false">IF(B22="BUY",(F22-E22)/Settings!$B$3,(E22-F22)/Settings!$B$3)</f>
        <v>-12200</v>
      </c>
      <c r="H22" s="0" t="n">
        <f aca="false">G22*D22*Settings!$B$4</f>
        <v>-0</v>
      </c>
      <c r="I22" s="0" t="n">
        <f aca="false">CurrentPositions!I17</f>
        <v>0</v>
      </c>
      <c r="J22" s="0" t="n">
        <f aca="false">CurrentPositions!J17</f>
        <v>0</v>
      </c>
    </row>
    <row r="23" customFormat="false" ht="13.8" hidden="false" customHeight="false" outlineLevel="0" collapsed="false">
      <c r="A23" s="0" t="n">
        <f aca="false">CurrentPositions!A18</f>
        <v>0</v>
      </c>
      <c r="B23" s="0" t="n">
        <f aca="false">CurrentPositions!B18</f>
        <v>0</v>
      </c>
      <c r="C23" s="0" t="n">
        <f aca="false">CurrentPositions!C18</f>
        <v>0</v>
      </c>
      <c r="D23" s="0" t="n">
        <f aca="false">CurrentPositions!D18</f>
        <v>0</v>
      </c>
      <c r="E23" s="0" t="n">
        <f aca="false">CurrentPositions!E18</f>
        <v>0</v>
      </c>
      <c r="F23" s="0" t="n">
        <f aca="false">$B$4</f>
        <v>1.22</v>
      </c>
      <c r="G23" s="0" t="n">
        <f aca="false">IF(B23="BUY",(F23-E23)/Settings!$B$3,(E23-F23)/Settings!$B$3)</f>
        <v>-12200</v>
      </c>
      <c r="H23" s="0" t="n">
        <f aca="false">G23*D23*Settings!$B$4</f>
        <v>-0</v>
      </c>
      <c r="I23" s="0" t="n">
        <f aca="false">CurrentPositions!I18</f>
        <v>0</v>
      </c>
      <c r="J23" s="0" t="n">
        <f aca="false">CurrentPositions!J18</f>
        <v>0</v>
      </c>
    </row>
    <row r="24" customFormat="false" ht="13.8" hidden="false" customHeight="false" outlineLevel="0" collapsed="false">
      <c r="A24" s="0" t="n">
        <f aca="false">CurrentPositions!A19</f>
        <v>0</v>
      </c>
      <c r="B24" s="0" t="n">
        <f aca="false">CurrentPositions!B19</f>
        <v>0</v>
      </c>
      <c r="C24" s="0" t="n">
        <f aca="false">CurrentPositions!C19</f>
        <v>0</v>
      </c>
      <c r="D24" s="0" t="n">
        <f aca="false">CurrentPositions!D19</f>
        <v>0</v>
      </c>
      <c r="E24" s="0" t="n">
        <f aca="false">CurrentPositions!E19</f>
        <v>0</v>
      </c>
      <c r="F24" s="0" t="n">
        <f aca="false">$B$4</f>
        <v>1.22</v>
      </c>
      <c r="G24" s="0" t="n">
        <f aca="false">IF(B24="BUY",(F24-E24)/Settings!$B$3,(E24-F24)/Settings!$B$3)</f>
        <v>-12200</v>
      </c>
      <c r="H24" s="0" t="n">
        <f aca="false">G24*D24*Settings!$B$4</f>
        <v>-0</v>
      </c>
      <c r="I24" s="0" t="n">
        <f aca="false">CurrentPositions!I19</f>
        <v>0</v>
      </c>
      <c r="J24" s="0" t="n">
        <f aca="false">CurrentPositions!J19</f>
        <v>0</v>
      </c>
    </row>
    <row r="25" customFormat="false" ht="13.8" hidden="false" customHeight="false" outlineLevel="0" collapsed="false">
      <c r="A25" s="0" t="n">
        <f aca="false">CurrentPositions!A20</f>
        <v>0</v>
      </c>
      <c r="B25" s="0" t="n">
        <f aca="false">CurrentPositions!B20</f>
        <v>0</v>
      </c>
      <c r="C25" s="0" t="n">
        <f aca="false">CurrentPositions!C20</f>
        <v>0</v>
      </c>
      <c r="D25" s="0" t="n">
        <f aca="false">CurrentPositions!D20</f>
        <v>0</v>
      </c>
      <c r="E25" s="0" t="n">
        <f aca="false">CurrentPositions!E20</f>
        <v>0</v>
      </c>
      <c r="F25" s="0" t="n">
        <f aca="false">$B$4</f>
        <v>1.22</v>
      </c>
      <c r="G25" s="0" t="n">
        <f aca="false">IF(B25="BUY",(F25-E25)/Settings!$B$3,(E25-F25)/Settings!$B$3)</f>
        <v>-12200</v>
      </c>
      <c r="H25" s="0" t="n">
        <f aca="false">G25*D25*Settings!$B$4</f>
        <v>-0</v>
      </c>
      <c r="I25" s="0" t="n">
        <f aca="false">CurrentPositions!I20</f>
        <v>0</v>
      </c>
      <c r="J25" s="0" t="n">
        <f aca="false">CurrentPositions!J20</f>
        <v>0</v>
      </c>
    </row>
    <row r="26" customFormat="false" ht="13.8" hidden="false" customHeight="false" outlineLevel="0" collapsed="false">
      <c r="A26" s="0" t="n">
        <f aca="false">CurrentPositions!A21</f>
        <v>0</v>
      </c>
      <c r="B26" s="0" t="n">
        <f aca="false">CurrentPositions!B21</f>
        <v>0</v>
      </c>
      <c r="C26" s="0" t="n">
        <f aca="false">CurrentPositions!C21</f>
        <v>0</v>
      </c>
      <c r="D26" s="0" t="n">
        <f aca="false">CurrentPositions!D21</f>
        <v>0</v>
      </c>
      <c r="E26" s="0" t="n">
        <f aca="false">CurrentPositions!E21</f>
        <v>0</v>
      </c>
      <c r="F26" s="0" t="n">
        <f aca="false">$B$4</f>
        <v>1.22</v>
      </c>
      <c r="G26" s="0" t="n">
        <f aca="false">IF(B26="BUY",(F26-E26)/Settings!$B$3,(E26-F26)/Settings!$B$3)</f>
        <v>-12200</v>
      </c>
      <c r="H26" s="0" t="n">
        <f aca="false">G26*D26*Settings!$B$4</f>
        <v>-0</v>
      </c>
      <c r="I26" s="0" t="n">
        <f aca="false">CurrentPositions!I21</f>
        <v>0</v>
      </c>
      <c r="J26" s="0" t="n">
        <f aca="false">CurrentPositions!J21</f>
        <v>0</v>
      </c>
    </row>
    <row r="27" customFormat="false" ht="13.8" hidden="false" customHeight="false" outlineLevel="0" collapsed="false">
      <c r="A27" s="0" t="n">
        <f aca="false">CurrentPositions!A22</f>
        <v>0</v>
      </c>
      <c r="B27" s="0" t="n">
        <f aca="false">CurrentPositions!B22</f>
        <v>0</v>
      </c>
      <c r="C27" s="0" t="n">
        <f aca="false">CurrentPositions!C22</f>
        <v>0</v>
      </c>
      <c r="D27" s="0" t="n">
        <f aca="false">CurrentPositions!D22</f>
        <v>0</v>
      </c>
      <c r="E27" s="0" t="n">
        <f aca="false">CurrentPositions!E22</f>
        <v>0</v>
      </c>
      <c r="F27" s="0" t="n">
        <f aca="false">$B$4</f>
        <v>1.22</v>
      </c>
      <c r="G27" s="0" t="n">
        <f aca="false">IF(B27="BUY",(F27-E27)/Settings!$B$3,(E27-F27)/Settings!$B$3)</f>
        <v>-12200</v>
      </c>
      <c r="H27" s="0" t="n">
        <f aca="false">G27*D27*Settings!$B$4</f>
        <v>-0</v>
      </c>
      <c r="I27" s="0" t="n">
        <f aca="false">CurrentPositions!I22</f>
        <v>0</v>
      </c>
      <c r="J27" s="0" t="n">
        <f aca="false">CurrentPositions!J22</f>
        <v>0</v>
      </c>
    </row>
    <row r="28" customFormat="false" ht="13.8" hidden="false" customHeight="false" outlineLevel="0" collapsed="false">
      <c r="A28" s="0" t="n">
        <f aca="false">CurrentPositions!A23</f>
        <v>0</v>
      </c>
      <c r="B28" s="0" t="n">
        <f aca="false">CurrentPositions!B23</f>
        <v>0</v>
      </c>
      <c r="C28" s="0" t="n">
        <f aca="false">CurrentPositions!C23</f>
        <v>0</v>
      </c>
      <c r="D28" s="0" t="n">
        <f aca="false">CurrentPositions!D23</f>
        <v>0</v>
      </c>
      <c r="E28" s="0" t="n">
        <f aca="false">CurrentPositions!E23</f>
        <v>0</v>
      </c>
      <c r="F28" s="0" t="n">
        <f aca="false">$B$4</f>
        <v>1.22</v>
      </c>
      <c r="G28" s="0" t="n">
        <f aca="false">IF(B28="BUY",(F28-E28)/Settings!$B$3,(E28-F28)/Settings!$B$3)</f>
        <v>-12200</v>
      </c>
      <c r="H28" s="0" t="n">
        <f aca="false">G28*D28*Settings!$B$4</f>
        <v>-0</v>
      </c>
      <c r="I28" s="0" t="n">
        <f aca="false">CurrentPositions!I23</f>
        <v>0</v>
      </c>
      <c r="J28" s="0" t="n">
        <f aca="false">CurrentPositions!J23</f>
        <v>0</v>
      </c>
    </row>
    <row r="29" customFormat="false" ht="13.8" hidden="false" customHeight="false" outlineLevel="0" collapsed="false">
      <c r="A29" s="0" t="n">
        <f aca="false">CurrentPositions!A24</f>
        <v>0</v>
      </c>
      <c r="B29" s="0" t="n">
        <f aca="false">CurrentPositions!B24</f>
        <v>0</v>
      </c>
      <c r="C29" s="0" t="n">
        <f aca="false">CurrentPositions!C24</f>
        <v>0</v>
      </c>
      <c r="D29" s="0" t="n">
        <f aca="false">CurrentPositions!D24</f>
        <v>0</v>
      </c>
      <c r="E29" s="0" t="n">
        <f aca="false">CurrentPositions!E24</f>
        <v>0</v>
      </c>
      <c r="F29" s="0" t="n">
        <f aca="false">$B$4</f>
        <v>1.22</v>
      </c>
      <c r="G29" s="0" t="n">
        <f aca="false">IF(B29="BUY",(F29-E29)/Settings!$B$3,(E29-F29)/Settings!$B$3)</f>
        <v>-12200</v>
      </c>
      <c r="H29" s="0" t="n">
        <f aca="false">G29*D29*Settings!$B$4</f>
        <v>-0</v>
      </c>
      <c r="I29" s="0" t="n">
        <f aca="false">CurrentPositions!I24</f>
        <v>0</v>
      </c>
      <c r="J29" s="0" t="n">
        <f aca="false">CurrentPositions!J24</f>
        <v>0</v>
      </c>
    </row>
    <row r="30" customFormat="false" ht="13.8" hidden="false" customHeight="false" outlineLevel="0" collapsed="false">
      <c r="A30" s="0" t="n">
        <f aca="false">CurrentPositions!A25</f>
        <v>0</v>
      </c>
      <c r="B30" s="0" t="n">
        <f aca="false">CurrentPositions!B25</f>
        <v>0</v>
      </c>
      <c r="C30" s="0" t="n">
        <f aca="false">CurrentPositions!C25</f>
        <v>0</v>
      </c>
      <c r="D30" s="0" t="n">
        <f aca="false">CurrentPositions!D25</f>
        <v>0</v>
      </c>
      <c r="E30" s="0" t="n">
        <f aca="false">CurrentPositions!E25</f>
        <v>0</v>
      </c>
      <c r="F30" s="0" t="n">
        <f aca="false">$B$4</f>
        <v>1.22</v>
      </c>
      <c r="G30" s="0" t="n">
        <f aca="false">IF(B30="BUY",(F30-E30)/Settings!$B$3,(E30-F30)/Settings!$B$3)</f>
        <v>-12200</v>
      </c>
      <c r="H30" s="0" t="n">
        <f aca="false">G30*D30*Settings!$B$4</f>
        <v>-0</v>
      </c>
      <c r="I30" s="0" t="n">
        <f aca="false">CurrentPositions!I25</f>
        <v>0</v>
      </c>
      <c r="J30" s="0" t="n">
        <f aca="false">CurrentPositions!J25</f>
        <v>0</v>
      </c>
    </row>
    <row r="31" customFormat="false" ht="13.8" hidden="false" customHeight="false" outlineLevel="0" collapsed="false">
      <c r="A31" s="0" t="n">
        <f aca="false">CurrentPositions!A26</f>
        <v>0</v>
      </c>
      <c r="B31" s="0" t="n">
        <f aca="false">CurrentPositions!B26</f>
        <v>0</v>
      </c>
      <c r="C31" s="0" t="n">
        <f aca="false">CurrentPositions!C26</f>
        <v>0</v>
      </c>
      <c r="D31" s="0" t="n">
        <f aca="false">CurrentPositions!D26</f>
        <v>0</v>
      </c>
      <c r="E31" s="0" t="n">
        <f aca="false">CurrentPositions!E26</f>
        <v>0</v>
      </c>
      <c r="F31" s="0" t="n">
        <f aca="false">$B$4</f>
        <v>1.22</v>
      </c>
      <c r="G31" s="0" t="n">
        <f aca="false">IF(B31="BUY",(F31-E31)/Settings!$B$3,(E31-F31)/Settings!$B$3)</f>
        <v>-12200</v>
      </c>
      <c r="H31" s="0" t="n">
        <f aca="false">G31*D31*Settings!$B$4</f>
        <v>-0</v>
      </c>
      <c r="I31" s="0" t="n">
        <f aca="false">CurrentPositions!I26</f>
        <v>0</v>
      </c>
      <c r="J31" s="0" t="n">
        <f aca="false">CurrentPositions!J26</f>
        <v>0</v>
      </c>
    </row>
    <row r="32" customFormat="false" ht="13.8" hidden="false" customHeight="false" outlineLevel="0" collapsed="false">
      <c r="A32" s="0" t="n">
        <f aca="false">CurrentPositions!A27</f>
        <v>0</v>
      </c>
      <c r="B32" s="0" t="n">
        <f aca="false">CurrentPositions!B27</f>
        <v>0</v>
      </c>
      <c r="C32" s="0" t="n">
        <f aca="false">CurrentPositions!C27</f>
        <v>0</v>
      </c>
      <c r="D32" s="0" t="n">
        <f aca="false">CurrentPositions!D27</f>
        <v>0</v>
      </c>
      <c r="E32" s="0" t="n">
        <f aca="false">CurrentPositions!E27</f>
        <v>0</v>
      </c>
      <c r="F32" s="0" t="n">
        <f aca="false">$B$4</f>
        <v>1.22</v>
      </c>
      <c r="G32" s="0" t="n">
        <f aca="false">IF(B32="BUY",(F32-E32)/Settings!$B$3,(E32-F32)/Settings!$B$3)</f>
        <v>-12200</v>
      </c>
      <c r="H32" s="0" t="n">
        <f aca="false">G32*D32*Settings!$B$4</f>
        <v>-0</v>
      </c>
      <c r="I32" s="0" t="n">
        <f aca="false">CurrentPositions!I27</f>
        <v>0</v>
      </c>
      <c r="J32" s="0" t="n">
        <f aca="false">CurrentPositions!J27</f>
        <v>0</v>
      </c>
    </row>
    <row r="33" customFormat="false" ht="13.8" hidden="false" customHeight="false" outlineLevel="0" collapsed="false">
      <c r="A33" s="0" t="n">
        <f aca="false">CurrentPositions!A28</f>
        <v>0</v>
      </c>
      <c r="B33" s="0" t="n">
        <f aca="false">CurrentPositions!B28</f>
        <v>0</v>
      </c>
      <c r="C33" s="0" t="n">
        <f aca="false">CurrentPositions!C28</f>
        <v>0</v>
      </c>
      <c r="D33" s="0" t="n">
        <f aca="false">CurrentPositions!D28</f>
        <v>0</v>
      </c>
      <c r="E33" s="0" t="n">
        <f aca="false">CurrentPositions!E28</f>
        <v>0</v>
      </c>
      <c r="F33" s="0" t="n">
        <f aca="false">$B$4</f>
        <v>1.22</v>
      </c>
      <c r="G33" s="0" t="n">
        <f aca="false">IF(B33="BUY",(F33-E33)/Settings!$B$3,(E33-F33)/Settings!$B$3)</f>
        <v>-12200</v>
      </c>
      <c r="H33" s="0" t="n">
        <f aca="false">G33*D33*Settings!$B$4</f>
        <v>-0</v>
      </c>
      <c r="I33" s="0" t="n">
        <f aca="false">CurrentPositions!I28</f>
        <v>0</v>
      </c>
      <c r="J33" s="0" t="n">
        <f aca="false">CurrentPositions!J28</f>
        <v>0</v>
      </c>
    </row>
    <row r="34" customFormat="false" ht="13.8" hidden="false" customHeight="false" outlineLevel="0" collapsed="false">
      <c r="A34" s="0" t="n">
        <f aca="false">CurrentPositions!A29</f>
        <v>0</v>
      </c>
      <c r="B34" s="0" t="n">
        <f aca="false">CurrentPositions!B29</f>
        <v>0</v>
      </c>
      <c r="C34" s="0" t="n">
        <f aca="false">CurrentPositions!C29</f>
        <v>0</v>
      </c>
      <c r="D34" s="0" t="n">
        <f aca="false">CurrentPositions!D29</f>
        <v>0</v>
      </c>
      <c r="E34" s="0" t="n">
        <f aca="false">CurrentPositions!E29</f>
        <v>0</v>
      </c>
      <c r="F34" s="0" t="n">
        <f aca="false">$B$4</f>
        <v>1.22</v>
      </c>
      <c r="G34" s="0" t="n">
        <f aca="false">IF(B34="BUY",(F34-E34)/Settings!$B$3,(E34-F34)/Settings!$B$3)</f>
        <v>-12200</v>
      </c>
      <c r="H34" s="0" t="n">
        <f aca="false">G34*D34*Settings!$B$4</f>
        <v>-0</v>
      </c>
      <c r="I34" s="0" t="n">
        <f aca="false">CurrentPositions!I29</f>
        <v>0</v>
      </c>
      <c r="J34" s="0" t="n">
        <f aca="false">CurrentPositions!J29</f>
        <v>0</v>
      </c>
    </row>
    <row r="35" customFormat="false" ht="13.8" hidden="false" customHeight="false" outlineLevel="0" collapsed="false">
      <c r="A35" s="0" t="n">
        <f aca="false">CurrentPositions!A30</f>
        <v>0</v>
      </c>
      <c r="B35" s="0" t="n">
        <f aca="false">CurrentPositions!B30</f>
        <v>0</v>
      </c>
      <c r="C35" s="0" t="n">
        <f aca="false">CurrentPositions!C30</f>
        <v>0</v>
      </c>
      <c r="D35" s="0" t="n">
        <f aca="false">CurrentPositions!D30</f>
        <v>0</v>
      </c>
      <c r="E35" s="0" t="n">
        <f aca="false">CurrentPositions!E30</f>
        <v>0</v>
      </c>
      <c r="F35" s="0" t="n">
        <f aca="false">$B$4</f>
        <v>1.22</v>
      </c>
      <c r="G35" s="0" t="n">
        <f aca="false">IF(B35="BUY",(F35-E35)/Settings!$B$3,(E35-F35)/Settings!$B$3)</f>
        <v>-12200</v>
      </c>
      <c r="H35" s="0" t="n">
        <f aca="false">G35*D35*Settings!$B$4</f>
        <v>-0</v>
      </c>
      <c r="I35" s="0" t="n">
        <f aca="false">CurrentPositions!I30</f>
        <v>0</v>
      </c>
      <c r="J35" s="0" t="n">
        <f aca="false">CurrentPositions!J30</f>
        <v>0</v>
      </c>
    </row>
    <row r="36" customFormat="false" ht="13.8" hidden="false" customHeight="false" outlineLevel="0" collapsed="false">
      <c r="A36" s="0" t="n">
        <f aca="false">CurrentPositions!A31</f>
        <v>0</v>
      </c>
      <c r="B36" s="0" t="n">
        <f aca="false">CurrentPositions!B31</f>
        <v>0</v>
      </c>
      <c r="C36" s="0" t="n">
        <f aca="false">CurrentPositions!C31</f>
        <v>0</v>
      </c>
      <c r="D36" s="0" t="n">
        <f aca="false">CurrentPositions!D31</f>
        <v>0</v>
      </c>
      <c r="E36" s="0" t="n">
        <f aca="false">CurrentPositions!E31</f>
        <v>0</v>
      </c>
      <c r="F36" s="0" t="n">
        <f aca="false">$B$4</f>
        <v>1.22</v>
      </c>
      <c r="G36" s="0" t="n">
        <f aca="false">IF(B36="BUY",(F36-E36)/Settings!$B$3,(E36-F36)/Settings!$B$3)</f>
        <v>-12200</v>
      </c>
      <c r="H36" s="0" t="n">
        <f aca="false">G36*D36*Settings!$B$4</f>
        <v>-0</v>
      </c>
      <c r="I36" s="0" t="n">
        <f aca="false">CurrentPositions!I31</f>
        <v>0</v>
      </c>
      <c r="J36" s="0" t="n">
        <f aca="false">CurrentPositions!J31</f>
        <v>0</v>
      </c>
    </row>
    <row r="37" customFormat="false" ht="13.8" hidden="false" customHeight="false" outlineLevel="0" collapsed="false">
      <c r="A37" s="0" t="n">
        <f aca="false">CurrentPositions!A32</f>
        <v>0</v>
      </c>
      <c r="B37" s="0" t="n">
        <f aca="false">CurrentPositions!B32</f>
        <v>0</v>
      </c>
      <c r="C37" s="0" t="n">
        <f aca="false">CurrentPositions!C32</f>
        <v>0</v>
      </c>
      <c r="D37" s="0" t="n">
        <f aca="false">CurrentPositions!D32</f>
        <v>0</v>
      </c>
      <c r="E37" s="0" t="n">
        <f aca="false">CurrentPositions!E32</f>
        <v>0</v>
      </c>
      <c r="F37" s="0" t="n">
        <f aca="false">$B$4</f>
        <v>1.22</v>
      </c>
      <c r="G37" s="0" t="n">
        <f aca="false">IF(B37="BUY",(F37-E37)/Settings!$B$3,(E37-F37)/Settings!$B$3)</f>
        <v>-12200</v>
      </c>
      <c r="H37" s="0" t="n">
        <f aca="false">G37*D37*Settings!$B$4</f>
        <v>-0</v>
      </c>
      <c r="I37" s="0" t="n">
        <f aca="false">CurrentPositions!I32</f>
        <v>0</v>
      </c>
      <c r="J37" s="0" t="n">
        <f aca="false">CurrentPositions!J32</f>
        <v>0</v>
      </c>
    </row>
    <row r="38" customFormat="false" ht="13.8" hidden="false" customHeight="false" outlineLevel="0" collapsed="false">
      <c r="A38" s="0" t="n">
        <f aca="false">CurrentPositions!A33</f>
        <v>0</v>
      </c>
      <c r="B38" s="0" t="n">
        <f aca="false">CurrentPositions!B33</f>
        <v>0</v>
      </c>
      <c r="C38" s="0" t="n">
        <f aca="false">CurrentPositions!C33</f>
        <v>0</v>
      </c>
      <c r="D38" s="0" t="n">
        <f aca="false">CurrentPositions!D33</f>
        <v>0</v>
      </c>
      <c r="E38" s="0" t="n">
        <f aca="false">CurrentPositions!E33</f>
        <v>0</v>
      </c>
      <c r="F38" s="0" t="n">
        <f aca="false">$B$4</f>
        <v>1.22</v>
      </c>
      <c r="G38" s="0" t="n">
        <f aca="false">IF(B38="BUY",(F38-E38)/Settings!$B$3,(E38-F38)/Settings!$B$3)</f>
        <v>-12200</v>
      </c>
      <c r="H38" s="0" t="n">
        <f aca="false">G38*D38*Settings!$B$4</f>
        <v>-0</v>
      </c>
      <c r="I38" s="0" t="n">
        <f aca="false">CurrentPositions!I33</f>
        <v>0</v>
      </c>
      <c r="J38" s="0" t="n">
        <f aca="false">CurrentPositions!J33</f>
        <v>0</v>
      </c>
    </row>
    <row r="39" customFormat="false" ht="13.8" hidden="false" customHeight="false" outlineLevel="0" collapsed="false">
      <c r="A39" s="0" t="n">
        <f aca="false">CurrentPositions!A34</f>
        <v>0</v>
      </c>
      <c r="B39" s="0" t="n">
        <f aca="false">CurrentPositions!B34</f>
        <v>0</v>
      </c>
      <c r="C39" s="0" t="n">
        <f aca="false">CurrentPositions!C34</f>
        <v>0</v>
      </c>
      <c r="D39" s="0" t="n">
        <f aca="false">CurrentPositions!D34</f>
        <v>0</v>
      </c>
      <c r="E39" s="0" t="n">
        <f aca="false">CurrentPositions!E34</f>
        <v>0</v>
      </c>
      <c r="F39" s="0" t="n">
        <f aca="false">$B$4</f>
        <v>1.22</v>
      </c>
      <c r="G39" s="0" t="n">
        <f aca="false">IF(B39="BUY",(F39-E39)/Settings!$B$3,(E39-F39)/Settings!$B$3)</f>
        <v>-12200</v>
      </c>
      <c r="H39" s="0" t="n">
        <f aca="false">G39*D39*Settings!$B$4</f>
        <v>-0</v>
      </c>
      <c r="I39" s="0" t="n">
        <f aca="false">CurrentPositions!I34</f>
        <v>0</v>
      </c>
      <c r="J39" s="0" t="n">
        <f aca="false">CurrentPositions!J34</f>
        <v>0</v>
      </c>
    </row>
    <row r="40" customFormat="false" ht="13.8" hidden="false" customHeight="false" outlineLevel="0" collapsed="false">
      <c r="A40" s="0" t="n">
        <f aca="false">CurrentPositions!A35</f>
        <v>0</v>
      </c>
      <c r="B40" s="0" t="n">
        <f aca="false">CurrentPositions!B35</f>
        <v>0</v>
      </c>
      <c r="C40" s="0" t="n">
        <f aca="false">CurrentPositions!C35</f>
        <v>0</v>
      </c>
      <c r="D40" s="0" t="n">
        <f aca="false">CurrentPositions!D35</f>
        <v>0</v>
      </c>
      <c r="E40" s="0" t="n">
        <f aca="false">CurrentPositions!E35</f>
        <v>0</v>
      </c>
      <c r="F40" s="0" t="n">
        <f aca="false">$B$4</f>
        <v>1.22</v>
      </c>
      <c r="G40" s="0" t="n">
        <f aca="false">IF(B40="BUY",(F40-E40)/Settings!$B$3,(E40-F40)/Settings!$B$3)</f>
        <v>-12200</v>
      </c>
      <c r="H40" s="0" t="n">
        <f aca="false">G40*D40*Settings!$B$4</f>
        <v>-0</v>
      </c>
      <c r="I40" s="0" t="n">
        <f aca="false">CurrentPositions!I35</f>
        <v>0</v>
      </c>
      <c r="J40" s="0" t="n">
        <f aca="false">CurrentPositions!J35</f>
        <v>0</v>
      </c>
    </row>
    <row r="41" customFormat="false" ht="13.8" hidden="false" customHeight="false" outlineLevel="0" collapsed="false">
      <c r="A41" s="0" t="n">
        <f aca="false">CurrentPositions!A36</f>
        <v>0</v>
      </c>
      <c r="B41" s="0" t="n">
        <f aca="false">CurrentPositions!B36</f>
        <v>0</v>
      </c>
      <c r="C41" s="0" t="n">
        <f aca="false">CurrentPositions!C36</f>
        <v>0</v>
      </c>
      <c r="D41" s="0" t="n">
        <f aca="false">CurrentPositions!D36</f>
        <v>0</v>
      </c>
      <c r="E41" s="0" t="n">
        <f aca="false">CurrentPositions!E36</f>
        <v>0</v>
      </c>
      <c r="F41" s="0" t="n">
        <f aca="false">$B$4</f>
        <v>1.22</v>
      </c>
      <c r="G41" s="0" t="n">
        <f aca="false">IF(B41="BUY",(F41-E41)/Settings!$B$3,(E41-F41)/Settings!$B$3)</f>
        <v>-12200</v>
      </c>
      <c r="H41" s="0" t="n">
        <f aca="false">G41*D41*Settings!$B$4</f>
        <v>-0</v>
      </c>
      <c r="I41" s="0" t="n">
        <f aca="false">CurrentPositions!I36</f>
        <v>0</v>
      </c>
      <c r="J41" s="0" t="n">
        <f aca="false">CurrentPositions!J36</f>
        <v>0</v>
      </c>
    </row>
    <row r="42" customFormat="false" ht="13.8" hidden="false" customHeight="false" outlineLevel="0" collapsed="false">
      <c r="A42" s="0" t="n">
        <f aca="false">CurrentPositions!A37</f>
        <v>0</v>
      </c>
      <c r="B42" s="0" t="n">
        <f aca="false">CurrentPositions!B37</f>
        <v>0</v>
      </c>
      <c r="C42" s="0" t="n">
        <f aca="false">CurrentPositions!C37</f>
        <v>0</v>
      </c>
      <c r="D42" s="0" t="n">
        <f aca="false">CurrentPositions!D37</f>
        <v>0</v>
      </c>
      <c r="E42" s="0" t="n">
        <f aca="false">CurrentPositions!E37</f>
        <v>0</v>
      </c>
      <c r="F42" s="0" t="n">
        <f aca="false">$B$4</f>
        <v>1.22</v>
      </c>
      <c r="G42" s="0" t="n">
        <f aca="false">IF(B42="BUY",(F42-E42)/Settings!$B$3,(E42-F42)/Settings!$B$3)</f>
        <v>-12200</v>
      </c>
      <c r="H42" s="0" t="n">
        <f aca="false">G42*D42*Settings!$B$4</f>
        <v>-0</v>
      </c>
      <c r="I42" s="0" t="n">
        <f aca="false">CurrentPositions!I37</f>
        <v>0</v>
      </c>
      <c r="J42" s="0" t="n">
        <f aca="false">CurrentPositions!J37</f>
        <v>0</v>
      </c>
    </row>
    <row r="43" customFormat="false" ht="13.8" hidden="false" customHeight="false" outlineLevel="0" collapsed="false">
      <c r="A43" s="0" t="n">
        <f aca="false">CurrentPositions!A38</f>
        <v>0</v>
      </c>
      <c r="B43" s="0" t="n">
        <f aca="false">CurrentPositions!B38</f>
        <v>0</v>
      </c>
      <c r="C43" s="0" t="n">
        <f aca="false">CurrentPositions!C38</f>
        <v>0</v>
      </c>
      <c r="D43" s="0" t="n">
        <f aca="false">CurrentPositions!D38</f>
        <v>0</v>
      </c>
      <c r="E43" s="0" t="n">
        <f aca="false">CurrentPositions!E38</f>
        <v>0</v>
      </c>
      <c r="F43" s="0" t="n">
        <f aca="false">$B$4</f>
        <v>1.22</v>
      </c>
      <c r="G43" s="0" t="n">
        <f aca="false">IF(B43="BUY",(F43-E43)/Settings!$B$3,(E43-F43)/Settings!$B$3)</f>
        <v>-12200</v>
      </c>
      <c r="H43" s="0" t="n">
        <f aca="false">G43*D43*Settings!$B$4</f>
        <v>-0</v>
      </c>
      <c r="I43" s="0" t="n">
        <f aca="false">CurrentPositions!I38</f>
        <v>0</v>
      </c>
      <c r="J43" s="0" t="n">
        <f aca="false">CurrentPositions!J38</f>
        <v>0</v>
      </c>
    </row>
    <row r="44" customFormat="false" ht="13.8" hidden="false" customHeight="false" outlineLevel="0" collapsed="false">
      <c r="A44" s="0" t="n">
        <f aca="false">CurrentPositions!A39</f>
        <v>0</v>
      </c>
      <c r="B44" s="0" t="n">
        <f aca="false">CurrentPositions!B39</f>
        <v>0</v>
      </c>
      <c r="C44" s="0" t="n">
        <f aca="false">CurrentPositions!C39</f>
        <v>0</v>
      </c>
      <c r="D44" s="0" t="n">
        <f aca="false">CurrentPositions!D39</f>
        <v>0</v>
      </c>
      <c r="E44" s="0" t="n">
        <f aca="false">CurrentPositions!E39</f>
        <v>0</v>
      </c>
      <c r="F44" s="0" t="n">
        <f aca="false">$B$4</f>
        <v>1.22</v>
      </c>
      <c r="G44" s="0" t="n">
        <f aca="false">IF(B44="BUY",(F44-E44)/Settings!$B$3,(E44-F44)/Settings!$B$3)</f>
        <v>-12200</v>
      </c>
      <c r="H44" s="0" t="n">
        <f aca="false">G44*D44*Settings!$B$4</f>
        <v>-0</v>
      </c>
      <c r="I44" s="0" t="n">
        <f aca="false">CurrentPositions!I39</f>
        <v>0</v>
      </c>
      <c r="J44" s="0" t="n">
        <f aca="false">CurrentPositions!J39</f>
        <v>0</v>
      </c>
    </row>
    <row r="45" customFormat="false" ht="13.8" hidden="false" customHeight="false" outlineLevel="0" collapsed="false">
      <c r="A45" s="0" t="n">
        <f aca="false">CurrentPositions!A40</f>
        <v>0</v>
      </c>
      <c r="B45" s="0" t="n">
        <f aca="false">CurrentPositions!B40</f>
        <v>0</v>
      </c>
      <c r="C45" s="0" t="n">
        <f aca="false">CurrentPositions!C40</f>
        <v>0</v>
      </c>
      <c r="D45" s="0" t="n">
        <f aca="false">CurrentPositions!D40</f>
        <v>0</v>
      </c>
      <c r="E45" s="0" t="n">
        <f aca="false">CurrentPositions!E40</f>
        <v>0</v>
      </c>
      <c r="F45" s="0" t="n">
        <f aca="false">$B$4</f>
        <v>1.22</v>
      </c>
      <c r="G45" s="0" t="n">
        <f aca="false">IF(B45="BUY",(F45-E45)/Settings!$B$3,(E45-F45)/Settings!$B$3)</f>
        <v>-12200</v>
      </c>
      <c r="H45" s="0" t="n">
        <f aca="false">G45*D45*Settings!$B$4</f>
        <v>-0</v>
      </c>
      <c r="I45" s="0" t="n">
        <f aca="false">CurrentPositions!I40</f>
        <v>0</v>
      </c>
      <c r="J45" s="0" t="n">
        <f aca="false">CurrentPositions!J40</f>
        <v>0</v>
      </c>
    </row>
    <row r="46" customFormat="false" ht="13.8" hidden="false" customHeight="false" outlineLevel="0" collapsed="false">
      <c r="A46" s="0" t="n">
        <f aca="false">CurrentPositions!A41</f>
        <v>0</v>
      </c>
      <c r="B46" s="0" t="n">
        <f aca="false">CurrentPositions!B41</f>
        <v>0</v>
      </c>
      <c r="C46" s="0" t="n">
        <f aca="false">CurrentPositions!C41</f>
        <v>0</v>
      </c>
      <c r="D46" s="0" t="n">
        <f aca="false">CurrentPositions!D41</f>
        <v>0</v>
      </c>
      <c r="E46" s="0" t="n">
        <f aca="false">CurrentPositions!E41</f>
        <v>0</v>
      </c>
      <c r="F46" s="0" t="n">
        <f aca="false">$B$4</f>
        <v>1.22</v>
      </c>
      <c r="G46" s="0" t="n">
        <f aca="false">IF(B46="BUY",(F46-E46)/Settings!$B$3,(E46-F46)/Settings!$B$3)</f>
        <v>-12200</v>
      </c>
      <c r="H46" s="0" t="n">
        <f aca="false">G46*D46*Settings!$B$4</f>
        <v>-0</v>
      </c>
      <c r="I46" s="0" t="n">
        <f aca="false">CurrentPositions!I41</f>
        <v>0</v>
      </c>
      <c r="J46" s="0" t="n">
        <f aca="false">CurrentPositions!J41</f>
        <v>0</v>
      </c>
    </row>
    <row r="47" customFormat="false" ht="13.8" hidden="false" customHeight="false" outlineLevel="0" collapsed="false">
      <c r="A47" s="0" t="n">
        <f aca="false">CurrentPositions!A42</f>
        <v>0</v>
      </c>
      <c r="B47" s="0" t="n">
        <f aca="false">CurrentPositions!B42</f>
        <v>0</v>
      </c>
      <c r="C47" s="0" t="n">
        <f aca="false">CurrentPositions!C42</f>
        <v>0</v>
      </c>
      <c r="D47" s="0" t="n">
        <f aca="false">CurrentPositions!D42</f>
        <v>0</v>
      </c>
      <c r="E47" s="0" t="n">
        <f aca="false">CurrentPositions!E42</f>
        <v>0</v>
      </c>
      <c r="F47" s="0" t="n">
        <f aca="false">$B$4</f>
        <v>1.22</v>
      </c>
      <c r="G47" s="0" t="n">
        <f aca="false">IF(B47="BUY",(F47-E47)/Settings!$B$3,(E47-F47)/Settings!$B$3)</f>
        <v>-12200</v>
      </c>
      <c r="H47" s="0" t="n">
        <f aca="false">G47*D47*Settings!$B$4</f>
        <v>-0</v>
      </c>
      <c r="I47" s="0" t="n">
        <f aca="false">CurrentPositions!I42</f>
        <v>0</v>
      </c>
      <c r="J47" s="0" t="n">
        <f aca="false">CurrentPositions!J42</f>
        <v>0</v>
      </c>
    </row>
    <row r="48" customFormat="false" ht="13.8" hidden="false" customHeight="false" outlineLevel="0" collapsed="false">
      <c r="A48" s="0" t="n">
        <f aca="false">CurrentPositions!A43</f>
        <v>0</v>
      </c>
      <c r="B48" s="0" t="n">
        <f aca="false">CurrentPositions!B43</f>
        <v>0</v>
      </c>
      <c r="C48" s="0" t="n">
        <f aca="false">CurrentPositions!C43</f>
        <v>0</v>
      </c>
      <c r="D48" s="0" t="n">
        <f aca="false">CurrentPositions!D43</f>
        <v>0</v>
      </c>
      <c r="E48" s="0" t="n">
        <f aca="false">CurrentPositions!E43</f>
        <v>0</v>
      </c>
      <c r="F48" s="0" t="n">
        <f aca="false">$B$4</f>
        <v>1.22</v>
      </c>
      <c r="G48" s="0" t="n">
        <f aca="false">IF(B48="BUY",(F48-E48)/Settings!$B$3,(E48-F48)/Settings!$B$3)</f>
        <v>-12200</v>
      </c>
      <c r="H48" s="0" t="n">
        <f aca="false">G48*D48*Settings!$B$4</f>
        <v>-0</v>
      </c>
      <c r="I48" s="0" t="n">
        <f aca="false">CurrentPositions!I43</f>
        <v>0</v>
      </c>
      <c r="J48" s="0" t="n">
        <f aca="false">CurrentPositions!J43</f>
        <v>0</v>
      </c>
    </row>
    <row r="49" customFormat="false" ht="13.8" hidden="false" customHeight="false" outlineLevel="0" collapsed="false">
      <c r="A49" s="0" t="n">
        <f aca="false">CurrentPositions!A44</f>
        <v>0</v>
      </c>
      <c r="B49" s="0" t="n">
        <f aca="false">CurrentPositions!B44</f>
        <v>0</v>
      </c>
      <c r="C49" s="0" t="n">
        <f aca="false">CurrentPositions!C44</f>
        <v>0</v>
      </c>
      <c r="D49" s="0" t="n">
        <f aca="false">CurrentPositions!D44</f>
        <v>0</v>
      </c>
      <c r="E49" s="0" t="n">
        <f aca="false">CurrentPositions!E44</f>
        <v>0</v>
      </c>
      <c r="F49" s="0" t="n">
        <f aca="false">$B$4</f>
        <v>1.22</v>
      </c>
      <c r="G49" s="0" t="n">
        <f aca="false">IF(B49="BUY",(F49-E49)/Settings!$B$3,(E49-F49)/Settings!$B$3)</f>
        <v>-12200</v>
      </c>
      <c r="H49" s="0" t="n">
        <f aca="false">G49*D49*Settings!$B$4</f>
        <v>-0</v>
      </c>
      <c r="I49" s="0" t="n">
        <f aca="false">CurrentPositions!I44</f>
        <v>0</v>
      </c>
      <c r="J49" s="0" t="n">
        <f aca="false">CurrentPositions!J44</f>
        <v>0</v>
      </c>
    </row>
    <row r="50" customFormat="false" ht="13.8" hidden="false" customHeight="false" outlineLevel="0" collapsed="false">
      <c r="A50" s="0" t="n">
        <f aca="false">CurrentPositions!A45</f>
        <v>0</v>
      </c>
      <c r="B50" s="0" t="n">
        <f aca="false">CurrentPositions!B45</f>
        <v>0</v>
      </c>
      <c r="C50" s="0" t="n">
        <f aca="false">CurrentPositions!C45</f>
        <v>0</v>
      </c>
      <c r="D50" s="0" t="n">
        <f aca="false">CurrentPositions!D45</f>
        <v>0</v>
      </c>
      <c r="E50" s="0" t="n">
        <f aca="false">CurrentPositions!E45</f>
        <v>0</v>
      </c>
      <c r="F50" s="0" t="n">
        <f aca="false">$B$4</f>
        <v>1.22</v>
      </c>
      <c r="G50" s="0" t="n">
        <f aca="false">IF(B50="BUY",(F50-E50)/Settings!$B$3,(E50-F50)/Settings!$B$3)</f>
        <v>-12200</v>
      </c>
      <c r="H50" s="0" t="n">
        <f aca="false">G50*D50*Settings!$B$4</f>
        <v>-0</v>
      </c>
      <c r="I50" s="0" t="n">
        <f aca="false">CurrentPositions!I45</f>
        <v>0</v>
      </c>
      <c r="J50" s="0" t="n">
        <f aca="false">CurrentPositions!J45</f>
        <v>0</v>
      </c>
    </row>
    <row r="51" customFormat="false" ht="13.8" hidden="false" customHeight="false" outlineLevel="0" collapsed="false">
      <c r="A51" s="0" t="n">
        <f aca="false">CurrentPositions!A46</f>
        <v>0</v>
      </c>
      <c r="B51" s="0" t="n">
        <f aca="false">CurrentPositions!B46</f>
        <v>0</v>
      </c>
      <c r="C51" s="0" t="n">
        <f aca="false">CurrentPositions!C46</f>
        <v>0</v>
      </c>
      <c r="D51" s="0" t="n">
        <f aca="false">CurrentPositions!D46</f>
        <v>0</v>
      </c>
      <c r="E51" s="0" t="n">
        <f aca="false">CurrentPositions!E46</f>
        <v>0</v>
      </c>
      <c r="F51" s="0" t="n">
        <f aca="false">$B$4</f>
        <v>1.22</v>
      </c>
      <c r="G51" s="0" t="n">
        <f aca="false">IF(B51="BUY",(F51-E51)/Settings!$B$3,(E51-F51)/Settings!$B$3)</f>
        <v>-12200</v>
      </c>
      <c r="H51" s="0" t="n">
        <f aca="false">G51*D51*Settings!$B$4</f>
        <v>-0</v>
      </c>
      <c r="I51" s="0" t="n">
        <f aca="false">CurrentPositions!I46</f>
        <v>0</v>
      </c>
      <c r="J51" s="0" t="n">
        <f aca="false">CurrentPositions!J46</f>
        <v>0</v>
      </c>
    </row>
    <row r="52" customFormat="false" ht="13.8" hidden="false" customHeight="false" outlineLevel="0" collapsed="false">
      <c r="A52" s="0" t="n">
        <f aca="false">CurrentPositions!A47</f>
        <v>0</v>
      </c>
      <c r="B52" s="0" t="n">
        <f aca="false">CurrentPositions!B47</f>
        <v>0</v>
      </c>
      <c r="C52" s="0" t="n">
        <f aca="false">CurrentPositions!C47</f>
        <v>0</v>
      </c>
      <c r="D52" s="0" t="n">
        <f aca="false">CurrentPositions!D47</f>
        <v>0</v>
      </c>
      <c r="E52" s="0" t="n">
        <f aca="false">CurrentPositions!E47</f>
        <v>0</v>
      </c>
      <c r="F52" s="0" t="n">
        <f aca="false">$B$4</f>
        <v>1.22</v>
      </c>
      <c r="G52" s="0" t="n">
        <f aca="false">IF(B52="BUY",(F52-E52)/Settings!$B$3,(E52-F52)/Settings!$B$3)</f>
        <v>-12200</v>
      </c>
      <c r="H52" s="0" t="n">
        <f aca="false">G52*D52*Settings!$B$4</f>
        <v>-0</v>
      </c>
      <c r="I52" s="0" t="n">
        <f aca="false">CurrentPositions!I47</f>
        <v>0</v>
      </c>
      <c r="J52" s="0" t="n">
        <f aca="false">CurrentPositions!J47</f>
        <v>0</v>
      </c>
    </row>
    <row r="53" customFormat="false" ht="13.8" hidden="false" customHeight="false" outlineLevel="0" collapsed="false">
      <c r="A53" s="0" t="n">
        <f aca="false">CurrentPositions!A48</f>
        <v>0</v>
      </c>
      <c r="B53" s="0" t="n">
        <f aca="false">CurrentPositions!B48</f>
        <v>0</v>
      </c>
      <c r="C53" s="0" t="n">
        <f aca="false">CurrentPositions!C48</f>
        <v>0</v>
      </c>
      <c r="D53" s="0" t="n">
        <f aca="false">CurrentPositions!D48</f>
        <v>0</v>
      </c>
      <c r="E53" s="0" t="n">
        <f aca="false">CurrentPositions!E48</f>
        <v>0</v>
      </c>
      <c r="F53" s="0" t="n">
        <f aca="false">$B$4</f>
        <v>1.22</v>
      </c>
      <c r="G53" s="0" t="n">
        <f aca="false">IF(B53="BUY",(F53-E53)/Settings!$B$3,(E53-F53)/Settings!$B$3)</f>
        <v>-12200</v>
      </c>
      <c r="H53" s="0" t="n">
        <f aca="false">G53*D53*Settings!$B$4</f>
        <v>-0</v>
      </c>
      <c r="I53" s="0" t="n">
        <f aca="false">CurrentPositions!I48</f>
        <v>0</v>
      </c>
      <c r="J53" s="0" t="n">
        <f aca="false">CurrentPositions!J48</f>
        <v>0</v>
      </c>
    </row>
    <row r="54" customFormat="false" ht="13.8" hidden="false" customHeight="false" outlineLevel="0" collapsed="false">
      <c r="A54" s="0" t="n">
        <f aca="false">CurrentPositions!A49</f>
        <v>0</v>
      </c>
      <c r="B54" s="0" t="n">
        <f aca="false">CurrentPositions!B49</f>
        <v>0</v>
      </c>
      <c r="C54" s="0" t="n">
        <f aca="false">CurrentPositions!C49</f>
        <v>0</v>
      </c>
      <c r="D54" s="0" t="n">
        <f aca="false">CurrentPositions!D49</f>
        <v>0</v>
      </c>
      <c r="E54" s="0" t="n">
        <f aca="false">CurrentPositions!E49</f>
        <v>0</v>
      </c>
      <c r="F54" s="0" t="n">
        <f aca="false">$B$4</f>
        <v>1.22</v>
      </c>
      <c r="G54" s="0" t="n">
        <f aca="false">IF(B54="BUY",(F54-E54)/Settings!$B$3,(E54-F54)/Settings!$B$3)</f>
        <v>-12200</v>
      </c>
      <c r="H54" s="0" t="n">
        <f aca="false">G54*D54*Settings!$B$4</f>
        <v>-0</v>
      </c>
      <c r="I54" s="0" t="n">
        <f aca="false">CurrentPositions!I49</f>
        <v>0</v>
      </c>
      <c r="J54" s="0" t="n">
        <f aca="false">CurrentPositions!J49</f>
        <v>0</v>
      </c>
    </row>
    <row r="55" customFormat="false" ht="13.8" hidden="false" customHeight="false" outlineLevel="0" collapsed="false">
      <c r="A55" s="0" t="n">
        <f aca="false">CurrentPositions!A50</f>
        <v>0</v>
      </c>
      <c r="B55" s="0" t="n">
        <f aca="false">CurrentPositions!B50</f>
        <v>0</v>
      </c>
      <c r="C55" s="0" t="n">
        <f aca="false">CurrentPositions!C50</f>
        <v>0</v>
      </c>
      <c r="D55" s="0" t="n">
        <f aca="false">CurrentPositions!D50</f>
        <v>0</v>
      </c>
      <c r="E55" s="0" t="n">
        <f aca="false">CurrentPositions!E50</f>
        <v>0</v>
      </c>
      <c r="F55" s="0" t="n">
        <f aca="false">$B$4</f>
        <v>1.22</v>
      </c>
      <c r="G55" s="0" t="n">
        <f aca="false">IF(B55="BUY",(F55-E55)/Settings!$B$3,(E55-F55)/Settings!$B$3)</f>
        <v>-12200</v>
      </c>
      <c r="H55" s="0" t="n">
        <f aca="false">G55*D55*Settings!$B$4</f>
        <v>-0</v>
      </c>
      <c r="I55" s="0" t="n">
        <f aca="false">CurrentPositions!I50</f>
        <v>0</v>
      </c>
      <c r="J55" s="0" t="n">
        <f aca="false">CurrentPositions!J50</f>
        <v>0</v>
      </c>
    </row>
    <row r="56" customFormat="false" ht="13.8" hidden="false" customHeight="false" outlineLevel="0" collapsed="false">
      <c r="A56" s="0" t="n">
        <f aca="false">CurrentPositions!A51</f>
        <v>0</v>
      </c>
      <c r="B56" s="0" t="n">
        <f aca="false">CurrentPositions!B51</f>
        <v>0</v>
      </c>
      <c r="C56" s="0" t="n">
        <f aca="false">CurrentPositions!C51</f>
        <v>0</v>
      </c>
      <c r="D56" s="0" t="n">
        <f aca="false">CurrentPositions!D51</f>
        <v>0</v>
      </c>
      <c r="E56" s="0" t="n">
        <f aca="false">CurrentPositions!E51</f>
        <v>0</v>
      </c>
      <c r="F56" s="0" t="n">
        <f aca="false">$B$4</f>
        <v>1.22</v>
      </c>
      <c r="G56" s="0" t="n">
        <f aca="false">IF(B56="BUY",(F56-E56)/Settings!$B$3,(E56-F56)/Settings!$B$3)</f>
        <v>-12200</v>
      </c>
      <c r="H56" s="0" t="n">
        <f aca="false">G56*D56*Settings!$B$4</f>
        <v>-0</v>
      </c>
      <c r="I56" s="0" t="n">
        <f aca="false">CurrentPositions!I51</f>
        <v>0</v>
      </c>
      <c r="J56" s="0" t="n">
        <f aca="false">CurrentPositions!J51</f>
        <v>0</v>
      </c>
    </row>
    <row r="57" customFormat="false" ht="13.8" hidden="false" customHeight="false" outlineLevel="0" collapsed="false">
      <c r="A57" s="0" t="n">
        <f aca="false">CurrentPositions!A52</f>
        <v>0</v>
      </c>
      <c r="B57" s="0" t="n">
        <f aca="false">CurrentPositions!B52</f>
        <v>0</v>
      </c>
      <c r="C57" s="0" t="n">
        <f aca="false">CurrentPositions!C52</f>
        <v>0</v>
      </c>
      <c r="D57" s="0" t="n">
        <f aca="false">CurrentPositions!D52</f>
        <v>0</v>
      </c>
      <c r="E57" s="0" t="n">
        <f aca="false">CurrentPositions!E52</f>
        <v>0</v>
      </c>
      <c r="F57" s="0" t="n">
        <f aca="false">$B$4</f>
        <v>1.22</v>
      </c>
      <c r="G57" s="0" t="n">
        <f aca="false">IF(B57="BUY",(F57-E57)/Settings!$B$3,(E57-F57)/Settings!$B$3)</f>
        <v>-12200</v>
      </c>
      <c r="H57" s="0" t="n">
        <f aca="false">G57*D57*Settings!$B$4</f>
        <v>-0</v>
      </c>
      <c r="I57" s="0" t="n">
        <f aca="false">CurrentPositions!I52</f>
        <v>0</v>
      </c>
      <c r="J57" s="0" t="n">
        <f aca="false">CurrentPositions!J52</f>
        <v>0</v>
      </c>
    </row>
    <row r="58" customFormat="false" ht="13.8" hidden="false" customHeight="false" outlineLevel="0" collapsed="false">
      <c r="A58" s="0" t="n">
        <f aca="false">CurrentPositions!A53</f>
        <v>0</v>
      </c>
      <c r="B58" s="0" t="n">
        <f aca="false">CurrentPositions!B53</f>
        <v>0</v>
      </c>
      <c r="C58" s="0" t="n">
        <f aca="false">CurrentPositions!C53</f>
        <v>0</v>
      </c>
      <c r="D58" s="0" t="n">
        <f aca="false">CurrentPositions!D53</f>
        <v>0</v>
      </c>
      <c r="E58" s="0" t="n">
        <f aca="false">CurrentPositions!E53</f>
        <v>0</v>
      </c>
      <c r="F58" s="0" t="n">
        <f aca="false">$B$4</f>
        <v>1.22</v>
      </c>
      <c r="G58" s="0" t="n">
        <f aca="false">IF(B58="BUY",(F58-E58)/Settings!$B$3,(E58-F58)/Settings!$B$3)</f>
        <v>-12200</v>
      </c>
      <c r="H58" s="0" t="n">
        <f aca="false">G58*D58*Settings!$B$4</f>
        <v>-0</v>
      </c>
      <c r="I58" s="0" t="n">
        <f aca="false">CurrentPositions!I53</f>
        <v>0</v>
      </c>
      <c r="J58" s="0" t="n">
        <f aca="false">CurrentPositions!J53</f>
        <v>0</v>
      </c>
    </row>
    <row r="59" customFormat="false" ht="13.8" hidden="false" customHeight="false" outlineLevel="0" collapsed="false">
      <c r="A59" s="0" t="n">
        <f aca="false">CurrentPositions!A54</f>
        <v>0</v>
      </c>
      <c r="B59" s="0" t="n">
        <f aca="false">CurrentPositions!B54</f>
        <v>0</v>
      </c>
      <c r="C59" s="0" t="n">
        <f aca="false">CurrentPositions!C54</f>
        <v>0</v>
      </c>
      <c r="D59" s="0" t="n">
        <f aca="false">CurrentPositions!D54</f>
        <v>0</v>
      </c>
      <c r="E59" s="0" t="n">
        <f aca="false">CurrentPositions!E54</f>
        <v>0</v>
      </c>
      <c r="F59" s="0" t="n">
        <f aca="false">$B$4</f>
        <v>1.22</v>
      </c>
      <c r="G59" s="0" t="n">
        <f aca="false">IF(B59="BUY",(F59-E59)/Settings!$B$3,(E59-F59)/Settings!$B$3)</f>
        <v>-12200</v>
      </c>
      <c r="H59" s="0" t="n">
        <f aca="false">G59*D59*Settings!$B$4</f>
        <v>-0</v>
      </c>
      <c r="I59" s="0" t="n">
        <f aca="false">CurrentPositions!I54</f>
        <v>0</v>
      </c>
      <c r="J59" s="0" t="n">
        <f aca="false">CurrentPositions!J54</f>
        <v>0</v>
      </c>
    </row>
    <row r="60" customFormat="false" ht="13.8" hidden="false" customHeight="false" outlineLevel="0" collapsed="false">
      <c r="A60" s="0" t="n">
        <f aca="false">CurrentPositions!A55</f>
        <v>0</v>
      </c>
      <c r="B60" s="0" t="n">
        <f aca="false">CurrentPositions!B55</f>
        <v>0</v>
      </c>
      <c r="C60" s="0" t="n">
        <f aca="false">CurrentPositions!C55</f>
        <v>0</v>
      </c>
      <c r="D60" s="0" t="n">
        <f aca="false">CurrentPositions!D55</f>
        <v>0</v>
      </c>
      <c r="E60" s="0" t="n">
        <f aca="false">CurrentPositions!E55</f>
        <v>0</v>
      </c>
      <c r="F60" s="0" t="n">
        <f aca="false">$B$4</f>
        <v>1.22</v>
      </c>
      <c r="G60" s="0" t="n">
        <f aca="false">IF(B60="BUY",(F60-E60)/Settings!$B$3,(E60-F60)/Settings!$B$3)</f>
        <v>-12200</v>
      </c>
      <c r="H60" s="0" t="n">
        <f aca="false">G60*D60*Settings!$B$4</f>
        <v>-0</v>
      </c>
      <c r="I60" s="0" t="n">
        <f aca="false">CurrentPositions!I55</f>
        <v>0</v>
      </c>
      <c r="J60" s="0" t="n">
        <f aca="false">CurrentPositions!J55</f>
        <v>0</v>
      </c>
    </row>
    <row r="61" customFormat="false" ht="13.8" hidden="false" customHeight="false" outlineLevel="0" collapsed="false">
      <c r="A61" s="0" t="n">
        <f aca="false">CurrentPositions!A56</f>
        <v>0</v>
      </c>
      <c r="B61" s="0" t="n">
        <f aca="false">CurrentPositions!B56</f>
        <v>0</v>
      </c>
      <c r="C61" s="0" t="n">
        <f aca="false">CurrentPositions!C56</f>
        <v>0</v>
      </c>
      <c r="D61" s="0" t="n">
        <f aca="false">CurrentPositions!D56</f>
        <v>0</v>
      </c>
      <c r="E61" s="0" t="n">
        <f aca="false">CurrentPositions!E56</f>
        <v>0</v>
      </c>
      <c r="F61" s="0" t="n">
        <f aca="false">$B$4</f>
        <v>1.22</v>
      </c>
      <c r="G61" s="0" t="n">
        <f aca="false">IF(B61="BUY",(F61-E61)/Settings!$B$3,(E61-F61)/Settings!$B$3)</f>
        <v>-12200</v>
      </c>
      <c r="H61" s="0" t="n">
        <f aca="false">G61*D61*Settings!$B$4</f>
        <v>-0</v>
      </c>
      <c r="I61" s="0" t="n">
        <f aca="false">CurrentPositions!I56</f>
        <v>0</v>
      </c>
      <c r="J61" s="0" t="n">
        <f aca="false">CurrentPositions!J56</f>
        <v>0</v>
      </c>
    </row>
    <row r="62" customFormat="false" ht="13.8" hidden="false" customHeight="false" outlineLevel="0" collapsed="false">
      <c r="A62" s="0" t="n">
        <f aca="false">CurrentPositions!A57</f>
        <v>0</v>
      </c>
      <c r="B62" s="0" t="n">
        <f aca="false">CurrentPositions!B57</f>
        <v>0</v>
      </c>
      <c r="C62" s="0" t="n">
        <f aca="false">CurrentPositions!C57</f>
        <v>0</v>
      </c>
      <c r="D62" s="0" t="n">
        <f aca="false">CurrentPositions!D57</f>
        <v>0</v>
      </c>
      <c r="E62" s="0" t="n">
        <f aca="false">CurrentPositions!E57</f>
        <v>0</v>
      </c>
      <c r="F62" s="0" t="n">
        <f aca="false">$B$4</f>
        <v>1.22</v>
      </c>
      <c r="G62" s="0" t="n">
        <f aca="false">IF(B62="BUY",(F62-E62)/Settings!$B$3,(E62-F62)/Settings!$B$3)</f>
        <v>-12200</v>
      </c>
      <c r="H62" s="0" t="n">
        <f aca="false">G62*D62*Settings!$B$4</f>
        <v>-0</v>
      </c>
      <c r="I62" s="0" t="n">
        <f aca="false">CurrentPositions!I57</f>
        <v>0</v>
      </c>
      <c r="J62" s="0" t="n">
        <f aca="false">CurrentPositions!J57</f>
        <v>0</v>
      </c>
    </row>
    <row r="63" customFormat="false" ht="13.8" hidden="false" customHeight="false" outlineLevel="0" collapsed="false">
      <c r="A63" s="0" t="n">
        <f aca="false">CurrentPositions!A58</f>
        <v>0</v>
      </c>
      <c r="B63" s="0" t="n">
        <f aca="false">CurrentPositions!B58</f>
        <v>0</v>
      </c>
      <c r="C63" s="0" t="n">
        <f aca="false">CurrentPositions!C58</f>
        <v>0</v>
      </c>
      <c r="D63" s="0" t="n">
        <f aca="false">CurrentPositions!D58</f>
        <v>0</v>
      </c>
      <c r="E63" s="0" t="n">
        <f aca="false">CurrentPositions!E58</f>
        <v>0</v>
      </c>
      <c r="F63" s="0" t="n">
        <f aca="false">$B$4</f>
        <v>1.22</v>
      </c>
      <c r="G63" s="0" t="n">
        <f aca="false">IF(B63="BUY",(F63-E63)/Settings!$B$3,(E63-F63)/Settings!$B$3)</f>
        <v>-12200</v>
      </c>
      <c r="H63" s="0" t="n">
        <f aca="false">G63*D63*Settings!$B$4</f>
        <v>-0</v>
      </c>
      <c r="I63" s="0" t="n">
        <f aca="false">CurrentPositions!I58</f>
        <v>0</v>
      </c>
      <c r="J63" s="0" t="n">
        <f aca="false">CurrentPositions!J58</f>
        <v>0</v>
      </c>
    </row>
    <row r="64" customFormat="false" ht="13.8" hidden="false" customHeight="false" outlineLevel="0" collapsed="false">
      <c r="A64" s="0" t="n">
        <f aca="false">CurrentPositions!A59</f>
        <v>0</v>
      </c>
      <c r="B64" s="0" t="n">
        <f aca="false">CurrentPositions!B59</f>
        <v>0</v>
      </c>
      <c r="C64" s="0" t="n">
        <f aca="false">CurrentPositions!C59</f>
        <v>0</v>
      </c>
      <c r="D64" s="0" t="n">
        <f aca="false">CurrentPositions!D59</f>
        <v>0</v>
      </c>
      <c r="E64" s="0" t="n">
        <f aca="false">CurrentPositions!E59</f>
        <v>0</v>
      </c>
      <c r="F64" s="0" t="n">
        <f aca="false">$B$4</f>
        <v>1.22</v>
      </c>
      <c r="G64" s="0" t="n">
        <f aca="false">IF(B64="BUY",(F64-E64)/Settings!$B$3,(E64-F64)/Settings!$B$3)</f>
        <v>-12200</v>
      </c>
      <c r="H64" s="0" t="n">
        <f aca="false">G64*D64*Settings!$B$4</f>
        <v>-0</v>
      </c>
      <c r="I64" s="0" t="n">
        <f aca="false">CurrentPositions!I59</f>
        <v>0</v>
      </c>
      <c r="J64" s="0" t="n">
        <f aca="false">CurrentPositions!J59</f>
        <v>0</v>
      </c>
    </row>
    <row r="65" customFormat="false" ht="13.8" hidden="false" customHeight="false" outlineLevel="0" collapsed="false">
      <c r="A65" s="0" t="n">
        <f aca="false">CurrentPositions!A60</f>
        <v>0</v>
      </c>
      <c r="B65" s="0" t="n">
        <f aca="false">CurrentPositions!B60</f>
        <v>0</v>
      </c>
      <c r="C65" s="0" t="n">
        <f aca="false">CurrentPositions!C60</f>
        <v>0</v>
      </c>
      <c r="D65" s="0" t="n">
        <f aca="false">CurrentPositions!D60</f>
        <v>0</v>
      </c>
      <c r="E65" s="0" t="n">
        <f aca="false">CurrentPositions!E60</f>
        <v>0</v>
      </c>
      <c r="F65" s="0" t="n">
        <f aca="false">$B$4</f>
        <v>1.22</v>
      </c>
      <c r="G65" s="0" t="n">
        <f aca="false">IF(B65="BUY",(F65-E65)/Settings!$B$3,(E65-F65)/Settings!$B$3)</f>
        <v>-12200</v>
      </c>
      <c r="H65" s="0" t="n">
        <f aca="false">G65*D65*Settings!$B$4</f>
        <v>-0</v>
      </c>
      <c r="I65" s="0" t="n">
        <f aca="false">CurrentPositions!I60</f>
        <v>0</v>
      </c>
      <c r="J65" s="0" t="n">
        <f aca="false">CurrentPositions!J60</f>
        <v>0</v>
      </c>
    </row>
    <row r="66" customFormat="false" ht="13.8" hidden="false" customHeight="false" outlineLevel="0" collapsed="false">
      <c r="A66" s="0" t="n">
        <f aca="false">CurrentPositions!A61</f>
        <v>0</v>
      </c>
      <c r="B66" s="0" t="n">
        <f aca="false">CurrentPositions!B61</f>
        <v>0</v>
      </c>
      <c r="C66" s="0" t="n">
        <f aca="false">CurrentPositions!C61</f>
        <v>0</v>
      </c>
      <c r="D66" s="0" t="n">
        <f aca="false">CurrentPositions!D61</f>
        <v>0</v>
      </c>
      <c r="E66" s="0" t="n">
        <f aca="false">CurrentPositions!E61</f>
        <v>0</v>
      </c>
      <c r="F66" s="0" t="n">
        <f aca="false">$B$4</f>
        <v>1.22</v>
      </c>
      <c r="G66" s="0" t="n">
        <f aca="false">IF(B66="BUY",(F66-E66)/Settings!$B$3,(E66-F66)/Settings!$B$3)</f>
        <v>-12200</v>
      </c>
      <c r="H66" s="0" t="n">
        <f aca="false">G66*D66*Settings!$B$4</f>
        <v>-0</v>
      </c>
      <c r="I66" s="0" t="n">
        <f aca="false">CurrentPositions!I61</f>
        <v>0</v>
      </c>
      <c r="J66" s="0" t="n">
        <f aca="false">CurrentPositions!J61</f>
        <v>0</v>
      </c>
    </row>
    <row r="67" customFormat="false" ht="13.8" hidden="false" customHeight="false" outlineLevel="0" collapsed="false">
      <c r="A67" s="0" t="n">
        <f aca="false">CurrentPositions!A62</f>
        <v>0</v>
      </c>
      <c r="B67" s="0" t="n">
        <f aca="false">CurrentPositions!B62</f>
        <v>0</v>
      </c>
      <c r="C67" s="0" t="n">
        <f aca="false">CurrentPositions!C62</f>
        <v>0</v>
      </c>
      <c r="D67" s="0" t="n">
        <f aca="false">CurrentPositions!D62</f>
        <v>0</v>
      </c>
      <c r="E67" s="0" t="n">
        <f aca="false">CurrentPositions!E62</f>
        <v>0</v>
      </c>
      <c r="F67" s="0" t="n">
        <f aca="false">$B$4</f>
        <v>1.22</v>
      </c>
      <c r="G67" s="0" t="n">
        <f aca="false">IF(B67="BUY",(F67-E67)/Settings!$B$3,(E67-F67)/Settings!$B$3)</f>
        <v>-12200</v>
      </c>
      <c r="H67" s="0" t="n">
        <f aca="false">G67*D67*Settings!$B$4</f>
        <v>-0</v>
      </c>
      <c r="I67" s="0" t="n">
        <f aca="false">CurrentPositions!I62</f>
        <v>0</v>
      </c>
      <c r="J67" s="0" t="n">
        <f aca="false">CurrentPositions!J62</f>
        <v>0</v>
      </c>
    </row>
    <row r="68" customFormat="false" ht="13.8" hidden="false" customHeight="false" outlineLevel="0" collapsed="false">
      <c r="A68" s="0" t="n">
        <f aca="false">CurrentPositions!A63</f>
        <v>0</v>
      </c>
      <c r="B68" s="0" t="n">
        <f aca="false">CurrentPositions!B63</f>
        <v>0</v>
      </c>
      <c r="C68" s="0" t="n">
        <f aca="false">CurrentPositions!C63</f>
        <v>0</v>
      </c>
      <c r="D68" s="0" t="n">
        <f aca="false">CurrentPositions!D63</f>
        <v>0</v>
      </c>
      <c r="E68" s="0" t="n">
        <f aca="false">CurrentPositions!E63</f>
        <v>0</v>
      </c>
      <c r="F68" s="0" t="n">
        <f aca="false">$B$4</f>
        <v>1.22</v>
      </c>
      <c r="G68" s="0" t="n">
        <f aca="false">IF(B68="BUY",(F68-E68)/Settings!$B$3,(E68-F68)/Settings!$B$3)</f>
        <v>-12200</v>
      </c>
      <c r="H68" s="0" t="n">
        <f aca="false">G68*D68*Settings!$B$4</f>
        <v>-0</v>
      </c>
      <c r="I68" s="0" t="n">
        <f aca="false">CurrentPositions!I63</f>
        <v>0</v>
      </c>
      <c r="J68" s="0" t="n">
        <f aca="false">CurrentPositions!J63</f>
        <v>0</v>
      </c>
    </row>
    <row r="69" customFormat="false" ht="13.8" hidden="false" customHeight="false" outlineLevel="0" collapsed="false">
      <c r="A69" s="0" t="n">
        <f aca="false">CurrentPositions!A64</f>
        <v>0</v>
      </c>
      <c r="B69" s="0" t="n">
        <f aca="false">CurrentPositions!B64</f>
        <v>0</v>
      </c>
      <c r="C69" s="0" t="n">
        <f aca="false">CurrentPositions!C64</f>
        <v>0</v>
      </c>
      <c r="D69" s="0" t="n">
        <f aca="false">CurrentPositions!D64</f>
        <v>0</v>
      </c>
      <c r="E69" s="0" t="n">
        <f aca="false">CurrentPositions!E64</f>
        <v>0</v>
      </c>
      <c r="F69" s="0" t="n">
        <f aca="false">$B$4</f>
        <v>1.22</v>
      </c>
      <c r="G69" s="0" t="n">
        <f aca="false">IF(B69="BUY",(F69-E69)/Settings!$B$3,(E69-F69)/Settings!$B$3)</f>
        <v>-12200</v>
      </c>
      <c r="H69" s="0" t="n">
        <f aca="false">G69*D69*Settings!$B$4</f>
        <v>-0</v>
      </c>
      <c r="I69" s="0" t="n">
        <f aca="false">CurrentPositions!I64</f>
        <v>0</v>
      </c>
      <c r="J69" s="0" t="n">
        <f aca="false">CurrentPositions!J64</f>
        <v>0</v>
      </c>
    </row>
    <row r="70" customFormat="false" ht="13.8" hidden="false" customHeight="false" outlineLevel="0" collapsed="false">
      <c r="A70" s="0" t="n">
        <f aca="false">CurrentPositions!A65</f>
        <v>0</v>
      </c>
      <c r="B70" s="0" t="n">
        <f aca="false">CurrentPositions!B65</f>
        <v>0</v>
      </c>
      <c r="C70" s="0" t="n">
        <f aca="false">CurrentPositions!C65</f>
        <v>0</v>
      </c>
      <c r="D70" s="0" t="n">
        <f aca="false">CurrentPositions!D65</f>
        <v>0</v>
      </c>
      <c r="E70" s="0" t="n">
        <f aca="false">CurrentPositions!E65</f>
        <v>0</v>
      </c>
      <c r="F70" s="0" t="n">
        <f aca="false">$B$4</f>
        <v>1.22</v>
      </c>
      <c r="G70" s="0" t="n">
        <f aca="false">IF(B70="BUY",(F70-E70)/Settings!$B$3,(E70-F70)/Settings!$B$3)</f>
        <v>-12200</v>
      </c>
      <c r="H70" s="0" t="n">
        <f aca="false">G70*D70*Settings!$B$4</f>
        <v>-0</v>
      </c>
      <c r="I70" s="0" t="n">
        <f aca="false">CurrentPositions!I65</f>
        <v>0</v>
      </c>
      <c r="J70" s="0" t="n">
        <f aca="false">CurrentPositions!J65</f>
        <v>0</v>
      </c>
    </row>
    <row r="71" customFormat="false" ht="13.8" hidden="false" customHeight="false" outlineLevel="0" collapsed="false">
      <c r="A71" s="0" t="n">
        <f aca="false">CurrentPositions!A66</f>
        <v>0</v>
      </c>
      <c r="B71" s="0" t="n">
        <f aca="false">CurrentPositions!B66</f>
        <v>0</v>
      </c>
      <c r="C71" s="0" t="n">
        <f aca="false">CurrentPositions!C66</f>
        <v>0</v>
      </c>
      <c r="D71" s="0" t="n">
        <f aca="false">CurrentPositions!D66</f>
        <v>0</v>
      </c>
      <c r="E71" s="0" t="n">
        <f aca="false">CurrentPositions!E66</f>
        <v>0</v>
      </c>
      <c r="F71" s="0" t="n">
        <f aca="false">$B$4</f>
        <v>1.22</v>
      </c>
      <c r="G71" s="0" t="n">
        <f aca="false">IF(B71="BUY",(F71-E71)/Settings!$B$3,(E71-F71)/Settings!$B$3)</f>
        <v>-12200</v>
      </c>
      <c r="H71" s="0" t="n">
        <f aca="false">G71*D71*Settings!$B$4</f>
        <v>-0</v>
      </c>
      <c r="I71" s="0" t="n">
        <f aca="false">CurrentPositions!I66</f>
        <v>0</v>
      </c>
      <c r="J71" s="0" t="n">
        <f aca="false">CurrentPositions!J66</f>
        <v>0</v>
      </c>
    </row>
    <row r="72" customFormat="false" ht="13.8" hidden="false" customHeight="false" outlineLevel="0" collapsed="false">
      <c r="A72" s="0" t="n">
        <f aca="false">CurrentPositions!A67</f>
        <v>0</v>
      </c>
      <c r="B72" s="0" t="n">
        <f aca="false">CurrentPositions!B67</f>
        <v>0</v>
      </c>
      <c r="C72" s="0" t="n">
        <f aca="false">CurrentPositions!C67</f>
        <v>0</v>
      </c>
      <c r="D72" s="0" t="n">
        <f aca="false">CurrentPositions!D67</f>
        <v>0</v>
      </c>
      <c r="E72" s="0" t="n">
        <f aca="false">CurrentPositions!E67</f>
        <v>0</v>
      </c>
      <c r="F72" s="0" t="n">
        <f aca="false">$B$4</f>
        <v>1.22</v>
      </c>
      <c r="G72" s="0" t="n">
        <f aca="false">IF(B72="BUY",(F72-E72)/Settings!$B$3,(E72-F72)/Settings!$B$3)</f>
        <v>-12200</v>
      </c>
      <c r="H72" s="0" t="n">
        <f aca="false">G72*D72*Settings!$B$4</f>
        <v>-0</v>
      </c>
      <c r="I72" s="0" t="n">
        <f aca="false">CurrentPositions!I67</f>
        <v>0</v>
      </c>
      <c r="J72" s="0" t="n">
        <f aca="false">CurrentPositions!J67</f>
        <v>0</v>
      </c>
    </row>
    <row r="73" customFormat="false" ht="13.8" hidden="false" customHeight="false" outlineLevel="0" collapsed="false">
      <c r="A73" s="0" t="n">
        <f aca="false">CurrentPositions!A68</f>
        <v>0</v>
      </c>
      <c r="B73" s="0" t="n">
        <f aca="false">CurrentPositions!B68</f>
        <v>0</v>
      </c>
      <c r="C73" s="0" t="n">
        <f aca="false">CurrentPositions!C68</f>
        <v>0</v>
      </c>
      <c r="D73" s="0" t="n">
        <f aca="false">CurrentPositions!D68</f>
        <v>0</v>
      </c>
      <c r="E73" s="0" t="n">
        <f aca="false">CurrentPositions!E68</f>
        <v>0</v>
      </c>
      <c r="F73" s="0" t="n">
        <f aca="false">$B$4</f>
        <v>1.22</v>
      </c>
      <c r="G73" s="0" t="n">
        <f aca="false">IF(B73="BUY",(F73-E73)/Settings!$B$3,(E73-F73)/Settings!$B$3)</f>
        <v>-12200</v>
      </c>
      <c r="H73" s="0" t="n">
        <f aca="false">G73*D73*Settings!$B$4</f>
        <v>-0</v>
      </c>
      <c r="I73" s="0" t="n">
        <f aca="false">CurrentPositions!I68</f>
        <v>0</v>
      </c>
      <c r="J73" s="0" t="n">
        <f aca="false">CurrentPositions!J68</f>
        <v>0</v>
      </c>
    </row>
    <row r="74" customFormat="false" ht="13.8" hidden="false" customHeight="false" outlineLevel="0" collapsed="false">
      <c r="A74" s="0" t="n">
        <f aca="false">CurrentPositions!A69</f>
        <v>0</v>
      </c>
      <c r="B74" s="0" t="n">
        <f aca="false">CurrentPositions!B69</f>
        <v>0</v>
      </c>
      <c r="C74" s="0" t="n">
        <f aca="false">CurrentPositions!C69</f>
        <v>0</v>
      </c>
      <c r="D74" s="0" t="n">
        <f aca="false">CurrentPositions!D69</f>
        <v>0</v>
      </c>
      <c r="E74" s="0" t="n">
        <f aca="false">CurrentPositions!E69</f>
        <v>0</v>
      </c>
      <c r="F74" s="0" t="n">
        <f aca="false">$B$4</f>
        <v>1.22</v>
      </c>
      <c r="G74" s="0" t="n">
        <f aca="false">IF(B74="BUY",(F74-E74)/Settings!$B$3,(E74-F74)/Settings!$B$3)</f>
        <v>-12200</v>
      </c>
      <c r="H74" s="0" t="n">
        <f aca="false">G74*D74*Settings!$B$4</f>
        <v>-0</v>
      </c>
      <c r="I74" s="0" t="n">
        <f aca="false">CurrentPositions!I69</f>
        <v>0</v>
      </c>
      <c r="J74" s="0" t="n">
        <f aca="false">CurrentPositions!J69</f>
        <v>0</v>
      </c>
    </row>
    <row r="75" customFormat="false" ht="13.8" hidden="false" customHeight="false" outlineLevel="0" collapsed="false">
      <c r="A75" s="0" t="n">
        <f aca="false">CurrentPositions!A70</f>
        <v>0</v>
      </c>
      <c r="B75" s="0" t="n">
        <f aca="false">CurrentPositions!B70</f>
        <v>0</v>
      </c>
      <c r="C75" s="0" t="n">
        <f aca="false">CurrentPositions!C70</f>
        <v>0</v>
      </c>
      <c r="D75" s="0" t="n">
        <f aca="false">CurrentPositions!D70</f>
        <v>0</v>
      </c>
      <c r="E75" s="0" t="n">
        <f aca="false">CurrentPositions!E70</f>
        <v>0</v>
      </c>
      <c r="F75" s="0" t="n">
        <f aca="false">$B$4</f>
        <v>1.22</v>
      </c>
      <c r="G75" s="0" t="n">
        <f aca="false">IF(B75="BUY",(F75-E75)/Settings!$B$3,(E75-F75)/Settings!$B$3)</f>
        <v>-12200</v>
      </c>
      <c r="H75" s="0" t="n">
        <f aca="false">G75*D75*Settings!$B$4</f>
        <v>-0</v>
      </c>
      <c r="I75" s="0" t="n">
        <f aca="false">CurrentPositions!I70</f>
        <v>0</v>
      </c>
      <c r="J75" s="0" t="n">
        <f aca="false">CurrentPositions!J70</f>
        <v>0</v>
      </c>
    </row>
    <row r="76" customFormat="false" ht="13.8" hidden="false" customHeight="false" outlineLevel="0" collapsed="false">
      <c r="A76" s="0" t="n">
        <f aca="false">CurrentPositions!A71</f>
        <v>0</v>
      </c>
      <c r="B76" s="0" t="n">
        <f aca="false">CurrentPositions!B71</f>
        <v>0</v>
      </c>
      <c r="C76" s="0" t="n">
        <f aca="false">CurrentPositions!C71</f>
        <v>0</v>
      </c>
      <c r="D76" s="0" t="n">
        <f aca="false">CurrentPositions!D71</f>
        <v>0</v>
      </c>
      <c r="E76" s="0" t="n">
        <f aca="false">CurrentPositions!E71</f>
        <v>0</v>
      </c>
      <c r="F76" s="0" t="n">
        <f aca="false">$B$4</f>
        <v>1.22</v>
      </c>
      <c r="G76" s="0" t="n">
        <f aca="false">IF(B76="BUY",(F76-E76)/Settings!$B$3,(E76-F76)/Settings!$B$3)</f>
        <v>-12200</v>
      </c>
      <c r="H76" s="0" t="n">
        <f aca="false">G76*D76*Settings!$B$4</f>
        <v>-0</v>
      </c>
      <c r="I76" s="0" t="n">
        <f aca="false">CurrentPositions!I71</f>
        <v>0</v>
      </c>
      <c r="J76" s="0" t="n">
        <f aca="false">CurrentPositions!J71</f>
        <v>0</v>
      </c>
    </row>
    <row r="77" customFormat="false" ht="13.8" hidden="false" customHeight="false" outlineLevel="0" collapsed="false">
      <c r="A77" s="0" t="n">
        <f aca="false">CurrentPositions!A72</f>
        <v>0</v>
      </c>
      <c r="B77" s="0" t="n">
        <f aca="false">CurrentPositions!B72</f>
        <v>0</v>
      </c>
      <c r="C77" s="0" t="n">
        <f aca="false">CurrentPositions!C72</f>
        <v>0</v>
      </c>
      <c r="D77" s="0" t="n">
        <f aca="false">CurrentPositions!D72</f>
        <v>0</v>
      </c>
      <c r="E77" s="0" t="n">
        <f aca="false">CurrentPositions!E72</f>
        <v>0</v>
      </c>
      <c r="F77" s="0" t="n">
        <f aca="false">$B$4</f>
        <v>1.22</v>
      </c>
      <c r="G77" s="0" t="n">
        <f aca="false">IF(B77="BUY",(F77-E77)/Settings!$B$3,(E77-F77)/Settings!$B$3)</f>
        <v>-12200</v>
      </c>
      <c r="H77" s="0" t="n">
        <f aca="false">G77*D77*Settings!$B$4</f>
        <v>-0</v>
      </c>
      <c r="I77" s="0" t="n">
        <f aca="false">CurrentPositions!I72</f>
        <v>0</v>
      </c>
      <c r="J77" s="0" t="n">
        <f aca="false">CurrentPositions!J72</f>
        <v>0</v>
      </c>
    </row>
    <row r="78" customFormat="false" ht="13.8" hidden="false" customHeight="false" outlineLevel="0" collapsed="false">
      <c r="A78" s="0" t="n">
        <f aca="false">CurrentPositions!A73</f>
        <v>0</v>
      </c>
      <c r="B78" s="0" t="n">
        <f aca="false">CurrentPositions!B73</f>
        <v>0</v>
      </c>
      <c r="C78" s="0" t="n">
        <f aca="false">CurrentPositions!C73</f>
        <v>0</v>
      </c>
      <c r="D78" s="0" t="n">
        <f aca="false">CurrentPositions!D73</f>
        <v>0</v>
      </c>
      <c r="E78" s="0" t="n">
        <f aca="false">CurrentPositions!E73</f>
        <v>0</v>
      </c>
      <c r="F78" s="0" t="n">
        <f aca="false">$B$4</f>
        <v>1.22</v>
      </c>
      <c r="G78" s="0" t="n">
        <f aca="false">IF(B78="BUY",(F78-E78)/Settings!$B$3,(E78-F78)/Settings!$B$3)</f>
        <v>-12200</v>
      </c>
      <c r="H78" s="0" t="n">
        <f aca="false">G78*D78*Settings!$B$4</f>
        <v>-0</v>
      </c>
      <c r="I78" s="0" t="n">
        <f aca="false">CurrentPositions!I73</f>
        <v>0</v>
      </c>
      <c r="J78" s="0" t="n">
        <f aca="false">CurrentPositions!J73</f>
        <v>0</v>
      </c>
    </row>
    <row r="79" customFormat="false" ht="13.8" hidden="false" customHeight="false" outlineLevel="0" collapsed="false">
      <c r="A79" s="0" t="n">
        <f aca="false">CurrentPositions!A74</f>
        <v>0</v>
      </c>
      <c r="B79" s="0" t="n">
        <f aca="false">CurrentPositions!B74</f>
        <v>0</v>
      </c>
      <c r="C79" s="0" t="n">
        <f aca="false">CurrentPositions!C74</f>
        <v>0</v>
      </c>
      <c r="D79" s="0" t="n">
        <f aca="false">CurrentPositions!D74</f>
        <v>0</v>
      </c>
      <c r="E79" s="0" t="n">
        <f aca="false">CurrentPositions!E74</f>
        <v>0</v>
      </c>
      <c r="F79" s="0" t="n">
        <f aca="false">$B$4</f>
        <v>1.22</v>
      </c>
      <c r="G79" s="0" t="n">
        <f aca="false">IF(B79="BUY",(F79-E79)/Settings!$B$3,(E79-F79)/Settings!$B$3)</f>
        <v>-12200</v>
      </c>
      <c r="H79" s="0" t="n">
        <f aca="false">G79*D79*Settings!$B$4</f>
        <v>-0</v>
      </c>
      <c r="I79" s="0" t="n">
        <f aca="false">CurrentPositions!I74</f>
        <v>0</v>
      </c>
      <c r="J79" s="0" t="n">
        <f aca="false">CurrentPositions!J74</f>
        <v>0</v>
      </c>
    </row>
    <row r="80" customFormat="false" ht="13.8" hidden="false" customHeight="false" outlineLevel="0" collapsed="false">
      <c r="A80" s="0" t="n">
        <f aca="false">CurrentPositions!A75</f>
        <v>0</v>
      </c>
      <c r="B80" s="0" t="n">
        <f aca="false">CurrentPositions!B75</f>
        <v>0</v>
      </c>
      <c r="C80" s="0" t="n">
        <f aca="false">CurrentPositions!C75</f>
        <v>0</v>
      </c>
      <c r="D80" s="0" t="n">
        <f aca="false">CurrentPositions!D75</f>
        <v>0</v>
      </c>
      <c r="E80" s="0" t="n">
        <f aca="false">CurrentPositions!E75</f>
        <v>0</v>
      </c>
      <c r="F80" s="0" t="n">
        <f aca="false">$B$4</f>
        <v>1.22</v>
      </c>
      <c r="G80" s="0" t="n">
        <f aca="false">IF(B80="BUY",(F80-E80)/Settings!$B$3,(E80-F80)/Settings!$B$3)</f>
        <v>-12200</v>
      </c>
      <c r="H80" s="0" t="n">
        <f aca="false">G80*D80*Settings!$B$4</f>
        <v>-0</v>
      </c>
      <c r="I80" s="0" t="n">
        <f aca="false">CurrentPositions!I75</f>
        <v>0</v>
      </c>
      <c r="J80" s="0" t="n">
        <f aca="false">CurrentPositions!J75</f>
        <v>0</v>
      </c>
    </row>
    <row r="81" customFormat="false" ht="13.8" hidden="false" customHeight="false" outlineLevel="0" collapsed="false">
      <c r="A81" s="0" t="n">
        <f aca="false">CurrentPositions!A76</f>
        <v>0</v>
      </c>
      <c r="B81" s="0" t="n">
        <f aca="false">CurrentPositions!B76</f>
        <v>0</v>
      </c>
      <c r="C81" s="0" t="n">
        <f aca="false">CurrentPositions!C76</f>
        <v>0</v>
      </c>
      <c r="D81" s="0" t="n">
        <f aca="false">CurrentPositions!D76</f>
        <v>0</v>
      </c>
      <c r="E81" s="0" t="n">
        <f aca="false">CurrentPositions!E76</f>
        <v>0</v>
      </c>
      <c r="F81" s="0" t="n">
        <f aca="false">$B$4</f>
        <v>1.22</v>
      </c>
      <c r="G81" s="0" t="n">
        <f aca="false">IF(B81="BUY",(F81-E81)/Settings!$B$3,(E81-F81)/Settings!$B$3)</f>
        <v>-12200</v>
      </c>
      <c r="H81" s="0" t="n">
        <f aca="false">G81*D81*Settings!$B$4</f>
        <v>-0</v>
      </c>
      <c r="I81" s="0" t="n">
        <f aca="false">CurrentPositions!I76</f>
        <v>0</v>
      </c>
      <c r="J81" s="0" t="n">
        <f aca="false">CurrentPositions!J76</f>
        <v>0</v>
      </c>
    </row>
    <row r="82" customFormat="false" ht="13.8" hidden="false" customHeight="false" outlineLevel="0" collapsed="false">
      <c r="A82" s="0" t="n">
        <f aca="false">CurrentPositions!A77</f>
        <v>0</v>
      </c>
      <c r="B82" s="0" t="n">
        <f aca="false">CurrentPositions!B77</f>
        <v>0</v>
      </c>
      <c r="C82" s="0" t="n">
        <f aca="false">CurrentPositions!C77</f>
        <v>0</v>
      </c>
      <c r="D82" s="0" t="n">
        <f aca="false">CurrentPositions!D77</f>
        <v>0</v>
      </c>
      <c r="E82" s="0" t="n">
        <f aca="false">CurrentPositions!E77</f>
        <v>0</v>
      </c>
      <c r="F82" s="0" t="n">
        <f aca="false">$B$4</f>
        <v>1.22</v>
      </c>
      <c r="G82" s="0" t="n">
        <f aca="false">IF(B82="BUY",(F82-E82)/Settings!$B$3,(E82-F82)/Settings!$B$3)</f>
        <v>-12200</v>
      </c>
      <c r="H82" s="0" t="n">
        <f aca="false">G82*D82*Settings!$B$4</f>
        <v>-0</v>
      </c>
      <c r="I82" s="0" t="n">
        <f aca="false">CurrentPositions!I77</f>
        <v>0</v>
      </c>
      <c r="J82" s="0" t="n">
        <f aca="false">CurrentPositions!J77</f>
        <v>0</v>
      </c>
    </row>
    <row r="83" customFormat="false" ht="13.8" hidden="false" customHeight="false" outlineLevel="0" collapsed="false">
      <c r="A83" s="0" t="n">
        <f aca="false">CurrentPositions!A78</f>
        <v>0</v>
      </c>
      <c r="B83" s="0" t="n">
        <f aca="false">CurrentPositions!B78</f>
        <v>0</v>
      </c>
      <c r="C83" s="0" t="n">
        <f aca="false">CurrentPositions!C78</f>
        <v>0</v>
      </c>
      <c r="D83" s="0" t="n">
        <f aca="false">CurrentPositions!D78</f>
        <v>0</v>
      </c>
      <c r="E83" s="0" t="n">
        <f aca="false">CurrentPositions!E78</f>
        <v>0</v>
      </c>
      <c r="F83" s="0" t="n">
        <f aca="false">$B$4</f>
        <v>1.22</v>
      </c>
      <c r="G83" s="0" t="n">
        <f aca="false">IF(B83="BUY",(F83-E83)/Settings!$B$3,(E83-F83)/Settings!$B$3)</f>
        <v>-12200</v>
      </c>
      <c r="H83" s="0" t="n">
        <f aca="false">G83*D83*Settings!$B$4</f>
        <v>-0</v>
      </c>
      <c r="I83" s="0" t="n">
        <f aca="false">CurrentPositions!I78</f>
        <v>0</v>
      </c>
      <c r="J83" s="0" t="n">
        <f aca="false">CurrentPositions!J78</f>
        <v>0</v>
      </c>
    </row>
    <row r="84" customFormat="false" ht="13.8" hidden="false" customHeight="false" outlineLevel="0" collapsed="false">
      <c r="A84" s="0" t="n">
        <f aca="false">CurrentPositions!A79</f>
        <v>0</v>
      </c>
      <c r="B84" s="0" t="n">
        <f aca="false">CurrentPositions!B79</f>
        <v>0</v>
      </c>
      <c r="C84" s="0" t="n">
        <f aca="false">CurrentPositions!C79</f>
        <v>0</v>
      </c>
      <c r="D84" s="0" t="n">
        <f aca="false">CurrentPositions!D79</f>
        <v>0</v>
      </c>
      <c r="E84" s="0" t="n">
        <f aca="false">CurrentPositions!E79</f>
        <v>0</v>
      </c>
      <c r="F84" s="0" t="n">
        <f aca="false">$B$4</f>
        <v>1.22</v>
      </c>
      <c r="G84" s="0" t="n">
        <f aca="false">IF(B84="BUY",(F84-E84)/Settings!$B$3,(E84-F84)/Settings!$B$3)</f>
        <v>-12200</v>
      </c>
      <c r="H84" s="0" t="n">
        <f aca="false">G84*D84*Settings!$B$4</f>
        <v>-0</v>
      </c>
      <c r="I84" s="0" t="n">
        <f aca="false">CurrentPositions!I79</f>
        <v>0</v>
      </c>
      <c r="J84" s="0" t="n">
        <f aca="false">CurrentPositions!J79</f>
        <v>0</v>
      </c>
    </row>
    <row r="85" customFormat="false" ht="13.8" hidden="false" customHeight="false" outlineLevel="0" collapsed="false">
      <c r="A85" s="0" t="n">
        <f aca="false">CurrentPositions!A80</f>
        <v>0</v>
      </c>
      <c r="B85" s="0" t="n">
        <f aca="false">CurrentPositions!B80</f>
        <v>0</v>
      </c>
      <c r="C85" s="0" t="n">
        <f aca="false">CurrentPositions!C80</f>
        <v>0</v>
      </c>
      <c r="D85" s="0" t="n">
        <f aca="false">CurrentPositions!D80</f>
        <v>0</v>
      </c>
      <c r="E85" s="0" t="n">
        <f aca="false">CurrentPositions!E80</f>
        <v>0</v>
      </c>
      <c r="F85" s="0" t="n">
        <f aca="false">$B$4</f>
        <v>1.22</v>
      </c>
      <c r="G85" s="0" t="n">
        <f aca="false">IF(B85="BUY",(F85-E85)/Settings!$B$3,(E85-F85)/Settings!$B$3)</f>
        <v>-12200</v>
      </c>
      <c r="H85" s="0" t="n">
        <f aca="false">G85*D85*Settings!$B$4</f>
        <v>-0</v>
      </c>
      <c r="I85" s="0" t="n">
        <f aca="false">CurrentPositions!I80</f>
        <v>0</v>
      </c>
      <c r="J85" s="0" t="n">
        <f aca="false">CurrentPositions!J80</f>
        <v>0</v>
      </c>
    </row>
    <row r="86" customFormat="false" ht="13.8" hidden="false" customHeight="false" outlineLevel="0" collapsed="false">
      <c r="A86" s="0" t="n">
        <f aca="false">CurrentPositions!A81</f>
        <v>0</v>
      </c>
      <c r="B86" s="0" t="n">
        <f aca="false">CurrentPositions!B81</f>
        <v>0</v>
      </c>
      <c r="C86" s="0" t="n">
        <f aca="false">CurrentPositions!C81</f>
        <v>0</v>
      </c>
      <c r="D86" s="0" t="n">
        <f aca="false">CurrentPositions!D81</f>
        <v>0</v>
      </c>
      <c r="E86" s="0" t="n">
        <f aca="false">CurrentPositions!E81</f>
        <v>0</v>
      </c>
      <c r="F86" s="0" t="n">
        <f aca="false">$B$4</f>
        <v>1.22</v>
      </c>
      <c r="G86" s="0" t="n">
        <f aca="false">IF(B86="BUY",(F86-E86)/Settings!$B$3,(E86-F86)/Settings!$B$3)</f>
        <v>-12200</v>
      </c>
      <c r="H86" s="0" t="n">
        <f aca="false">G86*D86*Settings!$B$4</f>
        <v>-0</v>
      </c>
      <c r="I86" s="0" t="n">
        <f aca="false">CurrentPositions!I81</f>
        <v>0</v>
      </c>
      <c r="J86" s="0" t="n">
        <f aca="false">CurrentPositions!J81</f>
        <v>0</v>
      </c>
    </row>
    <row r="87" customFormat="false" ht="13.8" hidden="false" customHeight="false" outlineLevel="0" collapsed="false">
      <c r="A87" s="0" t="n">
        <f aca="false">CurrentPositions!A82</f>
        <v>0</v>
      </c>
      <c r="B87" s="0" t="n">
        <f aca="false">CurrentPositions!B82</f>
        <v>0</v>
      </c>
      <c r="C87" s="0" t="n">
        <f aca="false">CurrentPositions!C82</f>
        <v>0</v>
      </c>
      <c r="D87" s="0" t="n">
        <f aca="false">CurrentPositions!D82</f>
        <v>0</v>
      </c>
      <c r="E87" s="0" t="n">
        <f aca="false">CurrentPositions!E82</f>
        <v>0</v>
      </c>
      <c r="F87" s="0" t="n">
        <f aca="false">$B$4</f>
        <v>1.22</v>
      </c>
      <c r="G87" s="0" t="n">
        <f aca="false">IF(B87="BUY",(F87-E87)/Settings!$B$3,(E87-F87)/Settings!$B$3)</f>
        <v>-12200</v>
      </c>
      <c r="H87" s="0" t="n">
        <f aca="false">G87*D87*Settings!$B$4</f>
        <v>-0</v>
      </c>
      <c r="I87" s="0" t="n">
        <f aca="false">CurrentPositions!I82</f>
        <v>0</v>
      </c>
      <c r="J87" s="0" t="n">
        <f aca="false">CurrentPositions!J82</f>
        <v>0</v>
      </c>
    </row>
    <row r="88" customFormat="false" ht="13.8" hidden="false" customHeight="false" outlineLevel="0" collapsed="false">
      <c r="A88" s="0" t="n">
        <f aca="false">CurrentPositions!A83</f>
        <v>0</v>
      </c>
      <c r="B88" s="0" t="n">
        <f aca="false">CurrentPositions!B83</f>
        <v>0</v>
      </c>
      <c r="C88" s="0" t="n">
        <f aca="false">CurrentPositions!C83</f>
        <v>0</v>
      </c>
      <c r="D88" s="0" t="n">
        <f aca="false">CurrentPositions!D83</f>
        <v>0</v>
      </c>
      <c r="E88" s="0" t="n">
        <f aca="false">CurrentPositions!E83</f>
        <v>0</v>
      </c>
      <c r="F88" s="0" t="n">
        <f aca="false">$B$4</f>
        <v>1.22</v>
      </c>
      <c r="G88" s="0" t="n">
        <f aca="false">IF(B88="BUY",(F88-E88)/Settings!$B$3,(E88-F88)/Settings!$B$3)</f>
        <v>-12200</v>
      </c>
      <c r="H88" s="0" t="n">
        <f aca="false">G88*D88*Settings!$B$4</f>
        <v>-0</v>
      </c>
      <c r="I88" s="0" t="n">
        <f aca="false">CurrentPositions!I83</f>
        <v>0</v>
      </c>
      <c r="J88" s="0" t="n">
        <f aca="false">CurrentPositions!J83</f>
        <v>0</v>
      </c>
    </row>
    <row r="89" customFormat="false" ht="13.8" hidden="false" customHeight="false" outlineLevel="0" collapsed="false">
      <c r="A89" s="0" t="n">
        <f aca="false">CurrentPositions!A84</f>
        <v>0</v>
      </c>
      <c r="B89" s="0" t="n">
        <f aca="false">CurrentPositions!B84</f>
        <v>0</v>
      </c>
      <c r="C89" s="0" t="n">
        <f aca="false">CurrentPositions!C84</f>
        <v>0</v>
      </c>
      <c r="D89" s="0" t="n">
        <f aca="false">CurrentPositions!D84</f>
        <v>0</v>
      </c>
      <c r="E89" s="0" t="n">
        <f aca="false">CurrentPositions!E84</f>
        <v>0</v>
      </c>
      <c r="F89" s="0" t="n">
        <f aca="false">$B$4</f>
        <v>1.22</v>
      </c>
      <c r="G89" s="0" t="n">
        <f aca="false">IF(B89="BUY",(F89-E89)/Settings!$B$3,(E89-F89)/Settings!$B$3)</f>
        <v>-12200</v>
      </c>
      <c r="H89" s="0" t="n">
        <f aca="false">G89*D89*Settings!$B$4</f>
        <v>-0</v>
      </c>
      <c r="I89" s="0" t="n">
        <f aca="false">CurrentPositions!I84</f>
        <v>0</v>
      </c>
      <c r="J89" s="0" t="n">
        <f aca="false">CurrentPositions!J84</f>
        <v>0</v>
      </c>
    </row>
    <row r="90" customFormat="false" ht="13.8" hidden="false" customHeight="false" outlineLevel="0" collapsed="false">
      <c r="A90" s="0" t="n">
        <f aca="false">CurrentPositions!A85</f>
        <v>0</v>
      </c>
      <c r="B90" s="0" t="n">
        <f aca="false">CurrentPositions!B85</f>
        <v>0</v>
      </c>
      <c r="C90" s="0" t="n">
        <f aca="false">CurrentPositions!C85</f>
        <v>0</v>
      </c>
      <c r="D90" s="0" t="n">
        <f aca="false">CurrentPositions!D85</f>
        <v>0</v>
      </c>
      <c r="E90" s="0" t="n">
        <f aca="false">CurrentPositions!E85</f>
        <v>0</v>
      </c>
      <c r="F90" s="0" t="n">
        <f aca="false">$B$4</f>
        <v>1.22</v>
      </c>
      <c r="G90" s="0" t="n">
        <f aca="false">IF(B90="BUY",(F90-E90)/Settings!$B$3,(E90-F90)/Settings!$B$3)</f>
        <v>-12200</v>
      </c>
      <c r="H90" s="0" t="n">
        <f aca="false">G90*D90*Settings!$B$4</f>
        <v>-0</v>
      </c>
      <c r="I90" s="0" t="n">
        <f aca="false">CurrentPositions!I85</f>
        <v>0</v>
      </c>
      <c r="J90" s="0" t="n">
        <f aca="false">CurrentPositions!J85</f>
        <v>0</v>
      </c>
    </row>
    <row r="91" customFormat="false" ht="13.8" hidden="false" customHeight="false" outlineLevel="0" collapsed="false">
      <c r="A91" s="0" t="n">
        <f aca="false">CurrentPositions!A86</f>
        <v>0</v>
      </c>
      <c r="B91" s="0" t="n">
        <f aca="false">CurrentPositions!B86</f>
        <v>0</v>
      </c>
      <c r="C91" s="0" t="n">
        <f aca="false">CurrentPositions!C86</f>
        <v>0</v>
      </c>
      <c r="D91" s="0" t="n">
        <f aca="false">CurrentPositions!D86</f>
        <v>0</v>
      </c>
      <c r="E91" s="0" t="n">
        <f aca="false">CurrentPositions!E86</f>
        <v>0</v>
      </c>
      <c r="F91" s="0" t="n">
        <f aca="false">$B$4</f>
        <v>1.22</v>
      </c>
      <c r="G91" s="0" t="n">
        <f aca="false">IF(B91="BUY",(F91-E91)/Settings!$B$3,(E91-F91)/Settings!$B$3)</f>
        <v>-12200</v>
      </c>
      <c r="H91" s="0" t="n">
        <f aca="false">G91*D91*Settings!$B$4</f>
        <v>-0</v>
      </c>
      <c r="I91" s="0" t="n">
        <f aca="false">CurrentPositions!I86</f>
        <v>0</v>
      </c>
      <c r="J91" s="0" t="n">
        <f aca="false">CurrentPositions!J86</f>
        <v>0</v>
      </c>
    </row>
    <row r="92" customFormat="false" ht="13.8" hidden="false" customHeight="false" outlineLevel="0" collapsed="false">
      <c r="A92" s="0" t="n">
        <f aca="false">CurrentPositions!A87</f>
        <v>0</v>
      </c>
      <c r="B92" s="0" t="n">
        <f aca="false">CurrentPositions!B87</f>
        <v>0</v>
      </c>
      <c r="C92" s="0" t="n">
        <f aca="false">CurrentPositions!C87</f>
        <v>0</v>
      </c>
      <c r="D92" s="0" t="n">
        <f aca="false">CurrentPositions!D87</f>
        <v>0</v>
      </c>
      <c r="E92" s="0" t="n">
        <f aca="false">CurrentPositions!E87</f>
        <v>0</v>
      </c>
      <c r="F92" s="0" t="n">
        <f aca="false">$B$4</f>
        <v>1.22</v>
      </c>
      <c r="G92" s="0" t="n">
        <f aca="false">IF(B92="BUY",(F92-E92)/Settings!$B$3,(E92-F92)/Settings!$B$3)</f>
        <v>-12200</v>
      </c>
      <c r="H92" s="0" t="n">
        <f aca="false">G92*D92*Settings!$B$4</f>
        <v>-0</v>
      </c>
      <c r="I92" s="0" t="n">
        <f aca="false">CurrentPositions!I87</f>
        <v>0</v>
      </c>
      <c r="J92" s="0" t="n">
        <f aca="false">CurrentPositions!J87</f>
        <v>0</v>
      </c>
    </row>
    <row r="93" customFormat="false" ht="13.8" hidden="false" customHeight="false" outlineLevel="0" collapsed="false">
      <c r="A93" s="0" t="n">
        <f aca="false">CurrentPositions!A88</f>
        <v>0</v>
      </c>
      <c r="B93" s="0" t="n">
        <f aca="false">CurrentPositions!B88</f>
        <v>0</v>
      </c>
      <c r="C93" s="0" t="n">
        <f aca="false">CurrentPositions!C88</f>
        <v>0</v>
      </c>
      <c r="D93" s="0" t="n">
        <f aca="false">CurrentPositions!D88</f>
        <v>0</v>
      </c>
      <c r="E93" s="0" t="n">
        <f aca="false">CurrentPositions!E88</f>
        <v>0</v>
      </c>
      <c r="F93" s="0" t="n">
        <f aca="false">$B$4</f>
        <v>1.22</v>
      </c>
      <c r="G93" s="0" t="n">
        <f aca="false">IF(B93="BUY",(F93-E93)/Settings!$B$3,(E93-F93)/Settings!$B$3)</f>
        <v>-12200</v>
      </c>
      <c r="H93" s="0" t="n">
        <f aca="false">G93*D93*Settings!$B$4</f>
        <v>-0</v>
      </c>
      <c r="I93" s="0" t="n">
        <f aca="false">CurrentPositions!I88</f>
        <v>0</v>
      </c>
      <c r="J93" s="0" t="n">
        <f aca="false">CurrentPositions!J88</f>
        <v>0</v>
      </c>
    </row>
    <row r="94" customFormat="false" ht="13.8" hidden="false" customHeight="false" outlineLevel="0" collapsed="false">
      <c r="A94" s="0" t="n">
        <f aca="false">CurrentPositions!A89</f>
        <v>0</v>
      </c>
      <c r="B94" s="0" t="n">
        <f aca="false">CurrentPositions!B89</f>
        <v>0</v>
      </c>
      <c r="C94" s="0" t="n">
        <f aca="false">CurrentPositions!C89</f>
        <v>0</v>
      </c>
      <c r="D94" s="0" t="n">
        <f aca="false">CurrentPositions!D89</f>
        <v>0</v>
      </c>
      <c r="E94" s="0" t="n">
        <f aca="false">CurrentPositions!E89</f>
        <v>0</v>
      </c>
      <c r="F94" s="0" t="n">
        <f aca="false">$B$4</f>
        <v>1.22</v>
      </c>
      <c r="G94" s="0" t="n">
        <f aca="false">IF(B94="BUY",(F94-E94)/Settings!$B$3,(E94-F94)/Settings!$B$3)</f>
        <v>-12200</v>
      </c>
      <c r="H94" s="0" t="n">
        <f aca="false">G94*D94*Settings!$B$4</f>
        <v>-0</v>
      </c>
      <c r="I94" s="0" t="n">
        <f aca="false">CurrentPositions!I89</f>
        <v>0</v>
      </c>
      <c r="J94" s="0" t="n">
        <f aca="false">CurrentPositions!J89</f>
        <v>0</v>
      </c>
    </row>
    <row r="95" customFormat="false" ht="13.8" hidden="false" customHeight="false" outlineLevel="0" collapsed="false">
      <c r="A95" s="0" t="n">
        <f aca="false">CurrentPositions!A90</f>
        <v>0</v>
      </c>
      <c r="B95" s="0" t="n">
        <f aca="false">CurrentPositions!B90</f>
        <v>0</v>
      </c>
      <c r="C95" s="0" t="n">
        <f aca="false">CurrentPositions!C90</f>
        <v>0</v>
      </c>
      <c r="D95" s="0" t="n">
        <f aca="false">CurrentPositions!D90</f>
        <v>0</v>
      </c>
      <c r="E95" s="0" t="n">
        <f aca="false">CurrentPositions!E90</f>
        <v>0</v>
      </c>
      <c r="F95" s="0" t="n">
        <f aca="false">$B$4</f>
        <v>1.22</v>
      </c>
      <c r="G95" s="0" t="n">
        <f aca="false">IF(B95="BUY",(F95-E95)/Settings!$B$3,(E95-F95)/Settings!$B$3)</f>
        <v>-12200</v>
      </c>
      <c r="H95" s="0" t="n">
        <f aca="false">G95*D95*Settings!$B$4</f>
        <v>-0</v>
      </c>
      <c r="I95" s="0" t="n">
        <f aca="false">CurrentPositions!I90</f>
        <v>0</v>
      </c>
      <c r="J95" s="0" t="n">
        <f aca="false">CurrentPositions!J90</f>
        <v>0</v>
      </c>
    </row>
    <row r="96" customFormat="false" ht="13.8" hidden="false" customHeight="false" outlineLevel="0" collapsed="false">
      <c r="A96" s="0" t="n">
        <f aca="false">CurrentPositions!A91</f>
        <v>0</v>
      </c>
      <c r="B96" s="0" t="n">
        <f aca="false">CurrentPositions!B91</f>
        <v>0</v>
      </c>
      <c r="C96" s="0" t="n">
        <f aca="false">CurrentPositions!C91</f>
        <v>0</v>
      </c>
      <c r="D96" s="0" t="n">
        <f aca="false">CurrentPositions!D91</f>
        <v>0</v>
      </c>
      <c r="E96" s="0" t="n">
        <f aca="false">CurrentPositions!E91</f>
        <v>0</v>
      </c>
      <c r="F96" s="0" t="n">
        <f aca="false">$B$4</f>
        <v>1.22</v>
      </c>
      <c r="G96" s="0" t="n">
        <f aca="false">IF(B96="BUY",(F96-E96)/Settings!$B$3,(E96-F96)/Settings!$B$3)</f>
        <v>-12200</v>
      </c>
      <c r="H96" s="0" t="n">
        <f aca="false">G96*D96*Settings!$B$4</f>
        <v>-0</v>
      </c>
      <c r="I96" s="0" t="n">
        <f aca="false">CurrentPositions!I91</f>
        <v>0</v>
      </c>
      <c r="J96" s="0" t="n">
        <f aca="false">CurrentPositions!J91</f>
        <v>0</v>
      </c>
    </row>
    <row r="97" customFormat="false" ht="13.8" hidden="false" customHeight="false" outlineLevel="0" collapsed="false">
      <c r="A97" s="0" t="n">
        <f aca="false">CurrentPositions!A92</f>
        <v>0</v>
      </c>
      <c r="B97" s="0" t="n">
        <f aca="false">CurrentPositions!B92</f>
        <v>0</v>
      </c>
      <c r="C97" s="0" t="n">
        <f aca="false">CurrentPositions!C92</f>
        <v>0</v>
      </c>
      <c r="D97" s="0" t="n">
        <f aca="false">CurrentPositions!D92</f>
        <v>0</v>
      </c>
      <c r="E97" s="0" t="n">
        <f aca="false">CurrentPositions!E92</f>
        <v>0</v>
      </c>
      <c r="F97" s="0" t="n">
        <f aca="false">$B$4</f>
        <v>1.22</v>
      </c>
      <c r="G97" s="0" t="n">
        <f aca="false">IF(B97="BUY",(F97-E97)/Settings!$B$3,(E97-F97)/Settings!$B$3)</f>
        <v>-12200</v>
      </c>
      <c r="H97" s="0" t="n">
        <f aca="false">G97*D97*Settings!$B$4</f>
        <v>-0</v>
      </c>
      <c r="I97" s="0" t="n">
        <f aca="false">CurrentPositions!I92</f>
        <v>0</v>
      </c>
      <c r="J97" s="0" t="n">
        <f aca="false">CurrentPositions!J92</f>
        <v>0</v>
      </c>
    </row>
    <row r="98" customFormat="false" ht="13.8" hidden="false" customHeight="false" outlineLevel="0" collapsed="false">
      <c r="A98" s="0" t="n">
        <f aca="false">CurrentPositions!A93</f>
        <v>0</v>
      </c>
      <c r="B98" s="0" t="n">
        <f aca="false">CurrentPositions!B93</f>
        <v>0</v>
      </c>
      <c r="C98" s="0" t="n">
        <f aca="false">CurrentPositions!C93</f>
        <v>0</v>
      </c>
      <c r="D98" s="0" t="n">
        <f aca="false">CurrentPositions!D93</f>
        <v>0</v>
      </c>
      <c r="E98" s="0" t="n">
        <f aca="false">CurrentPositions!E93</f>
        <v>0</v>
      </c>
      <c r="F98" s="0" t="n">
        <f aca="false">$B$4</f>
        <v>1.22</v>
      </c>
      <c r="G98" s="0" t="n">
        <f aca="false">IF(B98="BUY",(F98-E98)/Settings!$B$3,(E98-F98)/Settings!$B$3)</f>
        <v>-12200</v>
      </c>
      <c r="H98" s="0" t="n">
        <f aca="false">G98*D98*Settings!$B$4</f>
        <v>-0</v>
      </c>
      <c r="I98" s="0" t="n">
        <f aca="false">CurrentPositions!I93</f>
        <v>0</v>
      </c>
      <c r="J98" s="0" t="n">
        <f aca="false">CurrentPositions!J93</f>
        <v>0</v>
      </c>
    </row>
    <row r="99" customFormat="false" ht="13.8" hidden="false" customHeight="false" outlineLevel="0" collapsed="false">
      <c r="A99" s="0" t="n">
        <f aca="false">CurrentPositions!A94</f>
        <v>0</v>
      </c>
      <c r="B99" s="0" t="n">
        <f aca="false">CurrentPositions!B94</f>
        <v>0</v>
      </c>
      <c r="C99" s="0" t="n">
        <f aca="false">CurrentPositions!C94</f>
        <v>0</v>
      </c>
      <c r="D99" s="0" t="n">
        <f aca="false">CurrentPositions!D94</f>
        <v>0</v>
      </c>
      <c r="E99" s="0" t="n">
        <f aca="false">CurrentPositions!E94</f>
        <v>0</v>
      </c>
      <c r="F99" s="0" t="n">
        <f aca="false">$B$4</f>
        <v>1.22</v>
      </c>
      <c r="G99" s="0" t="n">
        <f aca="false">IF(B99="BUY",(F99-E99)/Settings!$B$3,(E99-F99)/Settings!$B$3)</f>
        <v>-12200</v>
      </c>
      <c r="H99" s="0" t="n">
        <f aca="false">G99*D99*Settings!$B$4</f>
        <v>-0</v>
      </c>
      <c r="I99" s="0" t="n">
        <f aca="false">CurrentPositions!I94</f>
        <v>0</v>
      </c>
      <c r="J99" s="0" t="n">
        <f aca="false">CurrentPositions!J94</f>
        <v>0</v>
      </c>
    </row>
    <row r="100" customFormat="false" ht="13.8" hidden="false" customHeight="false" outlineLevel="0" collapsed="false">
      <c r="A100" s="0" t="n">
        <f aca="false">CurrentPositions!A95</f>
        <v>0</v>
      </c>
      <c r="B100" s="0" t="n">
        <f aca="false">CurrentPositions!B95</f>
        <v>0</v>
      </c>
      <c r="C100" s="0" t="n">
        <f aca="false">CurrentPositions!C95</f>
        <v>0</v>
      </c>
      <c r="D100" s="0" t="n">
        <f aca="false">CurrentPositions!D95</f>
        <v>0</v>
      </c>
      <c r="E100" s="0" t="n">
        <f aca="false">CurrentPositions!E95</f>
        <v>0</v>
      </c>
      <c r="F100" s="0" t="n">
        <f aca="false">$B$4</f>
        <v>1.22</v>
      </c>
      <c r="G100" s="0" t="n">
        <f aca="false">IF(B100="BUY",(F100-E100)/Settings!$B$3,(E100-F100)/Settings!$B$3)</f>
        <v>-12200</v>
      </c>
      <c r="H100" s="0" t="n">
        <f aca="false">G100*D100*Settings!$B$4</f>
        <v>-0</v>
      </c>
      <c r="I100" s="0" t="n">
        <f aca="false">CurrentPositions!I95</f>
        <v>0</v>
      </c>
      <c r="J100" s="0" t="n">
        <f aca="false">CurrentPositions!J95</f>
        <v>0</v>
      </c>
    </row>
    <row r="101" customFormat="false" ht="13.8" hidden="false" customHeight="false" outlineLevel="0" collapsed="false">
      <c r="A101" s="0" t="n">
        <f aca="false">CurrentPositions!A96</f>
        <v>0</v>
      </c>
      <c r="B101" s="0" t="n">
        <f aca="false">CurrentPositions!B96</f>
        <v>0</v>
      </c>
      <c r="C101" s="0" t="n">
        <f aca="false">CurrentPositions!C96</f>
        <v>0</v>
      </c>
      <c r="D101" s="0" t="n">
        <f aca="false">CurrentPositions!D96</f>
        <v>0</v>
      </c>
      <c r="E101" s="0" t="n">
        <f aca="false">CurrentPositions!E96</f>
        <v>0</v>
      </c>
      <c r="F101" s="0" t="n">
        <f aca="false">$B$4</f>
        <v>1.22</v>
      </c>
      <c r="G101" s="0" t="n">
        <f aca="false">IF(B101="BUY",(F101-E101)/Settings!$B$3,(E101-F101)/Settings!$B$3)</f>
        <v>-12200</v>
      </c>
      <c r="H101" s="0" t="n">
        <f aca="false">G101*D101*Settings!$B$4</f>
        <v>-0</v>
      </c>
      <c r="I101" s="0" t="n">
        <f aca="false">CurrentPositions!I96</f>
        <v>0</v>
      </c>
      <c r="J101" s="0" t="n">
        <f aca="false">CurrentPositions!J96</f>
        <v>0</v>
      </c>
    </row>
    <row r="102" customFormat="false" ht="13.8" hidden="false" customHeight="false" outlineLevel="0" collapsed="false">
      <c r="A102" s="0" t="n">
        <f aca="false">CurrentPositions!A97</f>
        <v>0</v>
      </c>
      <c r="B102" s="0" t="n">
        <f aca="false">CurrentPositions!B97</f>
        <v>0</v>
      </c>
      <c r="C102" s="0" t="n">
        <f aca="false">CurrentPositions!C97</f>
        <v>0</v>
      </c>
      <c r="D102" s="0" t="n">
        <f aca="false">CurrentPositions!D97</f>
        <v>0</v>
      </c>
      <c r="E102" s="0" t="n">
        <f aca="false">CurrentPositions!E97</f>
        <v>0</v>
      </c>
      <c r="F102" s="0" t="n">
        <f aca="false">$B$4</f>
        <v>1.22</v>
      </c>
      <c r="G102" s="0" t="n">
        <f aca="false">IF(B102="BUY",(F102-E102)/Settings!$B$3,(E102-F102)/Settings!$B$3)</f>
        <v>-12200</v>
      </c>
      <c r="H102" s="0" t="n">
        <f aca="false">G102*D102*Settings!$B$4</f>
        <v>-0</v>
      </c>
      <c r="I102" s="0" t="n">
        <f aca="false">CurrentPositions!I97</f>
        <v>0</v>
      </c>
      <c r="J102" s="0" t="n">
        <f aca="false">CurrentPositions!J97</f>
        <v>0</v>
      </c>
    </row>
    <row r="103" customFormat="false" ht="13.8" hidden="false" customHeight="false" outlineLevel="0" collapsed="false">
      <c r="A103" s="0" t="n">
        <f aca="false">CurrentPositions!A98</f>
        <v>0</v>
      </c>
      <c r="B103" s="0" t="n">
        <f aca="false">CurrentPositions!B98</f>
        <v>0</v>
      </c>
      <c r="C103" s="0" t="n">
        <f aca="false">CurrentPositions!C98</f>
        <v>0</v>
      </c>
      <c r="D103" s="0" t="n">
        <f aca="false">CurrentPositions!D98</f>
        <v>0</v>
      </c>
      <c r="E103" s="0" t="n">
        <f aca="false">CurrentPositions!E98</f>
        <v>0</v>
      </c>
      <c r="F103" s="0" t="n">
        <f aca="false">$B$4</f>
        <v>1.22</v>
      </c>
      <c r="G103" s="0" t="n">
        <f aca="false">IF(B103="BUY",(F103-E103)/Settings!$B$3,(E103-F103)/Settings!$B$3)</f>
        <v>-12200</v>
      </c>
      <c r="H103" s="0" t="n">
        <f aca="false">G103*D103*Settings!$B$4</f>
        <v>-0</v>
      </c>
      <c r="I103" s="0" t="n">
        <f aca="false">CurrentPositions!I98</f>
        <v>0</v>
      </c>
      <c r="J103" s="0" t="n">
        <f aca="false">CurrentPositions!J98</f>
        <v>0</v>
      </c>
    </row>
    <row r="104" customFormat="false" ht="13.8" hidden="false" customHeight="false" outlineLevel="0" collapsed="false">
      <c r="A104" s="0" t="n">
        <f aca="false">CurrentPositions!A99</f>
        <v>0</v>
      </c>
      <c r="B104" s="0" t="n">
        <f aca="false">CurrentPositions!B99</f>
        <v>0</v>
      </c>
      <c r="C104" s="0" t="n">
        <f aca="false">CurrentPositions!C99</f>
        <v>0</v>
      </c>
      <c r="D104" s="0" t="n">
        <f aca="false">CurrentPositions!D99</f>
        <v>0</v>
      </c>
      <c r="E104" s="0" t="n">
        <f aca="false">CurrentPositions!E99</f>
        <v>0</v>
      </c>
      <c r="F104" s="0" t="n">
        <f aca="false">$B$4</f>
        <v>1.22</v>
      </c>
      <c r="G104" s="0" t="n">
        <f aca="false">IF(B104="BUY",(F104-E104)/Settings!$B$3,(E104-F104)/Settings!$B$3)</f>
        <v>-12200</v>
      </c>
      <c r="H104" s="0" t="n">
        <f aca="false">G104*D104*Settings!$B$4</f>
        <v>-0</v>
      </c>
      <c r="I104" s="0" t="n">
        <f aca="false">CurrentPositions!I99</f>
        <v>0</v>
      </c>
      <c r="J104" s="0" t="n">
        <f aca="false">CurrentPositions!J99</f>
        <v>0</v>
      </c>
    </row>
    <row r="105" customFormat="false" ht="13.8" hidden="false" customHeight="false" outlineLevel="0" collapsed="false">
      <c r="A105" s="0" t="n">
        <f aca="false">CurrentPositions!A100</f>
        <v>0</v>
      </c>
      <c r="B105" s="0" t="n">
        <f aca="false">CurrentPositions!B100</f>
        <v>0</v>
      </c>
      <c r="C105" s="0" t="n">
        <f aca="false">CurrentPositions!C100</f>
        <v>0</v>
      </c>
      <c r="D105" s="0" t="n">
        <f aca="false">CurrentPositions!D100</f>
        <v>0</v>
      </c>
      <c r="E105" s="0" t="n">
        <f aca="false">CurrentPositions!E100</f>
        <v>0</v>
      </c>
      <c r="F105" s="0" t="n">
        <f aca="false">$B$4</f>
        <v>1.22</v>
      </c>
      <c r="G105" s="0" t="n">
        <f aca="false">IF(B105="BUY",(F105-E105)/Settings!$B$3,(E105-F105)/Settings!$B$3)</f>
        <v>-12200</v>
      </c>
      <c r="H105" s="0" t="n">
        <f aca="false">G105*D105*Settings!$B$4</f>
        <v>-0</v>
      </c>
      <c r="I105" s="0" t="n">
        <f aca="false">CurrentPositions!I100</f>
        <v>0</v>
      </c>
      <c r="J105" s="0" t="n">
        <f aca="false">CurrentPositions!J100</f>
        <v>0</v>
      </c>
    </row>
    <row r="106" customFormat="false" ht="13.8" hidden="false" customHeight="false" outlineLevel="0" collapsed="false">
      <c r="A106" s="0" t="n">
        <f aca="false">CurrentPositions!A101</f>
        <v>0</v>
      </c>
      <c r="B106" s="0" t="n">
        <f aca="false">CurrentPositions!B101</f>
        <v>0</v>
      </c>
      <c r="C106" s="0" t="n">
        <f aca="false">CurrentPositions!C101</f>
        <v>0</v>
      </c>
      <c r="D106" s="0" t="n">
        <f aca="false">CurrentPositions!D101</f>
        <v>0</v>
      </c>
      <c r="E106" s="0" t="n">
        <f aca="false">CurrentPositions!E101</f>
        <v>0</v>
      </c>
      <c r="F106" s="0" t="n">
        <f aca="false">$B$4</f>
        <v>1.22</v>
      </c>
      <c r="G106" s="0" t="n">
        <f aca="false">IF(B106="BUY",(F106-E106)/Settings!$B$3,(E106-F106)/Settings!$B$3)</f>
        <v>-12200</v>
      </c>
      <c r="H106" s="0" t="n">
        <f aca="false">G106*D106*Settings!$B$4</f>
        <v>-0</v>
      </c>
      <c r="I106" s="0" t="n">
        <f aca="false">CurrentPositions!I101</f>
        <v>0</v>
      </c>
      <c r="J106" s="0" t="n">
        <f aca="false">CurrentPositions!J101</f>
        <v>0</v>
      </c>
    </row>
    <row r="107" customFormat="false" ht="13.8" hidden="false" customHeight="false" outlineLevel="0" collapsed="false">
      <c r="A107" s="0" t="n">
        <f aca="false">CurrentPositions!A102</f>
        <v>0</v>
      </c>
      <c r="B107" s="0" t="n">
        <f aca="false">CurrentPositions!B102</f>
        <v>0</v>
      </c>
      <c r="C107" s="0" t="n">
        <f aca="false">CurrentPositions!C102</f>
        <v>0</v>
      </c>
      <c r="D107" s="0" t="n">
        <f aca="false">CurrentPositions!D102</f>
        <v>0</v>
      </c>
      <c r="E107" s="0" t="n">
        <f aca="false">CurrentPositions!E102</f>
        <v>0</v>
      </c>
      <c r="F107" s="0" t="n">
        <f aca="false">$B$4</f>
        <v>1.22</v>
      </c>
      <c r="G107" s="0" t="n">
        <f aca="false">IF(B107="BUY",(F107-E107)/Settings!$B$3,(E107-F107)/Settings!$B$3)</f>
        <v>-12200</v>
      </c>
      <c r="H107" s="0" t="n">
        <f aca="false">G107*D107*Settings!$B$4</f>
        <v>-0</v>
      </c>
      <c r="I107" s="0" t="n">
        <f aca="false">CurrentPositions!I102</f>
        <v>0</v>
      </c>
      <c r="J107" s="0" t="n">
        <f aca="false">CurrentPositions!J102</f>
        <v>0</v>
      </c>
    </row>
    <row r="108" customFormat="false" ht="13.8" hidden="false" customHeight="false" outlineLevel="0" collapsed="false">
      <c r="A108" s="0" t="n">
        <f aca="false">CurrentPositions!A103</f>
        <v>0</v>
      </c>
      <c r="B108" s="0" t="n">
        <f aca="false">CurrentPositions!B103</f>
        <v>0</v>
      </c>
      <c r="C108" s="0" t="n">
        <f aca="false">CurrentPositions!C103</f>
        <v>0</v>
      </c>
      <c r="D108" s="0" t="n">
        <f aca="false">CurrentPositions!D103</f>
        <v>0</v>
      </c>
      <c r="E108" s="0" t="n">
        <f aca="false">CurrentPositions!E103</f>
        <v>0</v>
      </c>
      <c r="F108" s="0" t="n">
        <f aca="false">$B$4</f>
        <v>1.22</v>
      </c>
      <c r="G108" s="0" t="n">
        <f aca="false">IF(B108="BUY",(F108-E108)/Settings!$B$3,(E108-F108)/Settings!$B$3)</f>
        <v>-12200</v>
      </c>
      <c r="H108" s="0" t="n">
        <f aca="false">G108*D108*Settings!$B$4</f>
        <v>-0</v>
      </c>
      <c r="I108" s="0" t="n">
        <f aca="false">CurrentPositions!I103</f>
        <v>0</v>
      </c>
      <c r="J108" s="0" t="n">
        <f aca="false">CurrentPositions!J103</f>
        <v>0</v>
      </c>
    </row>
    <row r="109" customFormat="false" ht="13.8" hidden="false" customHeight="false" outlineLevel="0" collapsed="false">
      <c r="A109" s="0" t="n">
        <f aca="false">CurrentPositions!A104</f>
        <v>0</v>
      </c>
      <c r="B109" s="0" t="n">
        <f aca="false">CurrentPositions!B104</f>
        <v>0</v>
      </c>
      <c r="C109" s="0" t="n">
        <f aca="false">CurrentPositions!C104</f>
        <v>0</v>
      </c>
      <c r="D109" s="0" t="n">
        <f aca="false">CurrentPositions!D104</f>
        <v>0</v>
      </c>
      <c r="E109" s="0" t="n">
        <f aca="false">CurrentPositions!E104</f>
        <v>0</v>
      </c>
      <c r="F109" s="0" t="n">
        <f aca="false">$B$4</f>
        <v>1.22</v>
      </c>
      <c r="G109" s="0" t="n">
        <f aca="false">IF(B109="BUY",(F109-E109)/Settings!$B$3,(E109-F109)/Settings!$B$3)</f>
        <v>-12200</v>
      </c>
      <c r="H109" s="0" t="n">
        <f aca="false">G109*D109*Settings!$B$4</f>
        <v>-0</v>
      </c>
      <c r="I109" s="0" t="n">
        <f aca="false">CurrentPositions!I104</f>
        <v>0</v>
      </c>
      <c r="J109" s="0" t="n">
        <f aca="false">CurrentPositions!J104</f>
        <v>0</v>
      </c>
    </row>
    <row r="110" customFormat="false" ht="13.8" hidden="false" customHeight="false" outlineLevel="0" collapsed="false">
      <c r="A110" s="0" t="n">
        <f aca="false">CurrentPositions!A105</f>
        <v>0</v>
      </c>
      <c r="B110" s="0" t="n">
        <f aca="false">CurrentPositions!B105</f>
        <v>0</v>
      </c>
      <c r="C110" s="0" t="n">
        <f aca="false">CurrentPositions!C105</f>
        <v>0</v>
      </c>
      <c r="D110" s="0" t="n">
        <f aca="false">CurrentPositions!D105</f>
        <v>0</v>
      </c>
      <c r="E110" s="0" t="n">
        <f aca="false">CurrentPositions!E105</f>
        <v>0</v>
      </c>
      <c r="F110" s="0" t="n">
        <f aca="false">$B$4</f>
        <v>1.22</v>
      </c>
      <c r="G110" s="0" t="n">
        <f aca="false">IF(B110="BUY",(F110-E110)/Settings!$B$3,(E110-F110)/Settings!$B$3)</f>
        <v>-12200</v>
      </c>
      <c r="H110" s="0" t="n">
        <f aca="false">G110*D110*Settings!$B$4</f>
        <v>-0</v>
      </c>
      <c r="I110" s="0" t="n">
        <f aca="false">CurrentPositions!I105</f>
        <v>0</v>
      </c>
      <c r="J110" s="0" t="n">
        <f aca="false">CurrentPositions!J105</f>
        <v>0</v>
      </c>
    </row>
    <row r="111" customFormat="false" ht="13.8" hidden="false" customHeight="false" outlineLevel="0" collapsed="false">
      <c r="A111" s="0" t="n">
        <f aca="false">CurrentPositions!A106</f>
        <v>0</v>
      </c>
      <c r="B111" s="0" t="n">
        <f aca="false">CurrentPositions!B106</f>
        <v>0</v>
      </c>
      <c r="C111" s="0" t="n">
        <f aca="false">CurrentPositions!C106</f>
        <v>0</v>
      </c>
      <c r="D111" s="0" t="n">
        <f aca="false">CurrentPositions!D106</f>
        <v>0</v>
      </c>
      <c r="E111" s="0" t="n">
        <f aca="false">CurrentPositions!E106</f>
        <v>0</v>
      </c>
      <c r="F111" s="0" t="n">
        <f aca="false">$B$4</f>
        <v>1.22</v>
      </c>
      <c r="G111" s="0" t="n">
        <f aca="false">IF(B111="BUY",(F111-E111)/Settings!$B$3,(E111-F111)/Settings!$B$3)</f>
        <v>-12200</v>
      </c>
      <c r="H111" s="0" t="n">
        <f aca="false">G111*D111*Settings!$B$4</f>
        <v>-0</v>
      </c>
      <c r="I111" s="0" t="n">
        <f aca="false">CurrentPositions!I106</f>
        <v>0</v>
      </c>
      <c r="J111" s="0" t="n">
        <f aca="false">CurrentPositions!J106</f>
        <v>0</v>
      </c>
    </row>
    <row r="112" customFormat="false" ht="13.8" hidden="false" customHeight="false" outlineLevel="0" collapsed="false">
      <c r="A112" s="0" t="n">
        <f aca="false">CurrentPositions!A107</f>
        <v>0</v>
      </c>
      <c r="B112" s="0" t="n">
        <f aca="false">CurrentPositions!B107</f>
        <v>0</v>
      </c>
      <c r="C112" s="0" t="n">
        <f aca="false">CurrentPositions!C107</f>
        <v>0</v>
      </c>
      <c r="D112" s="0" t="n">
        <f aca="false">CurrentPositions!D107</f>
        <v>0</v>
      </c>
      <c r="E112" s="0" t="n">
        <f aca="false">CurrentPositions!E107</f>
        <v>0</v>
      </c>
      <c r="F112" s="0" t="n">
        <f aca="false">$B$4</f>
        <v>1.22</v>
      </c>
      <c r="G112" s="0" t="n">
        <f aca="false">IF(B112="BUY",(F112-E112)/Settings!$B$3,(E112-F112)/Settings!$B$3)</f>
        <v>-12200</v>
      </c>
      <c r="H112" s="0" t="n">
        <f aca="false">G112*D112*Settings!$B$4</f>
        <v>-0</v>
      </c>
      <c r="I112" s="0" t="n">
        <f aca="false">CurrentPositions!I107</f>
        <v>0</v>
      </c>
      <c r="J112" s="0" t="n">
        <f aca="false">CurrentPositions!J107</f>
        <v>0</v>
      </c>
    </row>
    <row r="113" customFormat="false" ht="13.8" hidden="false" customHeight="false" outlineLevel="0" collapsed="false">
      <c r="A113" s="0" t="n">
        <f aca="false">CurrentPositions!A108</f>
        <v>0</v>
      </c>
      <c r="B113" s="0" t="n">
        <f aca="false">CurrentPositions!B108</f>
        <v>0</v>
      </c>
      <c r="C113" s="0" t="n">
        <f aca="false">CurrentPositions!C108</f>
        <v>0</v>
      </c>
      <c r="D113" s="0" t="n">
        <f aca="false">CurrentPositions!D108</f>
        <v>0</v>
      </c>
      <c r="E113" s="0" t="n">
        <f aca="false">CurrentPositions!E108</f>
        <v>0</v>
      </c>
      <c r="F113" s="0" t="n">
        <f aca="false">$B$4</f>
        <v>1.22</v>
      </c>
      <c r="G113" s="0" t="n">
        <f aca="false">IF(B113="BUY",(F113-E113)/Settings!$B$3,(E113-F113)/Settings!$B$3)</f>
        <v>-12200</v>
      </c>
      <c r="H113" s="0" t="n">
        <f aca="false">G113*D113*Settings!$B$4</f>
        <v>-0</v>
      </c>
      <c r="I113" s="0" t="n">
        <f aca="false">CurrentPositions!I108</f>
        <v>0</v>
      </c>
      <c r="J113" s="0" t="n">
        <f aca="false">CurrentPositions!J108</f>
        <v>0</v>
      </c>
    </row>
    <row r="114" customFormat="false" ht="13.8" hidden="false" customHeight="false" outlineLevel="0" collapsed="false">
      <c r="A114" s="0" t="n">
        <f aca="false">CurrentPositions!A109</f>
        <v>0</v>
      </c>
      <c r="B114" s="0" t="n">
        <f aca="false">CurrentPositions!B109</f>
        <v>0</v>
      </c>
      <c r="C114" s="0" t="n">
        <f aca="false">CurrentPositions!C109</f>
        <v>0</v>
      </c>
      <c r="D114" s="0" t="n">
        <f aca="false">CurrentPositions!D109</f>
        <v>0</v>
      </c>
      <c r="E114" s="0" t="n">
        <f aca="false">CurrentPositions!E109</f>
        <v>0</v>
      </c>
      <c r="F114" s="0" t="n">
        <f aca="false">$B$4</f>
        <v>1.22</v>
      </c>
      <c r="G114" s="0" t="n">
        <f aca="false">IF(B114="BUY",(F114-E114)/Settings!$B$3,(E114-F114)/Settings!$B$3)</f>
        <v>-12200</v>
      </c>
      <c r="H114" s="0" t="n">
        <f aca="false">G114*D114*Settings!$B$4</f>
        <v>-0</v>
      </c>
      <c r="I114" s="0" t="n">
        <f aca="false">CurrentPositions!I109</f>
        <v>0</v>
      </c>
      <c r="J114" s="0" t="n">
        <f aca="false">CurrentPositions!J109</f>
        <v>0</v>
      </c>
    </row>
    <row r="115" customFormat="false" ht="13.8" hidden="false" customHeight="false" outlineLevel="0" collapsed="false">
      <c r="A115" s="0" t="n">
        <f aca="false">CurrentPositions!A110</f>
        <v>0</v>
      </c>
      <c r="B115" s="0" t="n">
        <f aca="false">CurrentPositions!B110</f>
        <v>0</v>
      </c>
      <c r="C115" s="0" t="n">
        <f aca="false">CurrentPositions!C110</f>
        <v>0</v>
      </c>
      <c r="D115" s="0" t="n">
        <f aca="false">CurrentPositions!D110</f>
        <v>0</v>
      </c>
      <c r="E115" s="0" t="n">
        <f aca="false">CurrentPositions!E110</f>
        <v>0</v>
      </c>
      <c r="F115" s="0" t="n">
        <f aca="false">$B$4</f>
        <v>1.22</v>
      </c>
      <c r="G115" s="0" t="n">
        <f aca="false">IF(B115="BUY",(F115-E115)/Settings!$B$3,(E115-F115)/Settings!$B$3)</f>
        <v>-12200</v>
      </c>
      <c r="H115" s="0" t="n">
        <f aca="false">G115*D115*Settings!$B$4</f>
        <v>-0</v>
      </c>
      <c r="I115" s="0" t="n">
        <f aca="false">CurrentPositions!I110</f>
        <v>0</v>
      </c>
      <c r="J115" s="0" t="n">
        <f aca="false">CurrentPositions!J110</f>
        <v>0</v>
      </c>
    </row>
    <row r="116" customFormat="false" ht="13.8" hidden="false" customHeight="false" outlineLevel="0" collapsed="false">
      <c r="A116" s="0" t="n">
        <f aca="false">CurrentPositions!A111</f>
        <v>0</v>
      </c>
      <c r="B116" s="0" t="n">
        <f aca="false">CurrentPositions!B111</f>
        <v>0</v>
      </c>
      <c r="C116" s="0" t="n">
        <f aca="false">CurrentPositions!C111</f>
        <v>0</v>
      </c>
      <c r="D116" s="0" t="n">
        <f aca="false">CurrentPositions!D111</f>
        <v>0</v>
      </c>
      <c r="E116" s="0" t="n">
        <f aca="false">CurrentPositions!E111</f>
        <v>0</v>
      </c>
      <c r="F116" s="0" t="n">
        <f aca="false">$B$4</f>
        <v>1.22</v>
      </c>
      <c r="G116" s="0" t="n">
        <f aca="false">IF(B116="BUY",(F116-E116)/Settings!$B$3,(E116-F116)/Settings!$B$3)</f>
        <v>-12200</v>
      </c>
      <c r="H116" s="0" t="n">
        <f aca="false">G116*D116*Settings!$B$4</f>
        <v>-0</v>
      </c>
      <c r="I116" s="0" t="n">
        <f aca="false">CurrentPositions!I111</f>
        <v>0</v>
      </c>
      <c r="J116" s="0" t="n">
        <f aca="false">CurrentPositions!J111</f>
        <v>0</v>
      </c>
    </row>
    <row r="117" customFormat="false" ht="13.8" hidden="false" customHeight="false" outlineLevel="0" collapsed="false">
      <c r="A117" s="0" t="n">
        <f aca="false">CurrentPositions!A112</f>
        <v>0</v>
      </c>
      <c r="B117" s="0" t="n">
        <f aca="false">CurrentPositions!B112</f>
        <v>0</v>
      </c>
      <c r="C117" s="0" t="n">
        <f aca="false">CurrentPositions!C112</f>
        <v>0</v>
      </c>
      <c r="D117" s="0" t="n">
        <f aca="false">CurrentPositions!D112</f>
        <v>0</v>
      </c>
      <c r="E117" s="0" t="n">
        <f aca="false">CurrentPositions!E112</f>
        <v>0</v>
      </c>
      <c r="F117" s="0" t="n">
        <f aca="false">$B$4</f>
        <v>1.22</v>
      </c>
      <c r="G117" s="0" t="n">
        <f aca="false">IF(B117="BUY",(F117-E117)/Settings!$B$3,(E117-F117)/Settings!$B$3)</f>
        <v>-12200</v>
      </c>
      <c r="H117" s="0" t="n">
        <f aca="false">G117*D117*Settings!$B$4</f>
        <v>-0</v>
      </c>
      <c r="I117" s="0" t="n">
        <f aca="false">CurrentPositions!I112</f>
        <v>0</v>
      </c>
      <c r="J117" s="0" t="n">
        <f aca="false">CurrentPositions!J112</f>
        <v>0</v>
      </c>
    </row>
    <row r="118" customFormat="false" ht="13.8" hidden="false" customHeight="false" outlineLevel="0" collapsed="false">
      <c r="A118" s="0" t="n">
        <f aca="false">CurrentPositions!A113</f>
        <v>0</v>
      </c>
      <c r="B118" s="0" t="n">
        <f aca="false">CurrentPositions!B113</f>
        <v>0</v>
      </c>
      <c r="C118" s="0" t="n">
        <f aca="false">CurrentPositions!C113</f>
        <v>0</v>
      </c>
      <c r="D118" s="0" t="n">
        <f aca="false">CurrentPositions!D113</f>
        <v>0</v>
      </c>
      <c r="E118" s="0" t="n">
        <f aca="false">CurrentPositions!E113</f>
        <v>0</v>
      </c>
      <c r="F118" s="0" t="n">
        <f aca="false">$B$4</f>
        <v>1.22</v>
      </c>
      <c r="G118" s="0" t="n">
        <f aca="false">IF(B118="BUY",(F118-E118)/Settings!$B$3,(E118-F118)/Settings!$B$3)</f>
        <v>-12200</v>
      </c>
      <c r="H118" s="0" t="n">
        <f aca="false">G118*D118*Settings!$B$4</f>
        <v>-0</v>
      </c>
      <c r="I118" s="0" t="n">
        <f aca="false">CurrentPositions!I113</f>
        <v>0</v>
      </c>
      <c r="J118" s="0" t="n">
        <f aca="false">CurrentPositions!J113</f>
        <v>0</v>
      </c>
    </row>
    <row r="119" customFormat="false" ht="13.8" hidden="false" customHeight="false" outlineLevel="0" collapsed="false">
      <c r="A119" s="0" t="n">
        <f aca="false">CurrentPositions!A114</f>
        <v>0</v>
      </c>
      <c r="B119" s="0" t="n">
        <f aca="false">CurrentPositions!B114</f>
        <v>0</v>
      </c>
      <c r="C119" s="0" t="n">
        <f aca="false">CurrentPositions!C114</f>
        <v>0</v>
      </c>
      <c r="D119" s="0" t="n">
        <f aca="false">CurrentPositions!D114</f>
        <v>0</v>
      </c>
      <c r="E119" s="0" t="n">
        <f aca="false">CurrentPositions!E114</f>
        <v>0</v>
      </c>
      <c r="F119" s="0" t="n">
        <f aca="false">$B$4</f>
        <v>1.22</v>
      </c>
      <c r="G119" s="0" t="n">
        <f aca="false">IF(B119="BUY",(F119-E119)/Settings!$B$3,(E119-F119)/Settings!$B$3)</f>
        <v>-12200</v>
      </c>
      <c r="H119" s="0" t="n">
        <f aca="false">G119*D119*Settings!$B$4</f>
        <v>-0</v>
      </c>
      <c r="I119" s="0" t="n">
        <f aca="false">CurrentPositions!I114</f>
        <v>0</v>
      </c>
      <c r="J119" s="0" t="n">
        <f aca="false">CurrentPositions!J114</f>
        <v>0</v>
      </c>
    </row>
    <row r="120" customFormat="false" ht="13.8" hidden="false" customHeight="false" outlineLevel="0" collapsed="false">
      <c r="A120" s="0" t="n">
        <f aca="false">CurrentPositions!A115</f>
        <v>0</v>
      </c>
      <c r="B120" s="0" t="n">
        <f aca="false">CurrentPositions!B115</f>
        <v>0</v>
      </c>
      <c r="C120" s="0" t="n">
        <f aca="false">CurrentPositions!C115</f>
        <v>0</v>
      </c>
      <c r="D120" s="0" t="n">
        <f aca="false">CurrentPositions!D115</f>
        <v>0</v>
      </c>
      <c r="E120" s="0" t="n">
        <f aca="false">CurrentPositions!E115</f>
        <v>0</v>
      </c>
      <c r="F120" s="0" t="n">
        <f aca="false">$B$4</f>
        <v>1.22</v>
      </c>
      <c r="G120" s="0" t="n">
        <f aca="false">IF(B120="BUY",(F120-E120)/Settings!$B$3,(E120-F120)/Settings!$B$3)</f>
        <v>-12200</v>
      </c>
      <c r="H120" s="0" t="n">
        <f aca="false">G120*D120*Settings!$B$4</f>
        <v>-0</v>
      </c>
      <c r="I120" s="0" t="n">
        <f aca="false">CurrentPositions!I115</f>
        <v>0</v>
      </c>
      <c r="J120" s="0" t="n">
        <f aca="false">CurrentPositions!J115</f>
        <v>0</v>
      </c>
    </row>
    <row r="121" customFormat="false" ht="13.8" hidden="false" customHeight="false" outlineLevel="0" collapsed="false">
      <c r="A121" s="0" t="n">
        <f aca="false">CurrentPositions!A116</f>
        <v>0</v>
      </c>
      <c r="B121" s="0" t="n">
        <f aca="false">CurrentPositions!B116</f>
        <v>0</v>
      </c>
      <c r="C121" s="0" t="n">
        <f aca="false">CurrentPositions!C116</f>
        <v>0</v>
      </c>
      <c r="D121" s="0" t="n">
        <f aca="false">CurrentPositions!D116</f>
        <v>0</v>
      </c>
      <c r="E121" s="0" t="n">
        <f aca="false">CurrentPositions!E116</f>
        <v>0</v>
      </c>
      <c r="F121" s="0" t="n">
        <f aca="false">$B$4</f>
        <v>1.22</v>
      </c>
      <c r="G121" s="0" t="n">
        <f aca="false">IF(B121="BUY",(F121-E121)/Settings!$B$3,(E121-F121)/Settings!$B$3)</f>
        <v>-12200</v>
      </c>
      <c r="H121" s="0" t="n">
        <f aca="false">G121*D121*Settings!$B$4</f>
        <v>-0</v>
      </c>
      <c r="I121" s="0" t="n">
        <f aca="false">CurrentPositions!I116</f>
        <v>0</v>
      </c>
      <c r="J121" s="0" t="n">
        <f aca="false">CurrentPositions!J116</f>
        <v>0</v>
      </c>
    </row>
    <row r="122" customFormat="false" ht="13.8" hidden="false" customHeight="false" outlineLevel="0" collapsed="false">
      <c r="A122" s="0" t="n">
        <f aca="false">CurrentPositions!A117</f>
        <v>0</v>
      </c>
      <c r="B122" s="0" t="n">
        <f aca="false">CurrentPositions!B117</f>
        <v>0</v>
      </c>
      <c r="C122" s="0" t="n">
        <f aca="false">CurrentPositions!C117</f>
        <v>0</v>
      </c>
      <c r="D122" s="0" t="n">
        <f aca="false">CurrentPositions!D117</f>
        <v>0</v>
      </c>
      <c r="E122" s="0" t="n">
        <f aca="false">CurrentPositions!E117</f>
        <v>0</v>
      </c>
      <c r="F122" s="0" t="n">
        <f aca="false">$B$4</f>
        <v>1.22</v>
      </c>
      <c r="G122" s="0" t="n">
        <f aca="false">IF(B122="BUY",(F122-E122)/Settings!$B$3,(E122-F122)/Settings!$B$3)</f>
        <v>-12200</v>
      </c>
      <c r="H122" s="0" t="n">
        <f aca="false">G122*D122*Settings!$B$4</f>
        <v>-0</v>
      </c>
      <c r="I122" s="0" t="n">
        <f aca="false">CurrentPositions!I117</f>
        <v>0</v>
      </c>
      <c r="J122" s="0" t="n">
        <f aca="false">CurrentPositions!J117</f>
        <v>0</v>
      </c>
    </row>
    <row r="123" customFormat="false" ht="13.8" hidden="false" customHeight="false" outlineLevel="0" collapsed="false">
      <c r="A123" s="0" t="n">
        <f aca="false">CurrentPositions!A118</f>
        <v>0</v>
      </c>
      <c r="B123" s="0" t="n">
        <f aca="false">CurrentPositions!B118</f>
        <v>0</v>
      </c>
      <c r="C123" s="0" t="n">
        <f aca="false">CurrentPositions!C118</f>
        <v>0</v>
      </c>
      <c r="D123" s="0" t="n">
        <f aca="false">CurrentPositions!D118</f>
        <v>0</v>
      </c>
      <c r="E123" s="0" t="n">
        <f aca="false">CurrentPositions!E118</f>
        <v>0</v>
      </c>
      <c r="F123" s="0" t="n">
        <f aca="false">$B$4</f>
        <v>1.22</v>
      </c>
      <c r="G123" s="0" t="n">
        <f aca="false">IF(B123="BUY",(F123-E123)/Settings!$B$3,(E123-F123)/Settings!$B$3)</f>
        <v>-12200</v>
      </c>
      <c r="H123" s="0" t="n">
        <f aca="false">G123*D123*Settings!$B$4</f>
        <v>-0</v>
      </c>
      <c r="I123" s="0" t="n">
        <f aca="false">CurrentPositions!I118</f>
        <v>0</v>
      </c>
      <c r="J123" s="0" t="n">
        <f aca="false">CurrentPositions!J118</f>
        <v>0</v>
      </c>
    </row>
    <row r="124" customFormat="false" ht="13.8" hidden="false" customHeight="false" outlineLevel="0" collapsed="false">
      <c r="A124" s="0" t="n">
        <f aca="false">CurrentPositions!A119</f>
        <v>0</v>
      </c>
      <c r="B124" s="0" t="n">
        <f aca="false">CurrentPositions!B119</f>
        <v>0</v>
      </c>
      <c r="C124" s="0" t="n">
        <f aca="false">CurrentPositions!C119</f>
        <v>0</v>
      </c>
      <c r="D124" s="0" t="n">
        <f aca="false">CurrentPositions!D119</f>
        <v>0</v>
      </c>
      <c r="E124" s="0" t="n">
        <f aca="false">CurrentPositions!E119</f>
        <v>0</v>
      </c>
      <c r="F124" s="0" t="n">
        <f aca="false">$B$4</f>
        <v>1.22</v>
      </c>
      <c r="G124" s="0" t="n">
        <f aca="false">IF(B124="BUY",(F124-E124)/Settings!$B$3,(E124-F124)/Settings!$B$3)</f>
        <v>-12200</v>
      </c>
      <c r="H124" s="0" t="n">
        <f aca="false">G124*D124*Settings!$B$4</f>
        <v>-0</v>
      </c>
      <c r="I124" s="0" t="n">
        <f aca="false">CurrentPositions!I119</f>
        <v>0</v>
      </c>
      <c r="J124" s="0" t="n">
        <f aca="false">CurrentPositions!J119</f>
        <v>0</v>
      </c>
    </row>
    <row r="125" customFormat="false" ht="13.8" hidden="false" customHeight="false" outlineLevel="0" collapsed="false">
      <c r="A125" s="0" t="n">
        <f aca="false">CurrentPositions!A120</f>
        <v>0</v>
      </c>
      <c r="B125" s="0" t="n">
        <f aca="false">CurrentPositions!B120</f>
        <v>0</v>
      </c>
      <c r="C125" s="0" t="n">
        <f aca="false">CurrentPositions!C120</f>
        <v>0</v>
      </c>
      <c r="D125" s="0" t="n">
        <f aca="false">CurrentPositions!D120</f>
        <v>0</v>
      </c>
      <c r="E125" s="0" t="n">
        <f aca="false">CurrentPositions!E120</f>
        <v>0</v>
      </c>
      <c r="F125" s="0" t="n">
        <f aca="false">$B$4</f>
        <v>1.22</v>
      </c>
      <c r="G125" s="0" t="n">
        <f aca="false">IF(B125="BUY",(F125-E125)/Settings!$B$3,(E125-F125)/Settings!$B$3)</f>
        <v>-12200</v>
      </c>
      <c r="H125" s="0" t="n">
        <f aca="false">G125*D125*Settings!$B$4</f>
        <v>-0</v>
      </c>
      <c r="I125" s="0" t="n">
        <f aca="false">CurrentPositions!I120</f>
        <v>0</v>
      </c>
      <c r="J125" s="0" t="n">
        <f aca="false">CurrentPositions!J120</f>
        <v>0</v>
      </c>
    </row>
    <row r="126" customFormat="false" ht="13.8" hidden="false" customHeight="false" outlineLevel="0" collapsed="false">
      <c r="A126" s="0" t="n">
        <f aca="false">CurrentPositions!A121</f>
        <v>0</v>
      </c>
      <c r="B126" s="0" t="n">
        <f aca="false">CurrentPositions!B121</f>
        <v>0</v>
      </c>
      <c r="C126" s="0" t="n">
        <f aca="false">CurrentPositions!C121</f>
        <v>0</v>
      </c>
      <c r="D126" s="0" t="n">
        <f aca="false">CurrentPositions!D121</f>
        <v>0</v>
      </c>
      <c r="E126" s="0" t="n">
        <f aca="false">CurrentPositions!E121</f>
        <v>0</v>
      </c>
      <c r="F126" s="0" t="n">
        <f aca="false">$B$4</f>
        <v>1.22</v>
      </c>
      <c r="G126" s="0" t="n">
        <f aca="false">IF(B126="BUY",(F126-E126)/Settings!$B$3,(E126-F126)/Settings!$B$3)</f>
        <v>-12200</v>
      </c>
      <c r="H126" s="0" t="n">
        <f aca="false">G126*D126*Settings!$B$4</f>
        <v>-0</v>
      </c>
      <c r="I126" s="0" t="n">
        <f aca="false">CurrentPositions!I121</f>
        <v>0</v>
      </c>
      <c r="J126" s="0" t="n">
        <f aca="false">CurrentPositions!J121</f>
        <v>0</v>
      </c>
    </row>
    <row r="127" customFormat="false" ht="13.8" hidden="false" customHeight="false" outlineLevel="0" collapsed="false">
      <c r="A127" s="0" t="n">
        <f aca="false">CurrentPositions!A122</f>
        <v>0</v>
      </c>
      <c r="B127" s="0" t="n">
        <f aca="false">CurrentPositions!B122</f>
        <v>0</v>
      </c>
      <c r="C127" s="0" t="n">
        <f aca="false">CurrentPositions!C122</f>
        <v>0</v>
      </c>
      <c r="D127" s="0" t="n">
        <f aca="false">CurrentPositions!D122</f>
        <v>0</v>
      </c>
      <c r="E127" s="0" t="n">
        <f aca="false">CurrentPositions!E122</f>
        <v>0</v>
      </c>
      <c r="F127" s="0" t="n">
        <f aca="false">$B$4</f>
        <v>1.22</v>
      </c>
      <c r="G127" s="0" t="n">
        <f aca="false">IF(B127="BUY",(F127-E127)/Settings!$B$3,(E127-F127)/Settings!$B$3)</f>
        <v>-12200</v>
      </c>
      <c r="H127" s="0" t="n">
        <f aca="false">G127*D127*Settings!$B$4</f>
        <v>-0</v>
      </c>
      <c r="I127" s="0" t="n">
        <f aca="false">CurrentPositions!I122</f>
        <v>0</v>
      </c>
      <c r="J127" s="0" t="n">
        <f aca="false">CurrentPositions!J122</f>
        <v>0</v>
      </c>
    </row>
    <row r="128" customFormat="false" ht="13.8" hidden="false" customHeight="false" outlineLevel="0" collapsed="false">
      <c r="A128" s="0" t="n">
        <f aca="false">CurrentPositions!A123</f>
        <v>0</v>
      </c>
      <c r="B128" s="0" t="n">
        <f aca="false">CurrentPositions!B123</f>
        <v>0</v>
      </c>
      <c r="C128" s="0" t="n">
        <f aca="false">CurrentPositions!C123</f>
        <v>0</v>
      </c>
      <c r="D128" s="0" t="n">
        <f aca="false">CurrentPositions!D123</f>
        <v>0</v>
      </c>
      <c r="E128" s="0" t="n">
        <f aca="false">CurrentPositions!E123</f>
        <v>0</v>
      </c>
      <c r="F128" s="0" t="n">
        <f aca="false">$B$4</f>
        <v>1.22</v>
      </c>
      <c r="G128" s="0" t="n">
        <f aca="false">IF(B128="BUY",(F128-E128)/Settings!$B$3,(E128-F128)/Settings!$B$3)</f>
        <v>-12200</v>
      </c>
      <c r="H128" s="0" t="n">
        <f aca="false">G128*D128*Settings!$B$4</f>
        <v>-0</v>
      </c>
      <c r="I128" s="0" t="n">
        <f aca="false">CurrentPositions!I123</f>
        <v>0</v>
      </c>
      <c r="J128" s="0" t="n">
        <f aca="false">CurrentPositions!J123</f>
        <v>0</v>
      </c>
    </row>
    <row r="129" customFormat="false" ht="13.8" hidden="false" customHeight="false" outlineLevel="0" collapsed="false">
      <c r="A129" s="0" t="n">
        <f aca="false">CurrentPositions!A124</f>
        <v>0</v>
      </c>
      <c r="B129" s="0" t="n">
        <f aca="false">CurrentPositions!B124</f>
        <v>0</v>
      </c>
      <c r="C129" s="0" t="n">
        <f aca="false">CurrentPositions!C124</f>
        <v>0</v>
      </c>
      <c r="D129" s="0" t="n">
        <f aca="false">CurrentPositions!D124</f>
        <v>0</v>
      </c>
      <c r="E129" s="0" t="n">
        <f aca="false">CurrentPositions!E124</f>
        <v>0</v>
      </c>
      <c r="F129" s="0" t="n">
        <f aca="false">$B$4</f>
        <v>1.22</v>
      </c>
      <c r="G129" s="0" t="n">
        <f aca="false">IF(B129="BUY",(F129-E129)/Settings!$B$3,(E129-F129)/Settings!$B$3)</f>
        <v>-12200</v>
      </c>
      <c r="H129" s="0" t="n">
        <f aca="false">G129*D129*Settings!$B$4</f>
        <v>-0</v>
      </c>
      <c r="I129" s="0" t="n">
        <f aca="false">CurrentPositions!I124</f>
        <v>0</v>
      </c>
      <c r="J129" s="0" t="n">
        <f aca="false">CurrentPositions!J124</f>
        <v>0</v>
      </c>
    </row>
    <row r="130" customFormat="false" ht="13.8" hidden="false" customHeight="false" outlineLevel="0" collapsed="false">
      <c r="A130" s="0" t="n">
        <f aca="false">CurrentPositions!A125</f>
        <v>0</v>
      </c>
      <c r="B130" s="0" t="n">
        <f aca="false">CurrentPositions!B125</f>
        <v>0</v>
      </c>
      <c r="C130" s="0" t="n">
        <f aca="false">CurrentPositions!C125</f>
        <v>0</v>
      </c>
      <c r="D130" s="0" t="n">
        <f aca="false">CurrentPositions!D125</f>
        <v>0</v>
      </c>
      <c r="E130" s="0" t="n">
        <f aca="false">CurrentPositions!E125</f>
        <v>0</v>
      </c>
      <c r="F130" s="0" t="n">
        <f aca="false">$B$4</f>
        <v>1.22</v>
      </c>
      <c r="G130" s="0" t="n">
        <f aca="false">IF(B130="BUY",(F130-E130)/Settings!$B$3,(E130-F130)/Settings!$B$3)</f>
        <v>-12200</v>
      </c>
      <c r="H130" s="0" t="n">
        <f aca="false">G130*D130*Settings!$B$4</f>
        <v>-0</v>
      </c>
      <c r="I130" s="0" t="n">
        <f aca="false">CurrentPositions!I125</f>
        <v>0</v>
      </c>
      <c r="J130" s="0" t="n">
        <f aca="false">CurrentPositions!J125</f>
        <v>0</v>
      </c>
    </row>
    <row r="131" customFormat="false" ht="13.8" hidden="false" customHeight="false" outlineLevel="0" collapsed="false">
      <c r="A131" s="0" t="n">
        <f aca="false">CurrentPositions!A126</f>
        <v>0</v>
      </c>
      <c r="B131" s="0" t="n">
        <f aca="false">CurrentPositions!B126</f>
        <v>0</v>
      </c>
      <c r="C131" s="0" t="n">
        <f aca="false">CurrentPositions!C126</f>
        <v>0</v>
      </c>
      <c r="D131" s="0" t="n">
        <f aca="false">CurrentPositions!D126</f>
        <v>0</v>
      </c>
      <c r="E131" s="0" t="n">
        <f aca="false">CurrentPositions!E126</f>
        <v>0</v>
      </c>
      <c r="F131" s="0" t="n">
        <f aca="false">$B$4</f>
        <v>1.22</v>
      </c>
      <c r="G131" s="0" t="n">
        <f aca="false">IF(B131="BUY",(F131-E131)/Settings!$B$3,(E131-F131)/Settings!$B$3)</f>
        <v>-12200</v>
      </c>
      <c r="H131" s="0" t="n">
        <f aca="false">G131*D131*Settings!$B$4</f>
        <v>-0</v>
      </c>
      <c r="I131" s="0" t="n">
        <f aca="false">CurrentPositions!I126</f>
        <v>0</v>
      </c>
      <c r="J131" s="0" t="n">
        <f aca="false">CurrentPositions!J126</f>
        <v>0</v>
      </c>
    </row>
    <row r="132" customFormat="false" ht="13.8" hidden="false" customHeight="false" outlineLevel="0" collapsed="false">
      <c r="A132" s="0" t="n">
        <f aca="false">CurrentPositions!A127</f>
        <v>0</v>
      </c>
      <c r="B132" s="0" t="n">
        <f aca="false">CurrentPositions!B127</f>
        <v>0</v>
      </c>
      <c r="C132" s="0" t="n">
        <f aca="false">CurrentPositions!C127</f>
        <v>0</v>
      </c>
      <c r="D132" s="0" t="n">
        <f aca="false">CurrentPositions!D127</f>
        <v>0</v>
      </c>
      <c r="E132" s="0" t="n">
        <f aca="false">CurrentPositions!E127</f>
        <v>0</v>
      </c>
      <c r="F132" s="0" t="n">
        <f aca="false">$B$4</f>
        <v>1.22</v>
      </c>
      <c r="G132" s="0" t="n">
        <f aca="false">IF(B132="BUY",(F132-E132)/Settings!$B$3,(E132-F132)/Settings!$B$3)</f>
        <v>-12200</v>
      </c>
      <c r="H132" s="0" t="n">
        <f aca="false">G132*D132*Settings!$B$4</f>
        <v>-0</v>
      </c>
      <c r="I132" s="0" t="n">
        <f aca="false">CurrentPositions!I127</f>
        <v>0</v>
      </c>
      <c r="J132" s="0" t="n">
        <f aca="false">CurrentPositions!J127</f>
        <v>0</v>
      </c>
    </row>
    <row r="133" customFormat="false" ht="13.8" hidden="false" customHeight="false" outlineLevel="0" collapsed="false">
      <c r="A133" s="0" t="n">
        <f aca="false">CurrentPositions!A128</f>
        <v>0</v>
      </c>
      <c r="B133" s="0" t="n">
        <f aca="false">CurrentPositions!B128</f>
        <v>0</v>
      </c>
      <c r="C133" s="0" t="n">
        <f aca="false">CurrentPositions!C128</f>
        <v>0</v>
      </c>
      <c r="D133" s="0" t="n">
        <f aca="false">CurrentPositions!D128</f>
        <v>0</v>
      </c>
      <c r="E133" s="0" t="n">
        <f aca="false">CurrentPositions!E128</f>
        <v>0</v>
      </c>
      <c r="F133" s="0" t="n">
        <f aca="false">$B$4</f>
        <v>1.22</v>
      </c>
      <c r="G133" s="0" t="n">
        <f aca="false">IF(B133="BUY",(F133-E133)/Settings!$B$3,(E133-F133)/Settings!$B$3)</f>
        <v>-12200</v>
      </c>
      <c r="H133" s="0" t="n">
        <f aca="false">G133*D133*Settings!$B$4</f>
        <v>-0</v>
      </c>
      <c r="I133" s="0" t="n">
        <f aca="false">CurrentPositions!I128</f>
        <v>0</v>
      </c>
      <c r="J133" s="0" t="n">
        <f aca="false">CurrentPositions!J128</f>
        <v>0</v>
      </c>
    </row>
    <row r="134" customFormat="false" ht="13.8" hidden="false" customHeight="false" outlineLevel="0" collapsed="false">
      <c r="A134" s="0" t="n">
        <f aca="false">CurrentPositions!A129</f>
        <v>0</v>
      </c>
      <c r="B134" s="0" t="n">
        <f aca="false">CurrentPositions!B129</f>
        <v>0</v>
      </c>
      <c r="C134" s="0" t="n">
        <f aca="false">CurrentPositions!C129</f>
        <v>0</v>
      </c>
      <c r="D134" s="0" t="n">
        <f aca="false">CurrentPositions!D129</f>
        <v>0</v>
      </c>
      <c r="E134" s="0" t="n">
        <f aca="false">CurrentPositions!E129</f>
        <v>0</v>
      </c>
      <c r="F134" s="0" t="n">
        <f aca="false">$B$4</f>
        <v>1.22</v>
      </c>
      <c r="G134" s="0" t="n">
        <f aca="false">IF(B134="BUY",(F134-E134)/Settings!$B$3,(E134-F134)/Settings!$B$3)</f>
        <v>-12200</v>
      </c>
      <c r="H134" s="0" t="n">
        <f aca="false">G134*D134*Settings!$B$4</f>
        <v>-0</v>
      </c>
      <c r="I134" s="0" t="n">
        <f aca="false">CurrentPositions!I129</f>
        <v>0</v>
      </c>
      <c r="J134" s="0" t="n">
        <f aca="false">CurrentPositions!J129</f>
        <v>0</v>
      </c>
    </row>
    <row r="135" customFormat="false" ht="13.8" hidden="false" customHeight="false" outlineLevel="0" collapsed="false">
      <c r="A135" s="0" t="n">
        <f aca="false">CurrentPositions!A130</f>
        <v>0</v>
      </c>
      <c r="B135" s="0" t="n">
        <f aca="false">CurrentPositions!B130</f>
        <v>0</v>
      </c>
      <c r="C135" s="0" t="n">
        <f aca="false">CurrentPositions!C130</f>
        <v>0</v>
      </c>
      <c r="D135" s="0" t="n">
        <f aca="false">CurrentPositions!D130</f>
        <v>0</v>
      </c>
      <c r="E135" s="0" t="n">
        <f aca="false">CurrentPositions!E130</f>
        <v>0</v>
      </c>
      <c r="F135" s="0" t="n">
        <f aca="false">$B$4</f>
        <v>1.22</v>
      </c>
      <c r="G135" s="0" t="n">
        <f aca="false">IF(B135="BUY",(F135-E135)/Settings!$B$3,(E135-F135)/Settings!$B$3)</f>
        <v>-12200</v>
      </c>
      <c r="H135" s="0" t="n">
        <f aca="false">G135*D135*Settings!$B$4</f>
        <v>-0</v>
      </c>
      <c r="I135" s="0" t="n">
        <f aca="false">CurrentPositions!I130</f>
        <v>0</v>
      </c>
      <c r="J135" s="0" t="n">
        <f aca="false">CurrentPositions!J130</f>
        <v>0</v>
      </c>
    </row>
    <row r="136" customFormat="false" ht="13.8" hidden="false" customHeight="false" outlineLevel="0" collapsed="false">
      <c r="A136" s="0" t="n">
        <f aca="false">CurrentPositions!A131</f>
        <v>0</v>
      </c>
      <c r="B136" s="0" t="n">
        <f aca="false">CurrentPositions!B131</f>
        <v>0</v>
      </c>
      <c r="C136" s="0" t="n">
        <f aca="false">CurrentPositions!C131</f>
        <v>0</v>
      </c>
      <c r="D136" s="0" t="n">
        <f aca="false">CurrentPositions!D131</f>
        <v>0</v>
      </c>
      <c r="E136" s="0" t="n">
        <f aca="false">CurrentPositions!E131</f>
        <v>0</v>
      </c>
      <c r="F136" s="0" t="n">
        <f aca="false">$B$4</f>
        <v>1.22</v>
      </c>
      <c r="G136" s="0" t="n">
        <f aca="false">IF(B136="BUY",(F136-E136)/Settings!$B$3,(E136-F136)/Settings!$B$3)</f>
        <v>-12200</v>
      </c>
      <c r="H136" s="0" t="n">
        <f aca="false">G136*D136*Settings!$B$4</f>
        <v>-0</v>
      </c>
      <c r="I136" s="0" t="n">
        <f aca="false">CurrentPositions!I131</f>
        <v>0</v>
      </c>
      <c r="J136" s="0" t="n">
        <f aca="false">CurrentPositions!J131</f>
        <v>0</v>
      </c>
    </row>
    <row r="137" customFormat="false" ht="13.8" hidden="false" customHeight="false" outlineLevel="0" collapsed="false">
      <c r="A137" s="0" t="n">
        <f aca="false">CurrentPositions!A132</f>
        <v>0</v>
      </c>
      <c r="B137" s="0" t="n">
        <f aca="false">CurrentPositions!B132</f>
        <v>0</v>
      </c>
      <c r="C137" s="0" t="n">
        <f aca="false">CurrentPositions!C132</f>
        <v>0</v>
      </c>
      <c r="D137" s="0" t="n">
        <f aca="false">CurrentPositions!D132</f>
        <v>0</v>
      </c>
      <c r="E137" s="0" t="n">
        <f aca="false">CurrentPositions!E132</f>
        <v>0</v>
      </c>
      <c r="F137" s="0" t="n">
        <f aca="false">$B$4</f>
        <v>1.22</v>
      </c>
      <c r="G137" s="0" t="n">
        <f aca="false">IF(B137="BUY",(F137-E137)/Settings!$B$3,(E137-F137)/Settings!$B$3)</f>
        <v>-12200</v>
      </c>
      <c r="H137" s="0" t="n">
        <f aca="false">G137*D137*Settings!$B$4</f>
        <v>-0</v>
      </c>
      <c r="I137" s="0" t="n">
        <f aca="false">CurrentPositions!I132</f>
        <v>0</v>
      </c>
      <c r="J137" s="0" t="n">
        <f aca="false">CurrentPositions!J132</f>
        <v>0</v>
      </c>
    </row>
    <row r="138" customFormat="false" ht="13.8" hidden="false" customHeight="false" outlineLevel="0" collapsed="false">
      <c r="A138" s="0" t="n">
        <f aca="false">CurrentPositions!A133</f>
        <v>0</v>
      </c>
      <c r="B138" s="0" t="n">
        <f aca="false">CurrentPositions!B133</f>
        <v>0</v>
      </c>
      <c r="C138" s="0" t="n">
        <f aca="false">CurrentPositions!C133</f>
        <v>0</v>
      </c>
      <c r="D138" s="0" t="n">
        <f aca="false">CurrentPositions!D133</f>
        <v>0</v>
      </c>
      <c r="E138" s="0" t="n">
        <f aca="false">CurrentPositions!E133</f>
        <v>0</v>
      </c>
      <c r="F138" s="0" t="n">
        <f aca="false">$B$4</f>
        <v>1.22</v>
      </c>
      <c r="G138" s="0" t="n">
        <f aca="false">IF(B138="BUY",(F138-E138)/Settings!$B$3,(E138-F138)/Settings!$B$3)</f>
        <v>-12200</v>
      </c>
      <c r="H138" s="0" t="n">
        <f aca="false">G138*D138*Settings!$B$4</f>
        <v>-0</v>
      </c>
      <c r="I138" s="0" t="n">
        <f aca="false">CurrentPositions!I133</f>
        <v>0</v>
      </c>
      <c r="J138" s="0" t="n">
        <f aca="false">CurrentPositions!J133</f>
        <v>0</v>
      </c>
    </row>
    <row r="139" customFormat="false" ht="13.8" hidden="false" customHeight="false" outlineLevel="0" collapsed="false">
      <c r="A139" s="0" t="n">
        <f aca="false">CurrentPositions!A134</f>
        <v>0</v>
      </c>
      <c r="B139" s="0" t="n">
        <f aca="false">CurrentPositions!B134</f>
        <v>0</v>
      </c>
      <c r="C139" s="0" t="n">
        <f aca="false">CurrentPositions!C134</f>
        <v>0</v>
      </c>
      <c r="D139" s="0" t="n">
        <f aca="false">CurrentPositions!D134</f>
        <v>0</v>
      </c>
      <c r="E139" s="0" t="n">
        <f aca="false">CurrentPositions!E134</f>
        <v>0</v>
      </c>
      <c r="F139" s="0" t="n">
        <f aca="false">$B$4</f>
        <v>1.22</v>
      </c>
      <c r="G139" s="0" t="n">
        <f aca="false">IF(B139="BUY",(F139-E139)/Settings!$B$3,(E139-F139)/Settings!$B$3)</f>
        <v>-12200</v>
      </c>
      <c r="H139" s="0" t="n">
        <f aca="false">G139*D139*Settings!$B$4</f>
        <v>-0</v>
      </c>
      <c r="I139" s="0" t="n">
        <f aca="false">CurrentPositions!I134</f>
        <v>0</v>
      </c>
      <c r="J139" s="0" t="n">
        <f aca="false">CurrentPositions!J134</f>
        <v>0</v>
      </c>
    </row>
    <row r="140" customFormat="false" ht="13.8" hidden="false" customHeight="false" outlineLevel="0" collapsed="false">
      <c r="A140" s="0" t="n">
        <f aca="false">CurrentPositions!A135</f>
        <v>0</v>
      </c>
      <c r="B140" s="0" t="n">
        <f aca="false">CurrentPositions!B135</f>
        <v>0</v>
      </c>
      <c r="C140" s="0" t="n">
        <f aca="false">CurrentPositions!C135</f>
        <v>0</v>
      </c>
      <c r="D140" s="0" t="n">
        <f aca="false">CurrentPositions!D135</f>
        <v>0</v>
      </c>
      <c r="E140" s="0" t="n">
        <f aca="false">CurrentPositions!E135</f>
        <v>0</v>
      </c>
      <c r="F140" s="0" t="n">
        <f aca="false">$B$4</f>
        <v>1.22</v>
      </c>
      <c r="G140" s="0" t="n">
        <f aca="false">IF(B140="BUY",(F140-E140)/Settings!$B$3,(E140-F140)/Settings!$B$3)</f>
        <v>-12200</v>
      </c>
      <c r="H140" s="0" t="n">
        <f aca="false">G140*D140*Settings!$B$4</f>
        <v>-0</v>
      </c>
      <c r="I140" s="0" t="n">
        <f aca="false">CurrentPositions!I135</f>
        <v>0</v>
      </c>
      <c r="J140" s="0" t="n">
        <f aca="false">CurrentPositions!J135</f>
        <v>0</v>
      </c>
    </row>
    <row r="141" customFormat="false" ht="13.8" hidden="false" customHeight="false" outlineLevel="0" collapsed="false">
      <c r="A141" s="0" t="n">
        <f aca="false">CurrentPositions!A136</f>
        <v>0</v>
      </c>
      <c r="B141" s="0" t="n">
        <f aca="false">CurrentPositions!B136</f>
        <v>0</v>
      </c>
      <c r="C141" s="0" t="n">
        <f aca="false">CurrentPositions!C136</f>
        <v>0</v>
      </c>
      <c r="D141" s="0" t="n">
        <f aca="false">CurrentPositions!D136</f>
        <v>0</v>
      </c>
      <c r="E141" s="0" t="n">
        <f aca="false">CurrentPositions!E136</f>
        <v>0</v>
      </c>
      <c r="F141" s="0" t="n">
        <f aca="false">$B$4</f>
        <v>1.22</v>
      </c>
      <c r="G141" s="0" t="n">
        <f aca="false">IF(B141="BUY",(F141-E141)/Settings!$B$3,(E141-F141)/Settings!$B$3)</f>
        <v>-12200</v>
      </c>
      <c r="H141" s="0" t="n">
        <f aca="false">G141*D141*Settings!$B$4</f>
        <v>-0</v>
      </c>
      <c r="I141" s="0" t="n">
        <f aca="false">CurrentPositions!I136</f>
        <v>0</v>
      </c>
      <c r="J141" s="0" t="n">
        <f aca="false">CurrentPositions!J136</f>
        <v>0</v>
      </c>
    </row>
    <row r="142" customFormat="false" ht="13.8" hidden="false" customHeight="false" outlineLevel="0" collapsed="false">
      <c r="A142" s="0" t="n">
        <f aca="false">CurrentPositions!A137</f>
        <v>0</v>
      </c>
      <c r="B142" s="0" t="n">
        <f aca="false">CurrentPositions!B137</f>
        <v>0</v>
      </c>
      <c r="C142" s="0" t="n">
        <f aca="false">CurrentPositions!C137</f>
        <v>0</v>
      </c>
      <c r="D142" s="0" t="n">
        <f aca="false">CurrentPositions!D137</f>
        <v>0</v>
      </c>
      <c r="E142" s="0" t="n">
        <f aca="false">CurrentPositions!E137</f>
        <v>0</v>
      </c>
      <c r="F142" s="0" t="n">
        <f aca="false">$B$4</f>
        <v>1.22</v>
      </c>
      <c r="G142" s="0" t="n">
        <f aca="false">IF(B142="BUY",(F142-E142)/Settings!$B$3,(E142-F142)/Settings!$B$3)</f>
        <v>-12200</v>
      </c>
      <c r="H142" s="0" t="n">
        <f aca="false">G142*D142*Settings!$B$4</f>
        <v>-0</v>
      </c>
      <c r="I142" s="0" t="n">
        <f aca="false">CurrentPositions!I137</f>
        <v>0</v>
      </c>
      <c r="J142" s="0" t="n">
        <f aca="false">CurrentPositions!J137</f>
        <v>0</v>
      </c>
    </row>
    <row r="143" customFormat="false" ht="13.8" hidden="false" customHeight="false" outlineLevel="0" collapsed="false">
      <c r="A143" s="0" t="n">
        <f aca="false">CurrentPositions!A138</f>
        <v>0</v>
      </c>
      <c r="B143" s="0" t="n">
        <f aca="false">CurrentPositions!B138</f>
        <v>0</v>
      </c>
      <c r="C143" s="0" t="n">
        <f aca="false">CurrentPositions!C138</f>
        <v>0</v>
      </c>
      <c r="D143" s="0" t="n">
        <f aca="false">CurrentPositions!D138</f>
        <v>0</v>
      </c>
      <c r="E143" s="0" t="n">
        <f aca="false">CurrentPositions!E138</f>
        <v>0</v>
      </c>
      <c r="F143" s="0" t="n">
        <f aca="false">$B$4</f>
        <v>1.22</v>
      </c>
      <c r="G143" s="0" t="n">
        <f aca="false">IF(B143="BUY",(F143-E143)/Settings!$B$3,(E143-F143)/Settings!$B$3)</f>
        <v>-12200</v>
      </c>
      <c r="H143" s="0" t="n">
        <f aca="false">G143*D143*Settings!$B$4</f>
        <v>-0</v>
      </c>
      <c r="I143" s="0" t="n">
        <f aca="false">CurrentPositions!I138</f>
        <v>0</v>
      </c>
      <c r="J143" s="0" t="n">
        <f aca="false">CurrentPositions!J138</f>
        <v>0</v>
      </c>
    </row>
    <row r="144" customFormat="false" ht="13.8" hidden="false" customHeight="false" outlineLevel="0" collapsed="false">
      <c r="A144" s="0" t="n">
        <f aca="false">CurrentPositions!A139</f>
        <v>0</v>
      </c>
      <c r="B144" s="0" t="n">
        <f aca="false">CurrentPositions!B139</f>
        <v>0</v>
      </c>
      <c r="C144" s="0" t="n">
        <f aca="false">CurrentPositions!C139</f>
        <v>0</v>
      </c>
      <c r="D144" s="0" t="n">
        <f aca="false">CurrentPositions!D139</f>
        <v>0</v>
      </c>
      <c r="E144" s="0" t="n">
        <f aca="false">CurrentPositions!E139</f>
        <v>0</v>
      </c>
      <c r="F144" s="0" t="n">
        <f aca="false">$B$4</f>
        <v>1.22</v>
      </c>
      <c r="G144" s="0" t="n">
        <f aca="false">IF(B144="BUY",(F144-E144)/Settings!$B$3,(E144-F144)/Settings!$B$3)</f>
        <v>-12200</v>
      </c>
      <c r="H144" s="0" t="n">
        <f aca="false">G144*D144*Settings!$B$4</f>
        <v>-0</v>
      </c>
      <c r="I144" s="0" t="n">
        <f aca="false">CurrentPositions!I139</f>
        <v>0</v>
      </c>
      <c r="J144" s="0" t="n">
        <f aca="false">CurrentPositions!J139</f>
        <v>0</v>
      </c>
    </row>
    <row r="145" customFormat="false" ht="13.8" hidden="false" customHeight="false" outlineLevel="0" collapsed="false">
      <c r="A145" s="0" t="n">
        <f aca="false">CurrentPositions!A140</f>
        <v>0</v>
      </c>
      <c r="B145" s="0" t="n">
        <f aca="false">CurrentPositions!B140</f>
        <v>0</v>
      </c>
      <c r="C145" s="0" t="n">
        <f aca="false">CurrentPositions!C140</f>
        <v>0</v>
      </c>
      <c r="D145" s="0" t="n">
        <f aca="false">CurrentPositions!D140</f>
        <v>0</v>
      </c>
      <c r="E145" s="0" t="n">
        <f aca="false">CurrentPositions!E140</f>
        <v>0</v>
      </c>
      <c r="F145" s="0" t="n">
        <f aca="false">$B$4</f>
        <v>1.22</v>
      </c>
      <c r="G145" s="0" t="n">
        <f aca="false">IF(B145="BUY",(F145-E145)/Settings!$B$3,(E145-F145)/Settings!$B$3)</f>
        <v>-12200</v>
      </c>
      <c r="H145" s="0" t="n">
        <f aca="false">G145*D145*Settings!$B$4</f>
        <v>-0</v>
      </c>
      <c r="I145" s="0" t="n">
        <f aca="false">CurrentPositions!I140</f>
        <v>0</v>
      </c>
      <c r="J145" s="0" t="n">
        <f aca="false">CurrentPositions!J140</f>
        <v>0</v>
      </c>
    </row>
    <row r="146" customFormat="false" ht="13.8" hidden="false" customHeight="false" outlineLevel="0" collapsed="false">
      <c r="A146" s="0" t="n">
        <f aca="false">CurrentPositions!A141</f>
        <v>0</v>
      </c>
      <c r="B146" s="0" t="n">
        <f aca="false">CurrentPositions!B141</f>
        <v>0</v>
      </c>
      <c r="C146" s="0" t="n">
        <f aca="false">CurrentPositions!C141</f>
        <v>0</v>
      </c>
      <c r="D146" s="0" t="n">
        <f aca="false">CurrentPositions!D141</f>
        <v>0</v>
      </c>
      <c r="E146" s="0" t="n">
        <f aca="false">CurrentPositions!E141</f>
        <v>0</v>
      </c>
      <c r="F146" s="0" t="n">
        <f aca="false">$B$4</f>
        <v>1.22</v>
      </c>
      <c r="G146" s="0" t="n">
        <f aca="false">IF(B146="BUY",(F146-E146)/Settings!$B$3,(E146-F146)/Settings!$B$3)</f>
        <v>-12200</v>
      </c>
      <c r="H146" s="0" t="n">
        <f aca="false">G146*D146*Settings!$B$4</f>
        <v>-0</v>
      </c>
      <c r="I146" s="0" t="n">
        <f aca="false">CurrentPositions!I141</f>
        <v>0</v>
      </c>
      <c r="J146" s="0" t="n">
        <f aca="false">CurrentPositions!J141</f>
        <v>0</v>
      </c>
    </row>
    <row r="147" customFormat="false" ht="13.8" hidden="false" customHeight="false" outlineLevel="0" collapsed="false">
      <c r="A147" s="0" t="n">
        <f aca="false">CurrentPositions!A142</f>
        <v>0</v>
      </c>
      <c r="B147" s="0" t="n">
        <f aca="false">CurrentPositions!B142</f>
        <v>0</v>
      </c>
      <c r="C147" s="0" t="n">
        <f aca="false">CurrentPositions!C142</f>
        <v>0</v>
      </c>
      <c r="D147" s="0" t="n">
        <f aca="false">CurrentPositions!D142</f>
        <v>0</v>
      </c>
      <c r="E147" s="0" t="n">
        <f aca="false">CurrentPositions!E142</f>
        <v>0</v>
      </c>
      <c r="F147" s="0" t="n">
        <f aca="false">$B$4</f>
        <v>1.22</v>
      </c>
      <c r="G147" s="0" t="n">
        <f aca="false">IF(B147="BUY",(F147-E147)/Settings!$B$3,(E147-F147)/Settings!$B$3)</f>
        <v>-12200</v>
      </c>
      <c r="H147" s="0" t="n">
        <f aca="false">G147*D147*Settings!$B$4</f>
        <v>-0</v>
      </c>
      <c r="I147" s="0" t="n">
        <f aca="false">CurrentPositions!I142</f>
        <v>0</v>
      </c>
      <c r="J147" s="0" t="n">
        <f aca="false">CurrentPositions!J142</f>
        <v>0</v>
      </c>
    </row>
    <row r="148" customFormat="false" ht="13.8" hidden="false" customHeight="false" outlineLevel="0" collapsed="false">
      <c r="A148" s="0" t="n">
        <f aca="false">CurrentPositions!A143</f>
        <v>0</v>
      </c>
      <c r="B148" s="0" t="n">
        <f aca="false">CurrentPositions!B143</f>
        <v>0</v>
      </c>
      <c r="C148" s="0" t="n">
        <f aca="false">CurrentPositions!C143</f>
        <v>0</v>
      </c>
      <c r="D148" s="0" t="n">
        <f aca="false">CurrentPositions!D143</f>
        <v>0</v>
      </c>
      <c r="E148" s="0" t="n">
        <f aca="false">CurrentPositions!E143</f>
        <v>0</v>
      </c>
      <c r="F148" s="0" t="n">
        <f aca="false">$B$4</f>
        <v>1.22</v>
      </c>
      <c r="G148" s="0" t="n">
        <f aca="false">IF(B148="BUY",(F148-E148)/Settings!$B$3,(E148-F148)/Settings!$B$3)</f>
        <v>-12200</v>
      </c>
      <c r="H148" s="0" t="n">
        <f aca="false">G148*D148*Settings!$B$4</f>
        <v>-0</v>
      </c>
      <c r="I148" s="0" t="n">
        <f aca="false">CurrentPositions!I143</f>
        <v>0</v>
      </c>
      <c r="J148" s="0" t="n">
        <f aca="false">CurrentPositions!J143</f>
        <v>0</v>
      </c>
    </row>
    <row r="149" customFormat="false" ht="13.8" hidden="false" customHeight="false" outlineLevel="0" collapsed="false">
      <c r="A149" s="0" t="n">
        <f aca="false">CurrentPositions!A144</f>
        <v>0</v>
      </c>
      <c r="B149" s="0" t="n">
        <f aca="false">CurrentPositions!B144</f>
        <v>0</v>
      </c>
      <c r="C149" s="0" t="n">
        <f aca="false">CurrentPositions!C144</f>
        <v>0</v>
      </c>
      <c r="D149" s="0" t="n">
        <f aca="false">CurrentPositions!D144</f>
        <v>0</v>
      </c>
      <c r="E149" s="0" t="n">
        <f aca="false">CurrentPositions!E144</f>
        <v>0</v>
      </c>
      <c r="F149" s="0" t="n">
        <f aca="false">$B$4</f>
        <v>1.22</v>
      </c>
      <c r="G149" s="0" t="n">
        <f aca="false">IF(B149="BUY",(F149-E149)/Settings!$B$3,(E149-F149)/Settings!$B$3)</f>
        <v>-12200</v>
      </c>
      <c r="H149" s="0" t="n">
        <f aca="false">G149*D149*Settings!$B$4</f>
        <v>-0</v>
      </c>
      <c r="I149" s="0" t="n">
        <f aca="false">CurrentPositions!I144</f>
        <v>0</v>
      </c>
      <c r="J149" s="0" t="n">
        <f aca="false">CurrentPositions!J144</f>
        <v>0</v>
      </c>
    </row>
    <row r="150" customFormat="false" ht="13.8" hidden="false" customHeight="false" outlineLevel="0" collapsed="false">
      <c r="A150" s="0" t="n">
        <f aca="false">CurrentPositions!A145</f>
        <v>0</v>
      </c>
      <c r="B150" s="0" t="n">
        <f aca="false">CurrentPositions!B145</f>
        <v>0</v>
      </c>
      <c r="C150" s="0" t="n">
        <f aca="false">CurrentPositions!C145</f>
        <v>0</v>
      </c>
      <c r="D150" s="0" t="n">
        <f aca="false">CurrentPositions!D145</f>
        <v>0</v>
      </c>
      <c r="E150" s="0" t="n">
        <f aca="false">CurrentPositions!E145</f>
        <v>0</v>
      </c>
      <c r="F150" s="0" t="n">
        <f aca="false">$B$4</f>
        <v>1.22</v>
      </c>
      <c r="G150" s="0" t="n">
        <f aca="false">IF(B150="BUY",(F150-E150)/Settings!$B$3,(E150-F150)/Settings!$B$3)</f>
        <v>-12200</v>
      </c>
      <c r="H150" s="0" t="n">
        <f aca="false">G150*D150*Settings!$B$4</f>
        <v>-0</v>
      </c>
      <c r="I150" s="0" t="n">
        <f aca="false">CurrentPositions!I145</f>
        <v>0</v>
      </c>
      <c r="J150" s="0" t="n">
        <f aca="false">CurrentPositions!J145</f>
        <v>0</v>
      </c>
    </row>
    <row r="151" customFormat="false" ht="13.8" hidden="false" customHeight="false" outlineLevel="0" collapsed="false">
      <c r="A151" s="0" t="n">
        <f aca="false">CurrentPositions!A146</f>
        <v>0</v>
      </c>
      <c r="B151" s="0" t="n">
        <f aca="false">CurrentPositions!B146</f>
        <v>0</v>
      </c>
      <c r="C151" s="0" t="n">
        <f aca="false">CurrentPositions!C146</f>
        <v>0</v>
      </c>
      <c r="D151" s="0" t="n">
        <f aca="false">CurrentPositions!D146</f>
        <v>0</v>
      </c>
      <c r="E151" s="0" t="n">
        <f aca="false">CurrentPositions!E146</f>
        <v>0</v>
      </c>
      <c r="F151" s="0" t="n">
        <f aca="false">$B$4</f>
        <v>1.22</v>
      </c>
      <c r="G151" s="0" t="n">
        <f aca="false">IF(B151="BUY",(F151-E151)/Settings!$B$3,(E151-F151)/Settings!$B$3)</f>
        <v>-12200</v>
      </c>
      <c r="H151" s="0" t="n">
        <f aca="false">G151*D151*Settings!$B$4</f>
        <v>-0</v>
      </c>
      <c r="I151" s="0" t="n">
        <f aca="false">CurrentPositions!I146</f>
        <v>0</v>
      </c>
      <c r="J151" s="0" t="n">
        <f aca="false">CurrentPositions!J146</f>
        <v>0</v>
      </c>
    </row>
    <row r="152" customFormat="false" ht="13.8" hidden="false" customHeight="false" outlineLevel="0" collapsed="false">
      <c r="A152" s="0" t="n">
        <f aca="false">CurrentPositions!A147</f>
        <v>0</v>
      </c>
      <c r="B152" s="0" t="n">
        <f aca="false">CurrentPositions!B147</f>
        <v>0</v>
      </c>
      <c r="C152" s="0" t="n">
        <f aca="false">CurrentPositions!C147</f>
        <v>0</v>
      </c>
      <c r="D152" s="0" t="n">
        <f aca="false">CurrentPositions!D147</f>
        <v>0</v>
      </c>
      <c r="E152" s="0" t="n">
        <f aca="false">CurrentPositions!E147</f>
        <v>0</v>
      </c>
      <c r="F152" s="0" t="n">
        <f aca="false">$B$4</f>
        <v>1.22</v>
      </c>
      <c r="G152" s="0" t="n">
        <f aca="false">IF(B152="BUY",(F152-E152)/Settings!$B$3,(E152-F152)/Settings!$B$3)</f>
        <v>-12200</v>
      </c>
      <c r="H152" s="0" t="n">
        <f aca="false">G152*D152*Settings!$B$4</f>
        <v>-0</v>
      </c>
      <c r="I152" s="0" t="n">
        <f aca="false">CurrentPositions!I147</f>
        <v>0</v>
      </c>
      <c r="J152" s="0" t="n">
        <f aca="false">CurrentPositions!J147</f>
        <v>0</v>
      </c>
    </row>
    <row r="153" customFormat="false" ht="13.8" hidden="false" customHeight="false" outlineLevel="0" collapsed="false">
      <c r="A153" s="0" t="n">
        <f aca="false">CurrentPositions!A148</f>
        <v>0</v>
      </c>
      <c r="B153" s="0" t="n">
        <f aca="false">CurrentPositions!B148</f>
        <v>0</v>
      </c>
      <c r="C153" s="0" t="n">
        <f aca="false">CurrentPositions!C148</f>
        <v>0</v>
      </c>
      <c r="D153" s="0" t="n">
        <f aca="false">CurrentPositions!D148</f>
        <v>0</v>
      </c>
      <c r="E153" s="0" t="n">
        <f aca="false">CurrentPositions!E148</f>
        <v>0</v>
      </c>
      <c r="F153" s="0" t="n">
        <f aca="false">$B$4</f>
        <v>1.22</v>
      </c>
      <c r="G153" s="0" t="n">
        <f aca="false">IF(B153="BUY",(F153-E153)/Settings!$B$3,(E153-F153)/Settings!$B$3)</f>
        <v>-12200</v>
      </c>
      <c r="H153" s="0" t="n">
        <f aca="false">G153*D153*Settings!$B$4</f>
        <v>-0</v>
      </c>
      <c r="I153" s="0" t="n">
        <f aca="false">CurrentPositions!I148</f>
        <v>0</v>
      </c>
      <c r="J153" s="0" t="n">
        <f aca="false">CurrentPositions!J148</f>
        <v>0</v>
      </c>
    </row>
    <row r="154" customFormat="false" ht="13.8" hidden="false" customHeight="false" outlineLevel="0" collapsed="false">
      <c r="A154" s="0" t="n">
        <f aca="false">CurrentPositions!A149</f>
        <v>0</v>
      </c>
      <c r="B154" s="0" t="n">
        <f aca="false">CurrentPositions!B149</f>
        <v>0</v>
      </c>
      <c r="C154" s="0" t="n">
        <f aca="false">CurrentPositions!C149</f>
        <v>0</v>
      </c>
      <c r="D154" s="0" t="n">
        <f aca="false">CurrentPositions!D149</f>
        <v>0</v>
      </c>
      <c r="E154" s="0" t="n">
        <f aca="false">CurrentPositions!E149</f>
        <v>0</v>
      </c>
      <c r="F154" s="0" t="n">
        <f aca="false">$B$4</f>
        <v>1.22</v>
      </c>
      <c r="G154" s="0" t="n">
        <f aca="false">IF(B154="BUY",(F154-E154)/Settings!$B$3,(E154-F154)/Settings!$B$3)</f>
        <v>-12200</v>
      </c>
      <c r="H154" s="0" t="n">
        <f aca="false">G154*D154*Settings!$B$4</f>
        <v>-0</v>
      </c>
      <c r="I154" s="0" t="n">
        <f aca="false">CurrentPositions!I149</f>
        <v>0</v>
      </c>
      <c r="J154" s="0" t="n">
        <f aca="false">CurrentPositions!J149</f>
        <v>0</v>
      </c>
    </row>
    <row r="155" customFormat="false" ht="13.8" hidden="false" customHeight="false" outlineLevel="0" collapsed="false">
      <c r="A155" s="0" t="n">
        <f aca="false">CurrentPositions!A150</f>
        <v>0</v>
      </c>
      <c r="B155" s="0" t="n">
        <f aca="false">CurrentPositions!B150</f>
        <v>0</v>
      </c>
      <c r="C155" s="0" t="n">
        <f aca="false">CurrentPositions!C150</f>
        <v>0</v>
      </c>
      <c r="D155" s="0" t="n">
        <f aca="false">CurrentPositions!D150</f>
        <v>0</v>
      </c>
      <c r="E155" s="0" t="n">
        <f aca="false">CurrentPositions!E150</f>
        <v>0</v>
      </c>
      <c r="F155" s="0" t="n">
        <f aca="false">$B$4</f>
        <v>1.22</v>
      </c>
      <c r="G155" s="0" t="n">
        <f aca="false">IF(B155="BUY",(F155-E155)/Settings!$B$3,(E155-F155)/Settings!$B$3)</f>
        <v>-12200</v>
      </c>
      <c r="H155" s="0" t="n">
        <f aca="false">G155*D155*Settings!$B$4</f>
        <v>-0</v>
      </c>
      <c r="I155" s="0" t="n">
        <f aca="false">CurrentPositions!I150</f>
        <v>0</v>
      </c>
      <c r="J155" s="0" t="n">
        <f aca="false">CurrentPositions!J150</f>
        <v>0</v>
      </c>
    </row>
    <row r="156" customFormat="false" ht="13.8" hidden="false" customHeight="false" outlineLevel="0" collapsed="false">
      <c r="A156" s="0" t="n">
        <f aca="false">CurrentPositions!A151</f>
        <v>0</v>
      </c>
      <c r="B156" s="0" t="n">
        <f aca="false">CurrentPositions!B151</f>
        <v>0</v>
      </c>
      <c r="C156" s="0" t="n">
        <f aca="false">CurrentPositions!C151</f>
        <v>0</v>
      </c>
      <c r="D156" s="0" t="n">
        <f aca="false">CurrentPositions!D151</f>
        <v>0</v>
      </c>
      <c r="E156" s="0" t="n">
        <f aca="false">CurrentPositions!E151</f>
        <v>0</v>
      </c>
      <c r="F156" s="0" t="n">
        <f aca="false">$B$4</f>
        <v>1.22</v>
      </c>
      <c r="G156" s="0" t="n">
        <f aca="false">IF(B156="BUY",(F156-E156)/Settings!$B$3,(E156-F156)/Settings!$B$3)</f>
        <v>-12200</v>
      </c>
      <c r="H156" s="0" t="n">
        <f aca="false">G156*D156*Settings!$B$4</f>
        <v>-0</v>
      </c>
      <c r="I156" s="0" t="n">
        <f aca="false">CurrentPositions!I151</f>
        <v>0</v>
      </c>
      <c r="J156" s="0" t="n">
        <f aca="false">CurrentPositions!J151</f>
        <v>0</v>
      </c>
    </row>
    <row r="157" customFormat="false" ht="13.8" hidden="false" customHeight="false" outlineLevel="0" collapsed="false">
      <c r="A157" s="0" t="n">
        <f aca="false">CurrentPositions!A152</f>
        <v>0</v>
      </c>
      <c r="B157" s="0" t="n">
        <f aca="false">CurrentPositions!B152</f>
        <v>0</v>
      </c>
      <c r="C157" s="0" t="n">
        <f aca="false">CurrentPositions!C152</f>
        <v>0</v>
      </c>
      <c r="D157" s="0" t="n">
        <f aca="false">CurrentPositions!D152</f>
        <v>0</v>
      </c>
      <c r="E157" s="0" t="n">
        <f aca="false">CurrentPositions!E152</f>
        <v>0</v>
      </c>
      <c r="F157" s="0" t="n">
        <f aca="false">$B$4</f>
        <v>1.22</v>
      </c>
      <c r="G157" s="0" t="n">
        <f aca="false">IF(B157="BUY",(F157-E157)/Settings!$B$3,(E157-F157)/Settings!$B$3)</f>
        <v>-12200</v>
      </c>
      <c r="H157" s="0" t="n">
        <f aca="false">G157*D157*Settings!$B$4</f>
        <v>-0</v>
      </c>
      <c r="I157" s="0" t="n">
        <f aca="false">CurrentPositions!I152</f>
        <v>0</v>
      </c>
      <c r="J157" s="0" t="n">
        <f aca="false">CurrentPositions!J152</f>
        <v>0</v>
      </c>
    </row>
    <row r="158" customFormat="false" ht="13.8" hidden="false" customHeight="false" outlineLevel="0" collapsed="false">
      <c r="A158" s="0" t="n">
        <f aca="false">CurrentPositions!A153</f>
        <v>0</v>
      </c>
      <c r="B158" s="0" t="n">
        <f aca="false">CurrentPositions!B153</f>
        <v>0</v>
      </c>
      <c r="C158" s="0" t="n">
        <f aca="false">CurrentPositions!C153</f>
        <v>0</v>
      </c>
      <c r="D158" s="0" t="n">
        <f aca="false">CurrentPositions!D153</f>
        <v>0</v>
      </c>
      <c r="E158" s="0" t="n">
        <f aca="false">CurrentPositions!E153</f>
        <v>0</v>
      </c>
      <c r="F158" s="0" t="n">
        <f aca="false">$B$4</f>
        <v>1.22</v>
      </c>
      <c r="G158" s="0" t="n">
        <f aca="false">IF(B158="BUY",(F158-E158)/Settings!$B$3,(E158-F158)/Settings!$B$3)</f>
        <v>-12200</v>
      </c>
      <c r="H158" s="0" t="n">
        <f aca="false">G158*D158*Settings!$B$4</f>
        <v>-0</v>
      </c>
      <c r="I158" s="0" t="n">
        <f aca="false">CurrentPositions!I153</f>
        <v>0</v>
      </c>
      <c r="J158" s="0" t="n">
        <f aca="false">CurrentPositions!J153</f>
        <v>0</v>
      </c>
    </row>
    <row r="159" customFormat="false" ht="13.8" hidden="false" customHeight="false" outlineLevel="0" collapsed="false">
      <c r="A159" s="0" t="n">
        <f aca="false">CurrentPositions!A154</f>
        <v>0</v>
      </c>
      <c r="B159" s="0" t="n">
        <f aca="false">CurrentPositions!B154</f>
        <v>0</v>
      </c>
      <c r="C159" s="0" t="n">
        <f aca="false">CurrentPositions!C154</f>
        <v>0</v>
      </c>
      <c r="D159" s="0" t="n">
        <f aca="false">CurrentPositions!D154</f>
        <v>0</v>
      </c>
      <c r="E159" s="0" t="n">
        <f aca="false">CurrentPositions!E154</f>
        <v>0</v>
      </c>
      <c r="F159" s="0" t="n">
        <f aca="false">$B$4</f>
        <v>1.22</v>
      </c>
      <c r="G159" s="0" t="n">
        <f aca="false">IF(B159="BUY",(F159-E159)/Settings!$B$3,(E159-F159)/Settings!$B$3)</f>
        <v>-12200</v>
      </c>
      <c r="H159" s="0" t="n">
        <f aca="false">G159*D159*Settings!$B$4</f>
        <v>-0</v>
      </c>
      <c r="I159" s="0" t="n">
        <f aca="false">CurrentPositions!I154</f>
        <v>0</v>
      </c>
      <c r="J159" s="0" t="n">
        <f aca="false">CurrentPositions!J154</f>
        <v>0</v>
      </c>
    </row>
    <row r="160" customFormat="false" ht="13.8" hidden="false" customHeight="false" outlineLevel="0" collapsed="false">
      <c r="A160" s="0" t="n">
        <f aca="false">CurrentPositions!A155</f>
        <v>0</v>
      </c>
      <c r="B160" s="0" t="n">
        <f aca="false">CurrentPositions!B155</f>
        <v>0</v>
      </c>
      <c r="C160" s="0" t="n">
        <f aca="false">CurrentPositions!C155</f>
        <v>0</v>
      </c>
      <c r="D160" s="0" t="n">
        <f aca="false">CurrentPositions!D155</f>
        <v>0</v>
      </c>
      <c r="E160" s="0" t="n">
        <f aca="false">CurrentPositions!E155</f>
        <v>0</v>
      </c>
      <c r="F160" s="0" t="n">
        <f aca="false">$B$4</f>
        <v>1.22</v>
      </c>
      <c r="G160" s="0" t="n">
        <f aca="false">IF(B160="BUY",(F160-E160)/Settings!$B$3,(E160-F160)/Settings!$B$3)</f>
        <v>-12200</v>
      </c>
      <c r="H160" s="0" t="n">
        <f aca="false">G160*D160*Settings!$B$4</f>
        <v>-0</v>
      </c>
      <c r="I160" s="0" t="n">
        <f aca="false">CurrentPositions!I155</f>
        <v>0</v>
      </c>
      <c r="J160" s="0" t="n">
        <f aca="false">CurrentPositions!J155</f>
        <v>0</v>
      </c>
    </row>
    <row r="161" customFormat="false" ht="13.8" hidden="false" customHeight="false" outlineLevel="0" collapsed="false">
      <c r="A161" s="0" t="n">
        <f aca="false">CurrentPositions!A156</f>
        <v>0</v>
      </c>
      <c r="B161" s="0" t="n">
        <f aca="false">CurrentPositions!B156</f>
        <v>0</v>
      </c>
      <c r="C161" s="0" t="n">
        <f aca="false">CurrentPositions!C156</f>
        <v>0</v>
      </c>
      <c r="D161" s="0" t="n">
        <f aca="false">CurrentPositions!D156</f>
        <v>0</v>
      </c>
      <c r="E161" s="0" t="n">
        <f aca="false">CurrentPositions!E156</f>
        <v>0</v>
      </c>
      <c r="F161" s="0" t="n">
        <f aca="false">$B$4</f>
        <v>1.22</v>
      </c>
      <c r="G161" s="0" t="n">
        <f aca="false">IF(B161="BUY",(F161-E161)/Settings!$B$3,(E161-F161)/Settings!$B$3)</f>
        <v>-12200</v>
      </c>
      <c r="H161" s="0" t="n">
        <f aca="false">G161*D161*Settings!$B$4</f>
        <v>-0</v>
      </c>
      <c r="I161" s="0" t="n">
        <f aca="false">CurrentPositions!I156</f>
        <v>0</v>
      </c>
      <c r="J161" s="0" t="n">
        <f aca="false">CurrentPositions!J156</f>
        <v>0</v>
      </c>
    </row>
    <row r="162" customFormat="false" ht="13.8" hidden="false" customHeight="false" outlineLevel="0" collapsed="false">
      <c r="A162" s="0" t="n">
        <f aca="false">CurrentPositions!A157</f>
        <v>0</v>
      </c>
      <c r="B162" s="0" t="n">
        <f aca="false">CurrentPositions!B157</f>
        <v>0</v>
      </c>
      <c r="C162" s="0" t="n">
        <f aca="false">CurrentPositions!C157</f>
        <v>0</v>
      </c>
      <c r="D162" s="0" t="n">
        <f aca="false">CurrentPositions!D157</f>
        <v>0</v>
      </c>
      <c r="E162" s="0" t="n">
        <f aca="false">CurrentPositions!E157</f>
        <v>0</v>
      </c>
      <c r="F162" s="0" t="n">
        <f aca="false">$B$4</f>
        <v>1.22</v>
      </c>
      <c r="G162" s="0" t="n">
        <f aca="false">IF(B162="BUY",(F162-E162)/Settings!$B$3,(E162-F162)/Settings!$B$3)</f>
        <v>-12200</v>
      </c>
      <c r="H162" s="0" t="n">
        <f aca="false">G162*D162*Settings!$B$4</f>
        <v>-0</v>
      </c>
      <c r="I162" s="0" t="n">
        <f aca="false">CurrentPositions!I157</f>
        <v>0</v>
      </c>
      <c r="J162" s="0" t="n">
        <f aca="false">CurrentPositions!J157</f>
        <v>0</v>
      </c>
    </row>
    <row r="163" customFormat="false" ht="13.8" hidden="false" customHeight="false" outlineLevel="0" collapsed="false">
      <c r="A163" s="0" t="n">
        <f aca="false">CurrentPositions!A158</f>
        <v>0</v>
      </c>
      <c r="B163" s="0" t="n">
        <f aca="false">CurrentPositions!B158</f>
        <v>0</v>
      </c>
      <c r="C163" s="0" t="n">
        <f aca="false">CurrentPositions!C158</f>
        <v>0</v>
      </c>
      <c r="D163" s="0" t="n">
        <f aca="false">CurrentPositions!D158</f>
        <v>0</v>
      </c>
      <c r="E163" s="0" t="n">
        <f aca="false">CurrentPositions!E158</f>
        <v>0</v>
      </c>
      <c r="F163" s="0" t="n">
        <f aca="false">$B$4</f>
        <v>1.22</v>
      </c>
      <c r="G163" s="0" t="n">
        <f aca="false">IF(B163="BUY",(F163-E163)/Settings!$B$3,(E163-F163)/Settings!$B$3)</f>
        <v>-12200</v>
      </c>
      <c r="H163" s="0" t="n">
        <f aca="false">G163*D163*Settings!$B$4</f>
        <v>-0</v>
      </c>
      <c r="I163" s="0" t="n">
        <f aca="false">CurrentPositions!I158</f>
        <v>0</v>
      </c>
      <c r="J163" s="0" t="n">
        <f aca="false">CurrentPositions!J158</f>
        <v>0</v>
      </c>
    </row>
    <row r="164" customFormat="false" ht="13.8" hidden="false" customHeight="false" outlineLevel="0" collapsed="false">
      <c r="A164" s="0" t="n">
        <f aca="false">CurrentPositions!A159</f>
        <v>0</v>
      </c>
      <c r="B164" s="0" t="n">
        <f aca="false">CurrentPositions!B159</f>
        <v>0</v>
      </c>
      <c r="C164" s="0" t="n">
        <f aca="false">CurrentPositions!C159</f>
        <v>0</v>
      </c>
      <c r="D164" s="0" t="n">
        <f aca="false">CurrentPositions!D159</f>
        <v>0</v>
      </c>
      <c r="E164" s="0" t="n">
        <f aca="false">CurrentPositions!E159</f>
        <v>0</v>
      </c>
      <c r="F164" s="0" t="n">
        <f aca="false">$B$4</f>
        <v>1.22</v>
      </c>
      <c r="G164" s="0" t="n">
        <f aca="false">IF(B164="BUY",(F164-E164)/Settings!$B$3,(E164-F164)/Settings!$B$3)</f>
        <v>-12200</v>
      </c>
      <c r="H164" s="0" t="n">
        <f aca="false">G164*D164*Settings!$B$4</f>
        <v>-0</v>
      </c>
      <c r="I164" s="0" t="n">
        <f aca="false">CurrentPositions!I159</f>
        <v>0</v>
      </c>
      <c r="J164" s="0" t="n">
        <f aca="false">CurrentPositions!J159</f>
        <v>0</v>
      </c>
    </row>
    <row r="165" customFormat="false" ht="13.8" hidden="false" customHeight="false" outlineLevel="0" collapsed="false">
      <c r="A165" s="0" t="n">
        <f aca="false">CurrentPositions!A160</f>
        <v>0</v>
      </c>
      <c r="B165" s="0" t="n">
        <f aca="false">CurrentPositions!B160</f>
        <v>0</v>
      </c>
      <c r="C165" s="0" t="n">
        <f aca="false">CurrentPositions!C160</f>
        <v>0</v>
      </c>
      <c r="D165" s="0" t="n">
        <f aca="false">CurrentPositions!D160</f>
        <v>0</v>
      </c>
      <c r="E165" s="0" t="n">
        <f aca="false">CurrentPositions!E160</f>
        <v>0</v>
      </c>
      <c r="F165" s="0" t="n">
        <f aca="false">$B$4</f>
        <v>1.22</v>
      </c>
      <c r="G165" s="0" t="n">
        <f aca="false">IF(B165="BUY",(F165-E165)/Settings!$B$3,(E165-F165)/Settings!$B$3)</f>
        <v>-12200</v>
      </c>
      <c r="H165" s="0" t="n">
        <f aca="false">G165*D165*Settings!$B$4</f>
        <v>-0</v>
      </c>
      <c r="I165" s="0" t="n">
        <f aca="false">CurrentPositions!I160</f>
        <v>0</v>
      </c>
      <c r="J165" s="0" t="n">
        <f aca="false">CurrentPositions!J160</f>
        <v>0</v>
      </c>
    </row>
    <row r="166" customFormat="false" ht="13.8" hidden="false" customHeight="false" outlineLevel="0" collapsed="false">
      <c r="A166" s="0" t="n">
        <f aca="false">CurrentPositions!A161</f>
        <v>0</v>
      </c>
      <c r="B166" s="0" t="n">
        <f aca="false">CurrentPositions!B161</f>
        <v>0</v>
      </c>
      <c r="C166" s="0" t="n">
        <f aca="false">CurrentPositions!C161</f>
        <v>0</v>
      </c>
      <c r="D166" s="0" t="n">
        <f aca="false">CurrentPositions!D161</f>
        <v>0</v>
      </c>
      <c r="E166" s="0" t="n">
        <f aca="false">CurrentPositions!E161</f>
        <v>0</v>
      </c>
      <c r="F166" s="0" t="n">
        <f aca="false">$B$4</f>
        <v>1.22</v>
      </c>
      <c r="G166" s="0" t="n">
        <f aca="false">IF(B166="BUY",(F166-E166)/Settings!$B$3,(E166-F166)/Settings!$B$3)</f>
        <v>-12200</v>
      </c>
      <c r="H166" s="0" t="n">
        <f aca="false">G166*D166*Settings!$B$4</f>
        <v>-0</v>
      </c>
      <c r="I166" s="0" t="n">
        <f aca="false">CurrentPositions!I161</f>
        <v>0</v>
      </c>
      <c r="J166" s="0" t="n">
        <f aca="false">CurrentPositions!J161</f>
        <v>0</v>
      </c>
    </row>
    <row r="167" customFormat="false" ht="13.8" hidden="false" customHeight="false" outlineLevel="0" collapsed="false">
      <c r="A167" s="0" t="n">
        <f aca="false">CurrentPositions!A162</f>
        <v>0</v>
      </c>
      <c r="B167" s="0" t="n">
        <f aca="false">CurrentPositions!B162</f>
        <v>0</v>
      </c>
      <c r="C167" s="0" t="n">
        <f aca="false">CurrentPositions!C162</f>
        <v>0</v>
      </c>
      <c r="D167" s="0" t="n">
        <f aca="false">CurrentPositions!D162</f>
        <v>0</v>
      </c>
      <c r="E167" s="0" t="n">
        <f aca="false">CurrentPositions!E162</f>
        <v>0</v>
      </c>
      <c r="F167" s="0" t="n">
        <f aca="false">$B$4</f>
        <v>1.22</v>
      </c>
      <c r="G167" s="0" t="n">
        <f aca="false">IF(B167="BUY",(F167-E167)/Settings!$B$3,(E167-F167)/Settings!$B$3)</f>
        <v>-12200</v>
      </c>
      <c r="H167" s="0" t="n">
        <f aca="false">G167*D167*Settings!$B$4</f>
        <v>-0</v>
      </c>
      <c r="I167" s="0" t="n">
        <f aca="false">CurrentPositions!I162</f>
        <v>0</v>
      </c>
      <c r="J167" s="0" t="n">
        <f aca="false">CurrentPositions!J162</f>
        <v>0</v>
      </c>
    </row>
    <row r="168" customFormat="false" ht="13.8" hidden="false" customHeight="false" outlineLevel="0" collapsed="false">
      <c r="A168" s="0" t="n">
        <f aca="false">CurrentPositions!A163</f>
        <v>0</v>
      </c>
      <c r="B168" s="0" t="n">
        <f aca="false">CurrentPositions!B163</f>
        <v>0</v>
      </c>
      <c r="C168" s="0" t="n">
        <f aca="false">CurrentPositions!C163</f>
        <v>0</v>
      </c>
      <c r="D168" s="0" t="n">
        <f aca="false">CurrentPositions!D163</f>
        <v>0</v>
      </c>
      <c r="E168" s="0" t="n">
        <f aca="false">CurrentPositions!E163</f>
        <v>0</v>
      </c>
      <c r="F168" s="0" t="n">
        <f aca="false">$B$4</f>
        <v>1.22</v>
      </c>
      <c r="G168" s="0" t="n">
        <f aca="false">IF(B168="BUY",(F168-E168)/Settings!$B$3,(E168-F168)/Settings!$B$3)</f>
        <v>-12200</v>
      </c>
      <c r="H168" s="0" t="n">
        <f aca="false">G168*D168*Settings!$B$4</f>
        <v>-0</v>
      </c>
      <c r="I168" s="0" t="n">
        <f aca="false">CurrentPositions!I163</f>
        <v>0</v>
      </c>
      <c r="J168" s="0" t="n">
        <f aca="false">CurrentPositions!J163</f>
        <v>0</v>
      </c>
    </row>
    <row r="169" customFormat="false" ht="13.8" hidden="false" customHeight="false" outlineLevel="0" collapsed="false">
      <c r="A169" s="0" t="n">
        <f aca="false">CurrentPositions!A164</f>
        <v>0</v>
      </c>
      <c r="B169" s="0" t="n">
        <f aca="false">CurrentPositions!B164</f>
        <v>0</v>
      </c>
      <c r="C169" s="0" t="n">
        <f aca="false">CurrentPositions!C164</f>
        <v>0</v>
      </c>
      <c r="D169" s="0" t="n">
        <f aca="false">CurrentPositions!D164</f>
        <v>0</v>
      </c>
      <c r="E169" s="0" t="n">
        <f aca="false">CurrentPositions!E164</f>
        <v>0</v>
      </c>
      <c r="F169" s="0" t="n">
        <f aca="false">$B$4</f>
        <v>1.22</v>
      </c>
      <c r="G169" s="0" t="n">
        <f aca="false">IF(B169="BUY",(F169-E169)/Settings!$B$3,(E169-F169)/Settings!$B$3)</f>
        <v>-12200</v>
      </c>
      <c r="H169" s="0" t="n">
        <f aca="false">G169*D169*Settings!$B$4</f>
        <v>-0</v>
      </c>
      <c r="I169" s="0" t="n">
        <f aca="false">CurrentPositions!I164</f>
        <v>0</v>
      </c>
      <c r="J169" s="0" t="n">
        <f aca="false">CurrentPositions!J164</f>
        <v>0</v>
      </c>
    </row>
    <row r="170" customFormat="false" ht="13.8" hidden="false" customHeight="false" outlineLevel="0" collapsed="false">
      <c r="A170" s="0" t="n">
        <f aca="false">CurrentPositions!A165</f>
        <v>0</v>
      </c>
      <c r="B170" s="0" t="n">
        <f aca="false">CurrentPositions!B165</f>
        <v>0</v>
      </c>
      <c r="C170" s="0" t="n">
        <f aca="false">CurrentPositions!C165</f>
        <v>0</v>
      </c>
      <c r="D170" s="0" t="n">
        <f aca="false">CurrentPositions!D165</f>
        <v>0</v>
      </c>
      <c r="E170" s="0" t="n">
        <f aca="false">CurrentPositions!E165</f>
        <v>0</v>
      </c>
      <c r="F170" s="0" t="n">
        <f aca="false">$B$4</f>
        <v>1.22</v>
      </c>
      <c r="G170" s="0" t="n">
        <f aca="false">IF(B170="BUY",(F170-E170)/Settings!$B$3,(E170-F170)/Settings!$B$3)</f>
        <v>-12200</v>
      </c>
      <c r="H170" s="0" t="n">
        <f aca="false">G170*D170*Settings!$B$4</f>
        <v>-0</v>
      </c>
      <c r="I170" s="0" t="n">
        <f aca="false">CurrentPositions!I165</f>
        <v>0</v>
      </c>
      <c r="J170" s="0" t="n">
        <f aca="false">CurrentPositions!J165</f>
        <v>0</v>
      </c>
    </row>
    <row r="171" customFormat="false" ht="13.8" hidden="false" customHeight="false" outlineLevel="0" collapsed="false">
      <c r="A171" s="0" t="n">
        <f aca="false">CurrentPositions!A166</f>
        <v>0</v>
      </c>
      <c r="B171" s="0" t="n">
        <f aca="false">CurrentPositions!B166</f>
        <v>0</v>
      </c>
      <c r="C171" s="0" t="n">
        <f aca="false">CurrentPositions!C166</f>
        <v>0</v>
      </c>
      <c r="D171" s="0" t="n">
        <f aca="false">CurrentPositions!D166</f>
        <v>0</v>
      </c>
      <c r="E171" s="0" t="n">
        <f aca="false">CurrentPositions!E166</f>
        <v>0</v>
      </c>
      <c r="F171" s="0" t="n">
        <f aca="false">$B$4</f>
        <v>1.22</v>
      </c>
      <c r="G171" s="0" t="n">
        <f aca="false">IF(B171="BUY",(F171-E171)/Settings!$B$3,(E171-F171)/Settings!$B$3)</f>
        <v>-12200</v>
      </c>
      <c r="H171" s="0" t="n">
        <f aca="false">G171*D171*Settings!$B$4</f>
        <v>-0</v>
      </c>
      <c r="I171" s="0" t="n">
        <f aca="false">CurrentPositions!I166</f>
        <v>0</v>
      </c>
      <c r="J171" s="0" t="n">
        <f aca="false">CurrentPositions!J166</f>
        <v>0</v>
      </c>
    </row>
    <row r="172" customFormat="false" ht="13.8" hidden="false" customHeight="false" outlineLevel="0" collapsed="false">
      <c r="A172" s="0" t="n">
        <f aca="false">CurrentPositions!A167</f>
        <v>0</v>
      </c>
      <c r="B172" s="0" t="n">
        <f aca="false">CurrentPositions!B167</f>
        <v>0</v>
      </c>
      <c r="C172" s="0" t="n">
        <f aca="false">CurrentPositions!C167</f>
        <v>0</v>
      </c>
      <c r="D172" s="0" t="n">
        <f aca="false">CurrentPositions!D167</f>
        <v>0</v>
      </c>
      <c r="E172" s="0" t="n">
        <f aca="false">CurrentPositions!E167</f>
        <v>0</v>
      </c>
      <c r="F172" s="0" t="n">
        <f aca="false">$B$4</f>
        <v>1.22</v>
      </c>
      <c r="G172" s="0" t="n">
        <f aca="false">IF(B172="BUY",(F172-E172)/Settings!$B$3,(E172-F172)/Settings!$B$3)</f>
        <v>-12200</v>
      </c>
      <c r="H172" s="0" t="n">
        <f aca="false">G172*D172*Settings!$B$4</f>
        <v>-0</v>
      </c>
      <c r="I172" s="0" t="n">
        <f aca="false">CurrentPositions!I167</f>
        <v>0</v>
      </c>
      <c r="J172" s="0" t="n">
        <f aca="false">CurrentPositions!J167</f>
        <v>0</v>
      </c>
    </row>
    <row r="173" customFormat="false" ht="13.8" hidden="false" customHeight="false" outlineLevel="0" collapsed="false">
      <c r="A173" s="0" t="n">
        <f aca="false">CurrentPositions!A168</f>
        <v>0</v>
      </c>
      <c r="B173" s="0" t="n">
        <f aca="false">CurrentPositions!B168</f>
        <v>0</v>
      </c>
      <c r="C173" s="0" t="n">
        <f aca="false">CurrentPositions!C168</f>
        <v>0</v>
      </c>
      <c r="D173" s="0" t="n">
        <f aca="false">CurrentPositions!D168</f>
        <v>0</v>
      </c>
      <c r="E173" s="0" t="n">
        <f aca="false">CurrentPositions!E168</f>
        <v>0</v>
      </c>
      <c r="F173" s="0" t="n">
        <f aca="false">$B$4</f>
        <v>1.22</v>
      </c>
      <c r="G173" s="0" t="n">
        <f aca="false">IF(B173="BUY",(F173-E173)/Settings!$B$3,(E173-F173)/Settings!$B$3)</f>
        <v>-12200</v>
      </c>
      <c r="H173" s="0" t="n">
        <f aca="false">G173*D173*Settings!$B$4</f>
        <v>-0</v>
      </c>
      <c r="I173" s="0" t="n">
        <f aca="false">CurrentPositions!I168</f>
        <v>0</v>
      </c>
      <c r="J173" s="0" t="n">
        <f aca="false">CurrentPositions!J168</f>
        <v>0</v>
      </c>
    </row>
    <row r="174" customFormat="false" ht="13.8" hidden="false" customHeight="false" outlineLevel="0" collapsed="false">
      <c r="A174" s="0" t="n">
        <f aca="false">CurrentPositions!A169</f>
        <v>0</v>
      </c>
      <c r="B174" s="0" t="n">
        <f aca="false">CurrentPositions!B169</f>
        <v>0</v>
      </c>
      <c r="C174" s="0" t="n">
        <f aca="false">CurrentPositions!C169</f>
        <v>0</v>
      </c>
      <c r="D174" s="0" t="n">
        <f aca="false">CurrentPositions!D169</f>
        <v>0</v>
      </c>
      <c r="E174" s="0" t="n">
        <f aca="false">CurrentPositions!E169</f>
        <v>0</v>
      </c>
      <c r="F174" s="0" t="n">
        <f aca="false">$B$4</f>
        <v>1.22</v>
      </c>
      <c r="G174" s="0" t="n">
        <f aca="false">IF(B174="BUY",(F174-E174)/Settings!$B$3,(E174-F174)/Settings!$B$3)</f>
        <v>-12200</v>
      </c>
      <c r="H174" s="0" t="n">
        <f aca="false">G174*D174*Settings!$B$4</f>
        <v>-0</v>
      </c>
      <c r="I174" s="0" t="n">
        <f aca="false">CurrentPositions!I169</f>
        <v>0</v>
      </c>
      <c r="J174" s="0" t="n">
        <f aca="false">CurrentPositions!J169</f>
        <v>0</v>
      </c>
    </row>
    <row r="175" customFormat="false" ht="13.8" hidden="false" customHeight="false" outlineLevel="0" collapsed="false">
      <c r="A175" s="0" t="n">
        <f aca="false">CurrentPositions!A170</f>
        <v>0</v>
      </c>
      <c r="B175" s="0" t="n">
        <f aca="false">CurrentPositions!B170</f>
        <v>0</v>
      </c>
      <c r="C175" s="0" t="n">
        <f aca="false">CurrentPositions!C170</f>
        <v>0</v>
      </c>
      <c r="D175" s="0" t="n">
        <f aca="false">CurrentPositions!D170</f>
        <v>0</v>
      </c>
      <c r="E175" s="0" t="n">
        <f aca="false">CurrentPositions!E170</f>
        <v>0</v>
      </c>
      <c r="F175" s="0" t="n">
        <f aca="false">$B$4</f>
        <v>1.22</v>
      </c>
      <c r="G175" s="0" t="n">
        <f aca="false">IF(B175="BUY",(F175-E175)/Settings!$B$3,(E175-F175)/Settings!$B$3)</f>
        <v>-12200</v>
      </c>
      <c r="H175" s="0" t="n">
        <f aca="false">G175*D175*Settings!$B$4</f>
        <v>-0</v>
      </c>
      <c r="I175" s="0" t="n">
        <f aca="false">CurrentPositions!I170</f>
        <v>0</v>
      </c>
      <c r="J175" s="0" t="n">
        <f aca="false">CurrentPositions!J170</f>
        <v>0</v>
      </c>
    </row>
    <row r="176" customFormat="false" ht="13.8" hidden="false" customHeight="false" outlineLevel="0" collapsed="false">
      <c r="A176" s="0" t="n">
        <f aca="false">CurrentPositions!A171</f>
        <v>0</v>
      </c>
      <c r="B176" s="0" t="n">
        <f aca="false">CurrentPositions!B171</f>
        <v>0</v>
      </c>
      <c r="C176" s="0" t="n">
        <f aca="false">CurrentPositions!C171</f>
        <v>0</v>
      </c>
      <c r="D176" s="0" t="n">
        <f aca="false">CurrentPositions!D171</f>
        <v>0</v>
      </c>
      <c r="E176" s="0" t="n">
        <f aca="false">CurrentPositions!E171</f>
        <v>0</v>
      </c>
      <c r="F176" s="0" t="n">
        <f aca="false">$B$4</f>
        <v>1.22</v>
      </c>
      <c r="G176" s="0" t="n">
        <f aca="false">IF(B176="BUY",(F176-E176)/Settings!$B$3,(E176-F176)/Settings!$B$3)</f>
        <v>-12200</v>
      </c>
      <c r="H176" s="0" t="n">
        <f aca="false">G176*D176*Settings!$B$4</f>
        <v>-0</v>
      </c>
      <c r="I176" s="0" t="n">
        <f aca="false">CurrentPositions!I171</f>
        <v>0</v>
      </c>
      <c r="J176" s="0" t="n">
        <f aca="false">CurrentPositions!J171</f>
        <v>0</v>
      </c>
    </row>
    <row r="177" customFormat="false" ht="13.8" hidden="false" customHeight="false" outlineLevel="0" collapsed="false">
      <c r="A177" s="0" t="n">
        <f aca="false">CurrentPositions!A172</f>
        <v>0</v>
      </c>
      <c r="B177" s="0" t="n">
        <f aca="false">CurrentPositions!B172</f>
        <v>0</v>
      </c>
      <c r="C177" s="0" t="n">
        <f aca="false">CurrentPositions!C172</f>
        <v>0</v>
      </c>
      <c r="D177" s="0" t="n">
        <f aca="false">CurrentPositions!D172</f>
        <v>0</v>
      </c>
      <c r="E177" s="0" t="n">
        <f aca="false">CurrentPositions!E172</f>
        <v>0</v>
      </c>
      <c r="F177" s="0" t="n">
        <f aca="false">$B$4</f>
        <v>1.22</v>
      </c>
      <c r="G177" s="0" t="n">
        <f aca="false">IF(B177="BUY",(F177-E177)/Settings!$B$3,(E177-F177)/Settings!$B$3)</f>
        <v>-12200</v>
      </c>
      <c r="H177" s="0" t="n">
        <f aca="false">G177*D177*Settings!$B$4</f>
        <v>-0</v>
      </c>
      <c r="I177" s="0" t="n">
        <f aca="false">CurrentPositions!I172</f>
        <v>0</v>
      </c>
      <c r="J177" s="0" t="n">
        <f aca="false">CurrentPositions!J172</f>
        <v>0</v>
      </c>
    </row>
    <row r="178" customFormat="false" ht="13.8" hidden="false" customHeight="false" outlineLevel="0" collapsed="false">
      <c r="A178" s="0" t="n">
        <f aca="false">CurrentPositions!A173</f>
        <v>0</v>
      </c>
      <c r="B178" s="0" t="n">
        <f aca="false">CurrentPositions!B173</f>
        <v>0</v>
      </c>
      <c r="C178" s="0" t="n">
        <f aca="false">CurrentPositions!C173</f>
        <v>0</v>
      </c>
      <c r="D178" s="0" t="n">
        <f aca="false">CurrentPositions!D173</f>
        <v>0</v>
      </c>
      <c r="E178" s="0" t="n">
        <f aca="false">CurrentPositions!E173</f>
        <v>0</v>
      </c>
      <c r="F178" s="0" t="n">
        <f aca="false">$B$4</f>
        <v>1.22</v>
      </c>
      <c r="G178" s="0" t="n">
        <f aca="false">IF(B178="BUY",(F178-E178)/Settings!$B$3,(E178-F178)/Settings!$B$3)</f>
        <v>-12200</v>
      </c>
      <c r="H178" s="0" t="n">
        <f aca="false">G178*D178*Settings!$B$4</f>
        <v>-0</v>
      </c>
      <c r="I178" s="0" t="n">
        <f aca="false">CurrentPositions!I173</f>
        <v>0</v>
      </c>
      <c r="J178" s="0" t="n">
        <f aca="false">CurrentPositions!J173</f>
        <v>0</v>
      </c>
    </row>
    <row r="179" customFormat="false" ht="13.8" hidden="false" customHeight="false" outlineLevel="0" collapsed="false">
      <c r="A179" s="0" t="n">
        <f aca="false">CurrentPositions!A174</f>
        <v>0</v>
      </c>
      <c r="B179" s="0" t="n">
        <f aca="false">CurrentPositions!B174</f>
        <v>0</v>
      </c>
      <c r="C179" s="0" t="n">
        <f aca="false">CurrentPositions!C174</f>
        <v>0</v>
      </c>
      <c r="D179" s="0" t="n">
        <f aca="false">CurrentPositions!D174</f>
        <v>0</v>
      </c>
      <c r="E179" s="0" t="n">
        <f aca="false">CurrentPositions!E174</f>
        <v>0</v>
      </c>
      <c r="F179" s="0" t="n">
        <f aca="false">$B$4</f>
        <v>1.22</v>
      </c>
      <c r="G179" s="0" t="n">
        <f aca="false">IF(B179="BUY",(F179-E179)/Settings!$B$3,(E179-F179)/Settings!$B$3)</f>
        <v>-12200</v>
      </c>
      <c r="H179" s="0" t="n">
        <f aca="false">G179*D179*Settings!$B$4</f>
        <v>-0</v>
      </c>
      <c r="I179" s="0" t="n">
        <f aca="false">CurrentPositions!I174</f>
        <v>0</v>
      </c>
      <c r="J179" s="0" t="n">
        <f aca="false">CurrentPositions!J174</f>
        <v>0</v>
      </c>
    </row>
    <row r="180" customFormat="false" ht="13.8" hidden="false" customHeight="false" outlineLevel="0" collapsed="false">
      <c r="A180" s="0" t="n">
        <f aca="false">CurrentPositions!A175</f>
        <v>0</v>
      </c>
      <c r="B180" s="0" t="n">
        <f aca="false">CurrentPositions!B175</f>
        <v>0</v>
      </c>
      <c r="C180" s="0" t="n">
        <f aca="false">CurrentPositions!C175</f>
        <v>0</v>
      </c>
      <c r="D180" s="0" t="n">
        <f aca="false">CurrentPositions!D175</f>
        <v>0</v>
      </c>
      <c r="E180" s="0" t="n">
        <f aca="false">CurrentPositions!E175</f>
        <v>0</v>
      </c>
      <c r="F180" s="0" t="n">
        <f aca="false">$B$4</f>
        <v>1.22</v>
      </c>
      <c r="G180" s="0" t="n">
        <f aca="false">IF(B180="BUY",(F180-E180)/Settings!$B$3,(E180-F180)/Settings!$B$3)</f>
        <v>-12200</v>
      </c>
      <c r="H180" s="0" t="n">
        <f aca="false">G180*D180*Settings!$B$4</f>
        <v>-0</v>
      </c>
      <c r="I180" s="0" t="n">
        <f aca="false">CurrentPositions!I175</f>
        <v>0</v>
      </c>
      <c r="J180" s="0" t="n">
        <f aca="false">CurrentPositions!J175</f>
        <v>0</v>
      </c>
    </row>
    <row r="181" customFormat="false" ht="13.8" hidden="false" customHeight="false" outlineLevel="0" collapsed="false">
      <c r="A181" s="0" t="n">
        <f aca="false">CurrentPositions!A176</f>
        <v>0</v>
      </c>
      <c r="B181" s="0" t="n">
        <f aca="false">CurrentPositions!B176</f>
        <v>0</v>
      </c>
      <c r="C181" s="0" t="n">
        <f aca="false">CurrentPositions!C176</f>
        <v>0</v>
      </c>
      <c r="D181" s="0" t="n">
        <f aca="false">CurrentPositions!D176</f>
        <v>0</v>
      </c>
      <c r="E181" s="0" t="n">
        <f aca="false">CurrentPositions!E176</f>
        <v>0</v>
      </c>
      <c r="F181" s="0" t="n">
        <f aca="false">$B$4</f>
        <v>1.22</v>
      </c>
      <c r="G181" s="0" t="n">
        <f aca="false">IF(B181="BUY",(F181-E181)/Settings!$B$3,(E181-F181)/Settings!$B$3)</f>
        <v>-12200</v>
      </c>
      <c r="H181" s="0" t="n">
        <f aca="false">G181*D181*Settings!$B$4</f>
        <v>-0</v>
      </c>
      <c r="I181" s="0" t="n">
        <f aca="false">CurrentPositions!I176</f>
        <v>0</v>
      </c>
      <c r="J181" s="0" t="n">
        <f aca="false">CurrentPositions!J176</f>
        <v>0</v>
      </c>
    </row>
    <row r="182" customFormat="false" ht="13.8" hidden="false" customHeight="false" outlineLevel="0" collapsed="false">
      <c r="A182" s="0" t="n">
        <f aca="false">CurrentPositions!A177</f>
        <v>0</v>
      </c>
      <c r="B182" s="0" t="n">
        <f aca="false">CurrentPositions!B177</f>
        <v>0</v>
      </c>
      <c r="C182" s="0" t="n">
        <f aca="false">CurrentPositions!C177</f>
        <v>0</v>
      </c>
      <c r="D182" s="0" t="n">
        <f aca="false">CurrentPositions!D177</f>
        <v>0</v>
      </c>
      <c r="E182" s="0" t="n">
        <f aca="false">CurrentPositions!E177</f>
        <v>0</v>
      </c>
      <c r="F182" s="0" t="n">
        <f aca="false">$B$4</f>
        <v>1.22</v>
      </c>
      <c r="G182" s="0" t="n">
        <f aca="false">IF(B182="BUY",(F182-E182)/Settings!$B$3,(E182-F182)/Settings!$B$3)</f>
        <v>-12200</v>
      </c>
      <c r="H182" s="0" t="n">
        <f aca="false">G182*D182*Settings!$B$4</f>
        <v>-0</v>
      </c>
      <c r="I182" s="0" t="n">
        <f aca="false">CurrentPositions!I177</f>
        <v>0</v>
      </c>
      <c r="J182" s="0" t="n">
        <f aca="false">CurrentPositions!J177</f>
        <v>0</v>
      </c>
    </row>
    <row r="183" customFormat="false" ht="13.8" hidden="false" customHeight="false" outlineLevel="0" collapsed="false">
      <c r="A183" s="0" t="n">
        <f aca="false">CurrentPositions!A178</f>
        <v>0</v>
      </c>
      <c r="B183" s="0" t="n">
        <f aca="false">CurrentPositions!B178</f>
        <v>0</v>
      </c>
      <c r="C183" s="0" t="n">
        <f aca="false">CurrentPositions!C178</f>
        <v>0</v>
      </c>
      <c r="D183" s="0" t="n">
        <f aca="false">CurrentPositions!D178</f>
        <v>0</v>
      </c>
      <c r="E183" s="0" t="n">
        <f aca="false">CurrentPositions!E178</f>
        <v>0</v>
      </c>
      <c r="F183" s="0" t="n">
        <f aca="false">$B$4</f>
        <v>1.22</v>
      </c>
      <c r="G183" s="0" t="n">
        <f aca="false">IF(B183="BUY",(F183-E183)/Settings!$B$3,(E183-F183)/Settings!$B$3)</f>
        <v>-12200</v>
      </c>
      <c r="H183" s="0" t="n">
        <f aca="false">G183*D183*Settings!$B$4</f>
        <v>-0</v>
      </c>
      <c r="I183" s="0" t="n">
        <f aca="false">CurrentPositions!I178</f>
        <v>0</v>
      </c>
      <c r="J183" s="0" t="n">
        <f aca="false">CurrentPositions!J178</f>
        <v>0</v>
      </c>
    </row>
    <row r="184" customFormat="false" ht="13.8" hidden="false" customHeight="false" outlineLevel="0" collapsed="false">
      <c r="A184" s="0" t="n">
        <f aca="false">CurrentPositions!A179</f>
        <v>0</v>
      </c>
      <c r="B184" s="0" t="n">
        <f aca="false">CurrentPositions!B179</f>
        <v>0</v>
      </c>
      <c r="C184" s="0" t="n">
        <f aca="false">CurrentPositions!C179</f>
        <v>0</v>
      </c>
      <c r="D184" s="0" t="n">
        <f aca="false">CurrentPositions!D179</f>
        <v>0</v>
      </c>
      <c r="E184" s="0" t="n">
        <f aca="false">CurrentPositions!E179</f>
        <v>0</v>
      </c>
      <c r="F184" s="0" t="n">
        <f aca="false">$B$4</f>
        <v>1.22</v>
      </c>
      <c r="G184" s="0" t="n">
        <f aca="false">IF(B184="BUY",(F184-E184)/Settings!$B$3,(E184-F184)/Settings!$B$3)</f>
        <v>-12200</v>
      </c>
      <c r="H184" s="0" t="n">
        <f aca="false">G184*D184*Settings!$B$4</f>
        <v>-0</v>
      </c>
      <c r="I184" s="0" t="n">
        <f aca="false">CurrentPositions!I179</f>
        <v>0</v>
      </c>
      <c r="J184" s="0" t="n">
        <f aca="false">CurrentPositions!J179</f>
        <v>0</v>
      </c>
    </row>
    <row r="185" customFormat="false" ht="13.8" hidden="false" customHeight="false" outlineLevel="0" collapsed="false">
      <c r="A185" s="0" t="n">
        <f aca="false">CurrentPositions!A180</f>
        <v>0</v>
      </c>
      <c r="B185" s="0" t="n">
        <f aca="false">CurrentPositions!B180</f>
        <v>0</v>
      </c>
      <c r="C185" s="0" t="n">
        <f aca="false">CurrentPositions!C180</f>
        <v>0</v>
      </c>
      <c r="D185" s="0" t="n">
        <f aca="false">CurrentPositions!D180</f>
        <v>0</v>
      </c>
      <c r="E185" s="0" t="n">
        <f aca="false">CurrentPositions!E180</f>
        <v>0</v>
      </c>
      <c r="F185" s="0" t="n">
        <f aca="false">$B$4</f>
        <v>1.22</v>
      </c>
      <c r="G185" s="0" t="n">
        <f aca="false">IF(B185="BUY",(F185-E185)/Settings!$B$3,(E185-F185)/Settings!$B$3)</f>
        <v>-12200</v>
      </c>
      <c r="H185" s="0" t="n">
        <f aca="false">G185*D185*Settings!$B$4</f>
        <v>-0</v>
      </c>
      <c r="I185" s="0" t="n">
        <f aca="false">CurrentPositions!I180</f>
        <v>0</v>
      </c>
      <c r="J185" s="0" t="n">
        <f aca="false">CurrentPositions!J180</f>
        <v>0</v>
      </c>
    </row>
    <row r="186" customFormat="false" ht="13.8" hidden="false" customHeight="false" outlineLevel="0" collapsed="false">
      <c r="A186" s="0" t="n">
        <f aca="false">CurrentPositions!A181</f>
        <v>0</v>
      </c>
      <c r="B186" s="0" t="n">
        <f aca="false">CurrentPositions!B181</f>
        <v>0</v>
      </c>
      <c r="C186" s="0" t="n">
        <f aca="false">CurrentPositions!C181</f>
        <v>0</v>
      </c>
      <c r="D186" s="0" t="n">
        <f aca="false">CurrentPositions!D181</f>
        <v>0</v>
      </c>
      <c r="E186" s="0" t="n">
        <f aca="false">CurrentPositions!E181</f>
        <v>0</v>
      </c>
      <c r="F186" s="0" t="n">
        <f aca="false">$B$4</f>
        <v>1.22</v>
      </c>
      <c r="G186" s="0" t="n">
        <f aca="false">IF(B186="BUY",(F186-E186)/Settings!$B$3,(E186-F186)/Settings!$B$3)</f>
        <v>-12200</v>
      </c>
      <c r="H186" s="0" t="n">
        <f aca="false">G186*D186*Settings!$B$4</f>
        <v>-0</v>
      </c>
      <c r="I186" s="0" t="n">
        <f aca="false">CurrentPositions!I181</f>
        <v>0</v>
      </c>
      <c r="J186" s="0" t="n">
        <f aca="false">CurrentPositions!J181</f>
        <v>0</v>
      </c>
    </row>
    <row r="187" customFormat="false" ht="13.8" hidden="false" customHeight="false" outlineLevel="0" collapsed="false">
      <c r="A187" s="0" t="n">
        <f aca="false">CurrentPositions!A182</f>
        <v>0</v>
      </c>
      <c r="B187" s="0" t="n">
        <f aca="false">CurrentPositions!B182</f>
        <v>0</v>
      </c>
      <c r="C187" s="0" t="n">
        <f aca="false">CurrentPositions!C182</f>
        <v>0</v>
      </c>
      <c r="D187" s="0" t="n">
        <f aca="false">CurrentPositions!D182</f>
        <v>0</v>
      </c>
      <c r="E187" s="0" t="n">
        <f aca="false">CurrentPositions!E182</f>
        <v>0</v>
      </c>
      <c r="F187" s="0" t="n">
        <f aca="false">$B$4</f>
        <v>1.22</v>
      </c>
      <c r="G187" s="0" t="n">
        <f aca="false">IF(B187="BUY",(F187-E187)/Settings!$B$3,(E187-F187)/Settings!$B$3)</f>
        <v>-12200</v>
      </c>
      <c r="H187" s="0" t="n">
        <f aca="false">G187*D187*Settings!$B$4</f>
        <v>-0</v>
      </c>
      <c r="I187" s="0" t="n">
        <f aca="false">CurrentPositions!I182</f>
        <v>0</v>
      </c>
      <c r="J187" s="0" t="n">
        <f aca="false">CurrentPositions!J182</f>
        <v>0</v>
      </c>
    </row>
    <row r="188" customFormat="false" ht="13.8" hidden="false" customHeight="false" outlineLevel="0" collapsed="false">
      <c r="A188" s="0" t="n">
        <f aca="false">CurrentPositions!A183</f>
        <v>0</v>
      </c>
      <c r="B188" s="0" t="n">
        <f aca="false">CurrentPositions!B183</f>
        <v>0</v>
      </c>
      <c r="C188" s="0" t="n">
        <f aca="false">CurrentPositions!C183</f>
        <v>0</v>
      </c>
      <c r="D188" s="0" t="n">
        <f aca="false">CurrentPositions!D183</f>
        <v>0</v>
      </c>
      <c r="E188" s="0" t="n">
        <f aca="false">CurrentPositions!E183</f>
        <v>0</v>
      </c>
      <c r="F188" s="0" t="n">
        <f aca="false">$B$4</f>
        <v>1.22</v>
      </c>
      <c r="G188" s="0" t="n">
        <f aca="false">IF(B188="BUY",(F188-E188)/Settings!$B$3,(E188-F188)/Settings!$B$3)</f>
        <v>-12200</v>
      </c>
      <c r="H188" s="0" t="n">
        <f aca="false">G188*D188*Settings!$B$4</f>
        <v>-0</v>
      </c>
      <c r="I188" s="0" t="n">
        <f aca="false">CurrentPositions!I183</f>
        <v>0</v>
      </c>
      <c r="J188" s="0" t="n">
        <f aca="false">CurrentPositions!J183</f>
        <v>0</v>
      </c>
    </row>
    <row r="189" customFormat="false" ht="13.8" hidden="false" customHeight="false" outlineLevel="0" collapsed="false">
      <c r="A189" s="0" t="n">
        <f aca="false">CurrentPositions!A184</f>
        <v>0</v>
      </c>
      <c r="B189" s="0" t="n">
        <f aca="false">CurrentPositions!B184</f>
        <v>0</v>
      </c>
      <c r="C189" s="0" t="n">
        <f aca="false">CurrentPositions!C184</f>
        <v>0</v>
      </c>
      <c r="D189" s="0" t="n">
        <f aca="false">CurrentPositions!D184</f>
        <v>0</v>
      </c>
      <c r="E189" s="0" t="n">
        <f aca="false">CurrentPositions!E184</f>
        <v>0</v>
      </c>
      <c r="F189" s="0" t="n">
        <f aca="false">$B$4</f>
        <v>1.22</v>
      </c>
      <c r="G189" s="0" t="n">
        <f aca="false">IF(B189="BUY",(F189-E189)/Settings!$B$3,(E189-F189)/Settings!$B$3)</f>
        <v>-12200</v>
      </c>
      <c r="H189" s="0" t="n">
        <f aca="false">G189*D189*Settings!$B$4</f>
        <v>-0</v>
      </c>
      <c r="I189" s="0" t="n">
        <f aca="false">CurrentPositions!I184</f>
        <v>0</v>
      </c>
      <c r="J189" s="0" t="n">
        <f aca="false">CurrentPositions!J184</f>
        <v>0</v>
      </c>
    </row>
    <row r="190" customFormat="false" ht="13.8" hidden="false" customHeight="false" outlineLevel="0" collapsed="false">
      <c r="A190" s="0" t="n">
        <f aca="false">CurrentPositions!A185</f>
        <v>0</v>
      </c>
      <c r="B190" s="0" t="n">
        <f aca="false">CurrentPositions!B185</f>
        <v>0</v>
      </c>
      <c r="C190" s="0" t="n">
        <f aca="false">CurrentPositions!C185</f>
        <v>0</v>
      </c>
      <c r="D190" s="0" t="n">
        <f aca="false">CurrentPositions!D185</f>
        <v>0</v>
      </c>
      <c r="E190" s="0" t="n">
        <f aca="false">CurrentPositions!E185</f>
        <v>0</v>
      </c>
      <c r="F190" s="0" t="n">
        <f aca="false">$B$4</f>
        <v>1.22</v>
      </c>
      <c r="G190" s="0" t="n">
        <f aca="false">IF(B190="BUY",(F190-E190)/Settings!$B$3,(E190-F190)/Settings!$B$3)</f>
        <v>-12200</v>
      </c>
      <c r="H190" s="0" t="n">
        <f aca="false">G190*D190*Settings!$B$4</f>
        <v>-0</v>
      </c>
      <c r="I190" s="0" t="n">
        <f aca="false">CurrentPositions!I185</f>
        <v>0</v>
      </c>
      <c r="J190" s="0" t="n">
        <f aca="false">CurrentPositions!J185</f>
        <v>0</v>
      </c>
    </row>
    <row r="191" customFormat="false" ht="13.8" hidden="false" customHeight="false" outlineLevel="0" collapsed="false">
      <c r="A191" s="0" t="n">
        <f aca="false">CurrentPositions!A186</f>
        <v>0</v>
      </c>
      <c r="B191" s="0" t="n">
        <f aca="false">CurrentPositions!B186</f>
        <v>0</v>
      </c>
      <c r="C191" s="0" t="n">
        <f aca="false">CurrentPositions!C186</f>
        <v>0</v>
      </c>
      <c r="D191" s="0" t="n">
        <f aca="false">CurrentPositions!D186</f>
        <v>0</v>
      </c>
      <c r="E191" s="0" t="n">
        <f aca="false">CurrentPositions!E186</f>
        <v>0</v>
      </c>
      <c r="F191" s="0" t="n">
        <f aca="false">$B$4</f>
        <v>1.22</v>
      </c>
      <c r="G191" s="0" t="n">
        <f aca="false">IF(B191="BUY",(F191-E191)/Settings!$B$3,(E191-F191)/Settings!$B$3)</f>
        <v>-12200</v>
      </c>
      <c r="H191" s="0" t="n">
        <f aca="false">G191*D191*Settings!$B$4</f>
        <v>-0</v>
      </c>
      <c r="I191" s="0" t="n">
        <f aca="false">CurrentPositions!I186</f>
        <v>0</v>
      </c>
      <c r="J191" s="0" t="n">
        <f aca="false">CurrentPositions!J186</f>
        <v>0</v>
      </c>
    </row>
    <row r="192" customFormat="false" ht="13.8" hidden="false" customHeight="false" outlineLevel="0" collapsed="false">
      <c r="A192" s="0" t="n">
        <f aca="false">CurrentPositions!A187</f>
        <v>0</v>
      </c>
      <c r="B192" s="0" t="n">
        <f aca="false">CurrentPositions!B187</f>
        <v>0</v>
      </c>
      <c r="C192" s="0" t="n">
        <f aca="false">CurrentPositions!C187</f>
        <v>0</v>
      </c>
      <c r="D192" s="0" t="n">
        <f aca="false">CurrentPositions!D187</f>
        <v>0</v>
      </c>
      <c r="E192" s="0" t="n">
        <f aca="false">CurrentPositions!E187</f>
        <v>0</v>
      </c>
      <c r="F192" s="0" t="n">
        <f aca="false">$B$4</f>
        <v>1.22</v>
      </c>
      <c r="G192" s="0" t="n">
        <f aca="false">IF(B192="BUY",(F192-E192)/Settings!$B$3,(E192-F192)/Settings!$B$3)</f>
        <v>-12200</v>
      </c>
      <c r="H192" s="0" t="n">
        <f aca="false">G192*D192*Settings!$B$4</f>
        <v>-0</v>
      </c>
      <c r="I192" s="0" t="n">
        <f aca="false">CurrentPositions!I187</f>
        <v>0</v>
      </c>
      <c r="J192" s="0" t="n">
        <f aca="false">CurrentPositions!J187</f>
        <v>0</v>
      </c>
    </row>
    <row r="193" customFormat="false" ht="13.8" hidden="false" customHeight="false" outlineLevel="0" collapsed="false">
      <c r="A193" s="0" t="n">
        <f aca="false">CurrentPositions!A188</f>
        <v>0</v>
      </c>
      <c r="B193" s="0" t="n">
        <f aca="false">CurrentPositions!B188</f>
        <v>0</v>
      </c>
      <c r="C193" s="0" t="n">
        <f aca="false">CurrentPositions!C188</f>
        <v>0</v>
      </c>
      <c r="D193" s="0" t="n">
        <f aca="false">CurrentPositions!D188</f>
        <v>0</v>
      </c>
      <c r="E193" s="0" t="n">
        <f aca="false">CurrentPositions!E188</f>
        <v>0</v>
      </c>
      <c r="F193" s="0" t="n">
        <f aca="false">$B$4</f>
        <v>1.22</v>
      </c>
      <c r="G193" s="0" t="n">
        <f aca="false">IF(B193="BUY",(F193-E193)/Settings!$B$3,(E193-F193)/Settings!$B$3)</f>
        <v>-12200</v>
      </c>
      <c r="H193" s="0" t="n">
        <f aca="false">G193*D193*Settings!$B$4</f>
        <v>-0</v>
      </c>
      <c r="I193" s="0" t="n">
        <f aca="false">CurrentPositions!I188</f>
        <v>0</v>
      </c>
      <c r="J193" s="0" t="n">
        <f aca="false">CurrentPositions!J188</f>
        <v>0</v>
      </c>
    </row>
    <row r="194" customFormat="false" ht="13.8" hidden="false" customHeight="false" outlineLevel="0" collapsed="false">
      <c r="A194" s="0" t="n">
        <f aca="false">CurrentPositions!A189</f>
        <v>0</v>
      </c>
      <c r="B194" s="0" t="n">
        <f aca="false">CurrentPositions!B189</f>
        <v>0</v>
      </c>
      <c r="C194" s="0" t="n">
        <f aca="false">CurrentPositions!C189</f>
        <v>0</v>
      </c>
      <c r="D194" s="0" t="n">
        <f aca="false">CurrentPositions!D189</f>
        <v>0</v>
      </c>
      <c r="E194" s="0" t="n">
        <f aca="false">CurrentPositions!E189</f>
        <v>0</v>
      </c>
      <c r="F194" s="0" t="n">
        <f aca="false">$B$4</f>
        <v>1.22</v>
      </c>
      <c r="G194" s="0" t="n">
        <f aca="false">IF(B194="BUY",(F194-E194)/Settings!$B$3,(E194-F194)/Settings!$B$3)</f>
        <v>-12200</v>
      </c>
      <c r="H194" s="0" t="n">
        <f aca="false">G194*D194*Settings!$B$4</f>
        <v>-0</v>
      </c>
      <c r="I194" s="0" t="n">
        <f aca="false">CurrentPositions!I189</f>
        <v>0</v>
      </c>
      <c r="J194" s="0" t="n">
        <f aca="false">CurrentPositions!J189</f>
        <v>0</v>
      </c>
    </row>
    <row r="195" customFormat="false" ht="13.8" hidden="false" customHeight="false" outlineLevel="0" collapsed="false">
      <c r="A195" s="0" t="n">
        <f aca="false">CurrentPositions!A190</f>
        <v>0</v>
      </c>
      <c r="B195" s="0" t="n">
        <f aca="false">CurrentPositions!B190</f>
        <v>0</v>
      </c>
      <c r="C195" s="0" t="n">
        <f aca="false">CurrentPositions!C190</f>
        <v>0</v>
      </c>
      <c r="D195" s="0" t="n">
        <f aca="false">CurrentPositions!D190</f>
        <v>0</v>
      </c>
      <c r="E195" s="0" t="n">
        <f aca="false">CurrentPositions!E190</f>
        <v>0</v>
      </c>
      <c r="F195" s="0" t="n">
        <f aca="false">$B$4</f>
        <v>1.22</v>
      </c>
      <c r="G195" s="0" t="n">
        <f aca="false">IF(B195="BUY",(F195-E195)/Settings!$B$3,(E195-F195)/Settings!$B$3)</f>
        <v>-12200</v>
      </c>
      <c r="H195" s="0" t="n">
        <f aca="false">G195*D195*Settings!$B$4</f>
        <v>-0</v>
      </c>
      <c r="I195" s="0" t="n">
        <f aca="false">CurrentPositions!I190</f>
        <v>0</v>
      </c>
      <c r="J195" s="0" t="n">
        <f aca="false">CurrentPositions!J190</f>
        <v>0</v>
      </c>
    </row>
    <row r="196" customFormat="false" ht="13.8" hidden="false" customHeight="false" outlineLevel="0" collapsed="false">
      <c r="A196" s="0" t="n">
        <f aca="false">CurrentPositions!A191</f>
        <v>0</v>
      </c>
      <c r="B196" s="0" t="n">
        <f aca="false">CurrentPositions!B191</f>
        <v>0</v>
      </c>
      <c r="C196" s="0" t="n">
        <f aca="false">CurrentPositions!C191</f>
        <v>0</v>
      </c>
      <c r="D196" s="0" t="n">
        <f aca="false">CurrentPositions!D191</f>
        <v>0</v>
      </c>
      <c r="E196" s="0" t="n">
        <f aca="false">CurrentPositions!E191</f>
        <v>0</v>
      </c>
      <c r="F196" s="0" t="n">
        <f aca="false">$B$4</f>
        <v>1.22</v>
      </c>
      <c r="G196" s="0" t="n">
        <f aca="false">IF(B196="BUY",(F196-E196)/Settings!$B$3,(E196-F196)/Settings!$B$3)</f>
        <v>-12200</v>
      </c>
      <c r="H196" s="0" t="n">
        <f aca="false">G196*D196*Settings!$B$4</f>
        <v>-0</v>
      </c>
      <c r="I196" s="0" t="n">
        <f aca="false">CurrentPositions!I191</f>
        <v>0</v>
      </c>
      <c r="J196" s="0" t="n">
        <f aca="false">CurrentPositions!J191</f>
        <v>0</v>
      </c>
    </row>
    <row r="197" customFormat="false" ht="13.8" hidden="false" customHeight="false" outlineLevel="0" collapsed="false">
      <c r="A197" s="0" t="n">
        <f aca="false">CurrentPositions!A192</f>
        <v>0</v>
      </c>
      <c r="B197" s="0" t="n">
        <f aca="false">CurrentPositions!B192</f>
        <v>0</v>
      </c>
      <c r="C197" s="0" t="n">
        <f aca="false">CurrentPositions!C192</f>
        <v>0</v>
      </c>
      <c r="D197" s="0" t="n">
        <f aca="false">CurrentPositions!D192</f>
        <v>0</v>
      </c>
      <c r="E197" s="0" t="n">
        <f aca="false">CurrentPositions!E192</f>
        <v>0</v>
      </c>
      <c r="F197" s="0" t="n">
        <f aca="false">$B$4</f>
        <v>1.22</v>
      </c>
      <c r="G197" s="0" t="n">
        <f aca="false">IF(B197="BUY",(F197-E197)/Settings!$B$3,(E197-F197)/Settings!$B$3)</f>
        <v>-12200</v>
      </c>
      <c r="H197" s="0" t="n">
        <f aca="false">G197*D197*Settings!$B$4</f>
        <v>-0</v>
      </c>
      <c r="I197" s="0" t="n">
        <f aca="false">CurrentPositions!I192</f>
        <v>0</v>
      </c>
      <c r="J197" s="0" t="n">
        <f aca="false">CurrentPositions!J192</f>
        <v>0</v>
      </c>
    </row>
    <row r="198" customFormat="false" ht="13.8" hidden="false" customHeight="false" outlineLevel="0" collapsed="false">
      <c r="A198" s="0" t="n">
        <f aca="false">CurrentPositions!A193</f>
        <v>0</v>
      </c>
      <c r="B198" s="0" t="n">
        <f aca="false">CurrentPositions!B193</f>
        <v>0</v>
      </c>
      <c r="C198" s="0" t="n">
        <f aca="false">CurrentPositions!C193</f>
        <v>0</v>
      </c>
      <c r="D198" s="0" t="n">
        <f aca="false">CurrentPositions!D193</f>
        <v>0</v>
      </c>
      <c r="E198" s="0" t="n">
        <f aca="false">CurrentPositions!E193</f>
        <v>0</v>
      </c>
      <c r="F198" s="0" t="n">
        <f aca="false">$B$4</f>
        <v>1.22</v>
      </c>
      <c r="G198" s="0" t="n">
        <f aca="false">IF(B198="BUY",(F198-E198)/Settings!$B$3,(E198-F198)/Settings!$B$3)</f>
        <v>-12200</v>
      </c>
      <c r="H198" s="0" t="n">
        <f aca="false">G198*D198*Settings!$B$4</f>
        <v>-0</v>
      </c>
      <c r="I198" s="0" t="n">
        <f aca="false">CurrentPositions!I193</f>
        <v>0</v>
      </c>
      <c r="J198" s="0" t="n">
        <f aca="false">CurrentPositions!J193</f>
        <v>0</v>
      </c>
    </row>
    <row r="199" customFormat="false" ht="13.8" hidden="false" customHeight="false" outlineLevel="0" collapsed="false">
      <c r="A199" s="0" t="n">
        <f aca="false">CurrentPositions!A194</f>
        <v>0</v>
      </c>
      <c r="B199" s="0" t="n">
        <f aca="false">CurrentPositions!B194</f>
        <v>0</v>
      </c>
      <c r="C199" s="0" t="n">
        <f aca="false">CurrentPositions!C194</f>
        <v>0</v>
      </c>
      <c r="D199" s="0" t="n">
        <f aca="false">CurrentPositions!D194</f>
        <v>0</v>
      </c>
      <c r="E199" s="0" t="n">
        <f aca="false">CurrentPositions!E194</f>
        <v>0</v>
      </c>
      <c r="F199" s="0" t="n">
        <f aca="false">$B$4</f>
        <v>1.22</v>
      </c>
      <c r="G199" s="0" t="n">
        <f aca="false">IF(B199="BUY",(F199-E199)/Settings!$B$3,(E199-F199)/Settings!$B$3)</f>
        <v>-12200</v>
      </c>
      <c r="H199" s="0" t="n">
        <f aca="false">G199*D199*Settings!$B$4</f>
        <v>-0</v>
      </c>
      <c r="I199" s="0" t="n">
        <f aca="false">CurrentPositions!I194</f>
        <v>0</v>
      </c>
      <c r="J199" s="0" t="n">
        <f aca="false">CurrentPositions!J194</f>
        <v>0</v>
      </c>
    </row>
    <row r="200" customFormat="false" ht="13.8" hidden="false" customHeight="false" outlineLevel="0" collapsed="false">
      <c r="A200" s="0" t="n">
        <f aca="false">CurrentPositions!A195</f>
        <v>0</v>
      </c>
      <c r="B200" s="0" t="n">
        <f aca="false">CurrentPositions!B195</f>
        <v>0</v>
      </c>
      <c r="C200" s="0" t="n">
        <f aca="false">CurrentPositions!C195</f>
        <v>0</v>
      </c>
      <c r="D200" s="0" t="n">
        <f aca="false">CurrentPositions!D195</f>
        <v>0</v>
      </c>
      <c r="E200" s="0" t="n">
        <f aca="false">CurrentPositions!E195</f>
        <v>0</v>
      </c>
      <c r="F200" s="0" t="n">
        <f aca="false">$B$4</f>
        <v>1.22</v>
      </c>
      <c r="G200" s="0" t="n">
        <f aca="false">IF(B200="BUY",(F200-E200)/Settings!$B$3,(E200-F200)/Settings!$B$3)</f>
        <v>-12200</v>
      </c>
      <c r="H200" s="0" t="n">
        <f aca="false">G200*D200*Settings!$B$4</f>
        <v>-0</v>
      </c>
      <c r="I200" s="0" t="n">
        <f aca="false">CurrentPositions!I195</f>
        <v>0</v>
      </c>
      <c r="J200" s="0" t="n">
        <f aca="false">CurrentPositions!J195</f>
        <v>0</v>
      </c>
    </row>
    <row r="201" customFormat="false" ht="13.8" hidden="false" customHeight="false" outlineLevel="0" collapsed="false">
      <c r="A201" s="0" t="n">
        <f aca="false">CurrentPositions!A196</f>
        <v>0</v>
      </c>
      <c r="B201" s="0" t="n">
        <f aca="false">CurrentPositions!B196</f>
        <v>0</v>
      </c>
      <c r="C201" s="0" t="n">
        <f aca="false">CurrentPositions!C196</f>
        <v>0</v>
      </c>
      <c r="D201" s="0" t="n">
        <f aca="false">CurrentPositions!D196</f>
        <v>0</v>
      </c>
      <c r="E201" s="0" t="n">
        <f aca="false">CurrentPositions!E196</f>
        <v>0</v>
      </c>
      <c r="F201" s="0" t="n">
        <f aca="false">$B$4</f>
        <v>1.22</v>
      </c>
      <c r="G201" s="0" t="n">
        <f aca="false">IF(B201="BUY",(F201-E201)/Settings!$B$3,(E201-F201)/Settings!$B$3)</f>
        <v>-12200</v>
      </c>
      <c r="H201" s="0" t="n">
        <f aca="false">G201*D201*Settings!$B$4</f>
        <v>-0</v>
      </c>
      <c r="I201" s="0" t="n">
        <f aca="false">CurrentPositions!I196</f>
        <v>0</v>
      </c>
      <c r="J201" s="0" t="n">
        <f aca="false">CurrentPositions!J196</f>
        <v>0</v>
      </c>
    </row>
    <row r="202" customFormat="false" ht="15" hidden="false" customHeight="false" outlineLevel="0" collapsed="false">
      <c r="A202" s="0" t="n">
        <f aca="false">CurrentPositions!A197</f>
        <v>0</v>
      </c>
      <c r="B202" s="0" t="n">
        <f aca="false">CurrentPositions!B197</f>
        <v>0</v>
      </c>
      <c r="C202" s="0" t="n">
        <f aca="false">CurrentPositions!C197</f>
        <v>0</v>
      </c>
      <c r="D202" s="0" t="n">
        <f aca="false">CurrentPositions!D197</f>
        <v>0</v>
      </c>
      <c r="E202" s="0" t="n">
        <f aca="false">CurrentPositions!E197</f>
        <v>0</v>
      </c>
      <c r="F202" s="0" t="n">
        <f aca="false">$B$4</f>
        <v>1.22</v>
      </c>
      <c r="G202" s="0" t="n">
        <f aca="false">IF(B202="BUY",(F202-E202)/Settings!$B$3,(E202-F202)/Settings!$B$3)</f>
        <v>-12200</v>
      </c>
      <c r="H202" s="0" t="n">
        <f aca="false">G202*D202*Settings!$B$4</f>
        <v>-0</v>
      </c>
      <c r="I202" s="0" t="n">
        <f aca="false">CurrentPositions!I197</f>
        <v>0</v>
      </c>
      <c r="J202" s="0" t="n">
        <f aca="false">CurrentPositions!J197</f>
        <v>0</v>
      </c>
    </row>
    <row r="203" customFormat="false" ht="15" hidden="false" customHeight="false" outlineLevel="0" collapsed="false">
      <c r="A203" s="0" t="n">
        <f aca="false">CurrentPositions!A198</f>
        <v>0</v>
      </c>
      <c r="B203" s="0" t="n">
        <f aca="false">CurrentPositions!B198</f>
        <v>0</v>
      </c>
      <c r="C203" s="0" t="n">
        <f aca="false">CurrentPositions!C198</f>
        <v>0</v>
      </c>
      <c r="D203" s="0" t="n">
        <f aca="false">CurrentPositions!D198</f>
        <v>0</v>
      </c>
      <c r="E203" s="0" t="n">
        <f aca="false">CurrentPositions!E198</f>
        <v>0</v>
      </c>
      <c r="F203" s="0" t="n">
        <f aca="false">$B$4</f>
        <v>1.22</v>
      </c>
      <c r="G203" s="0" t="n">
        <f aca="false">IF(B203="BUY",(F203-E203)/Settings!$B$3,(E203-F203)/Settings!$B$3)</f>
        <v>-12200</v>
      </c>
      <c r="H203" s="0" t="n">
        <f aca="false">G203*D203*Settings!$B$4</f>
        <v>-0</v>
      </c>
      <c r="I203" s="0" t="n">
        <f aca="false">CurrentPositions!I198</f>
        <v>0</v>
      </c>
      <c r="J203" s="0" t="n">
        <f aca="false">CurrentPositions!J198</f>
        <v>0</v>
      </c>
    </row>
    <row r="204" customFormat="false" ht="15" hidden="false" customHeight="false" outlineLevel="0" collapsed="false">
      <c r="A204" s="0" t="n">
        <f aca="false">CurrentPositions!A199</f>
        <v>0</v>
      </c>
      <c r="B204" s="0" t="n">
        <f aca="false">CurrentPositions!B199</f>
        <v>0</v>
      </c>
      <c r="C204" s="0" t="n">
        <f aca="false">CurrentPositions!C199</f>
        <v>0</v>
      </c>
      <c r="D204" s="0" t="n">
        <f aca="false">CurrentPositions!D199</f>
        <v>0</v>
      </c>
      <c r="E204" s="0" t="n">
        <f aca="false">CurrentPositions!E199</f>
        <v>0</v>
      </c>
      <c r="F204" s="0" t="n">
        <f aca="false">$B$4</f>
        <v>1.22</v>
      </c>
      <c r="G204" s="0" t="n">
        <f aca="false">IF(B204="BUY",(F204-E204)/Settings!$B$3,(E204-F204)/Settings!$B$3)</f>
        <v>-12200</v>
      </c>
      <c r="H204" s="0" t="n">
        <f aca="false">G204*D204*Settings!$B$4</f>
        <v>-0</v>
      </c>
      <c r="I204" s="0" t="n">
        <f aca="false">CurrentPositions!I199</f>
        <v>0</v>
      </c>
      <c r="J204" s="0" t="n">
        <f aca="false">CurrentPositions!J199</f>
        <v>0</v>
      </c>
    </row>
    <row r="205" customFormat="false" ht="15" hidden="false" customHeight="false" outlineLevel="0" collapsed="false">
      <c r="A205" s="0" t="n">
        <f aca="false">CurrentPositions!A200</f>
        <v>0</v>
      </c>
      <c r="B205" s="0" t="n">
        <f aca="false">CurrentPositions!B200</f>
        <v>0</v>
      </c>
      <c r="C205" s="0" t="n">
        <f aca="false">CurrentPositions!C200</f>
        <v>0</v>
      </c>
      <c r="D205" s="0" t="n">
        <f aca="false">CurrentPositions!D200</f>
        <v>0</v>
      </c>
      <c r="E205" s="0" t="n">
        <f aca="false">CurrentPositions!E200</f>
        <v>0</v>
      </c>
      <c r="F205" s="0" t="n">
        <f aca="false">$B$4</f>
        <v>1.22</v>
      </c>
      <c r="G205" s="0" t="n">
        <f aca="false">IF(B205="BUY",(F205-E205)/Settings!$B$3,(E205-F205)/Settings!$B$3)</f>
        <v>-12200</v>
      </c>
      <c r="H205" s="0" t="n">
        <f aca="false">G205*D205*Settings!$B$4</f>
        <v>-0</v>
      </c>
      <c r="I205" s="0" t="n">
        <f aca="false">CurrentPositions!I200</f>
        <v>0</v>
      </c>
      <c r="J205" s="0" t="n">
        <f aca="false">CurrentPositions!J200</f>
        <v>0</v>
      </c>
    </row>
    <row r="206" customFormat="false" ht="15" hidden="false" customHeight="false" outlineLevel="0" collapsed="false">
      <c r="A206" s="0" t="n">
        <f aca="false">CurrentPositions!A201</f>
        <v>0</v>
      </c>
      <c r="B206" s="0" t="n">
        <f aca="false">CurrentPositions!B201</f>
        <v>0</v>
      </c>
      <c r="C206" s="0" t="n">
        <f aca="false">CurrentPositions!C201</f>
        <v>0</v>
      </c>
      <c r="D206" s="0" t="n">
        <f aca="false">CurrentPositions!D201</f>
        <v>0</v>
      </c>
      <c r="E206" s="0" t="n">
        <f aca="false">CurrentPositions!E201</f>
        <v>0</v>
      </c>
      <c r="F206" s="0" t="n">
        <f aca="false">$B$4</f>
        <v>1.22</v>
      </c>
      <c r="G206" s="0" t="n">
        <f aca="false">IF(B206="BUY",(F206-E206)/Settings!$B$3,(E206-F206)/Settings!$B$3)</f>
        <v>-12200</v>
      </c>
      <c r="H206" s="0" t="n">
        <f aca="false">G206*D206*Settings!$B$4</f>
        <v>-0</v>
      </c>
      <c r="I206" s="0" t="n">
        <f aca="false">CurrentPositions!I201</f>
        <v>0</v>
      </c>
      <c r="J206" s="0" t="n">
        <f aca="false">CurrentPositions!J201</f>
        <v>0</v>
      </c>
    </row>
    <row r="207" customFormat="false" ht="15" hidden="false" customHeight="false" outlineLevel="0" collapsed="false"/>
    <row r="208" customFormat="false" ht="15" hidden="false" customHeight="false" outlineLevel="0" collapsed="false"/>
    <row r="209" customFormat="false" ht="15" hidden="false" customHeight="false" outlineLevel="0" collapsed="false"/>
    <row r="210" customFormat="false" ht="15" hidden="false" customHeight="false" outlineLevel="0" collapsed="false"/>
    <row r="211" customFormat="false" ht="15" hidden="false" customHeight="false" outlineLevel="0" collapsed="false"/>
    <row r="212" customFormat="false" ht="15" hidden="false" customHeight="false" outlineLevel="0" collapsed="false"/>
    <row r="213" customFormat="false" ht="15" hidden="false" customHeight="false" outlineLevel="0" collapsed="false"/>
    <row r="214" customFormat="false" ht="15" hidden="false" customHeight="false" outlineLevel="0" collapsed="false"/>
    <row r="215" customFormat="false" ht="15" hidden="false" customHeight="false" outlineLevel="0" collapsed="false"/>
    <row r="216" customFormat="false" ht="15" hidden="false" customHeight="false" outlineLevel="0" collapsed="false"/>
    <row r="217" customFormat="false" ht="15" hidden="false" customHeight="false" outlineLevel="0" collapsed="false"/>
    <row r="218" customFormat="false" ht="15" hidden="false" customHeight="false" outlineLevel="0" collapsed="false"/>
    <row r="219" customFormat="false" ht="15" hidden="false" customHeight="false" outlineLevel="0" collapsed="false"/>
    <row r="220" customFormat="false" ht="15" hidden="false" customHeight="false" outlineLevel="0" collapsed="false">
      <c r="A220" s="0" t="s">
        <v>59</v>
      </c>
      <c r="B220" s="0" t="s">
        <v>35</v>
      </c>
    </row>
    <row r="221" customFormat="false" ht="15" hidden="false" customHeight="false" outlineLevel="0" collapsed="false">
      <c r="A221" s="0" t="s">
        <v>60</v>
      </c>
      <c r="B221" s="0" t="n">
        <f aca="false">MIN(IF(AND(B7="BUY",H7&lt;0),H7,0),IF(AND(B8="BUY",H8&lt;0),H8,0),IF(AND(B9="BUY",H9&lt;0),H9,0))</f>
        <v>-80</v>
      </c>
    </row>
    <row r="222" customFormat="false" ht="15" hidden="false" customHeight="false" outlineLevel="0" collapsed="false">
      <c r="A222" s="0" t="s">
        <v>61</v>
      </c>
      <c r="B222" s="0" t="n">
        <f aca="false">IF(B7=B8,MIN(A7,A8),IF(H7=B221,A7,IF(H8=B221,A8,A9)))</f>
        <v>20003</v>
      </c>
    </row>
    <row r="223" customFormat="false" ht="15" hidden="false" customHeight="false" outlineLevel="0" collapsed="false">
      <c r="A223" s="0" t="s">
        <v>62</v>
      </c>
      <c r="B223" s="0" t="n">
        <f aca="false">IF(B222="N/A",0,INDEX(D7:D206,MATCH(B222,A7:A206,0)))</f>
        <v>1</v>
      </c>
    </row>
    <row r="224" customFormat="false" ht="15" hidden="false" customHeight="false" outlineLevel="0" collapsed="false">
      <c r="A224" s="0" t="s">
        <v>63</v>
      </c>
      <c r="B224" s="0" t="n">
        <f aca="false">IF(B222="N/A",0,ABS(INDEX(H7:H206,MATCH(B222,A7:A206,0))))</f>
        <v>80</v>
      </c>
    </row>
    <row r="225" customFormat="false" ht="15" hidden="false" customHeight="false" outlineLevel="0" collapsed="false">
      <c r="A225" s="0" t="s">
        <v>64</v>
      </c>
      <c r="B225" s="0" t="n">
        <f aca="false">IF(B223=0,0,ABS(B224/B223))</f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59</v>
      </c>
      <c r="B2" s="0" t="str">
        <f aca="false">Scenario_UP!B220</f>
        <v>SELL</v>
      </c>
    </row>
    <row r="3" customFormat="false" ht="13.8" hidden="false" customHeight="false" outlineLevel="0" collapsed="false">
      <c r="A3" s="0" t="s">
        <v>62</v>
      </c>
      <c r="B3" s="0" t="n">
        <f aca="false">Scenario_UP!B223</f>
        <v>1</v>
      </c>
    </row>
    <row r="4" customFormat="false" ht="13.8" hidden="false" customHeight="false" outlineLevel="0" collapsed="false">
      <c r="A4" s="0" t="s">
        <v>66</v>
      </c>
      <c r="B4" s="0" t="n">
        <v>1</v>
      </c>
    </row>
    <row r="5" customFormat="false" ht="13.8" hidden="false" customHeight="false" outlineLevel="0" collapsed="false">
      <c r="A5" s="0" t="s">
        <v>23</v>
      </c>
      <c r="B5" s="0" t="n">
        <f aca="false">INDEX(Settings!B21:B24,MATCH(B4,Settings!A21:A24,0))</f>
        <v>0.4</v>
      </c>
    </row>
    <row r="6" customFormat="false" ht="13.8" hidden="false" customHeight="false" outlineLevel="0" collapsed="false">
      <c r="A6" s="0" t="s">
        <v>24</v>
      </c>
      <c r="B6" s="0" t="n">
        <f aca="false">INDEX(Settings!C21:C24,MATCH(B4,Settings!A21:A24,0))</f>
        <v>0.15</v>
      </c>
    </row>
    <row r="7" customFormat="false" ht="13.8" hidden="false" customHeight="false" outlineLevel="0" collapsed="false">
      <c r="A7" s="0" t="s">
        <v>67</v>
      </c>
      <c r="B7" s="0" t="n">
        <f aca="false">FLOOR(B3*B5,Settings!$B$7)</f>
        <v>0.4</v>
      </c>
    </row>
    <row r="8" customFormat="false" ht="13.8" hidden="false" customHeight="false" outlineLevel="0" collapsed="false">
      <c r="A8" s="0" t="s">
        <v>68</v>
      </c>
      <c r="B8" s="0" t="n">
        <f aca="false">FLOOR(B3*B6,Settings!$B$7)</f>
        <v>0.15</v>
      </c>
    </row>
    <row r="9" customFormat="false" ht="13.8" hidden="false" customHeight="false" outlineLevel="0" collapsed="false">
      <c r="A9" s="0" t="s">
        <v>69</v>
      </c>
      <c r="B9" s="0" t="n">
        <f aca="false">COUNTIFS(CurrentPositions!C2:C500,"SECTION_BIG")</f>
        <v>1</v>
      </c>
    </row>
    <row r="10" customFormat="false" ht="13.8" hidden="false" customHeight="false" outlineLevel="0" collapsed="false">
      <c r="A10" s="0" t="s">
        <v>70</v>
      </c>
      <c r="B10" s="0" t="n">
        <f aca="false">SUM(CurrentPositions!D2:D500)+B7+B8</f>
        <v>3.1</v>
      </c>
    </row>
    <row r="11" customFormat="false" ht="13.8" hidden="false" customHeight="false" outlineLevel="0" collapsed="false">
      <c r="A11" s="0" t="s">
        <v>71</v>
      </c>
      <c r="B11" s="0" t="n">
        <f aca="false">ABS(SUMIFS(CurrentPositions!D2:D500,CurrentPositions!B2:B500,"BUY")+IF(B2="BUY",B7,0)+IF(B2="SELL",B8,0)-SUMIFS(CurrentPositions!D2:D500,CurrentPositions!B2:B500,"SELL")-IF(B2="SELL",B7,0)-IF(B2="BUY",B8,0))</f>
        <v>0.5</v>
      </c>
    </row>
    <row r="12" customFormat="false" ht="13.8" hidden="false" customHeight="false" outlineLevel="0" collapsed="false">
      <c r="A12" s="0" t="s">
        <v>72</v>
      </c>
      <c r="B12" s="0" t="s">
        <v>40</v>
      </c>
    </row>
    <row r="13" customFormat="false" ht="13.8" hidden="false" customHeight="false" outlineLevel="0" collapsed="false">
      <c r="A13" s="0" t="s">
        <v>73</v>
      </c>
      <c r="B13" s="0" t="s">
        <v>40</v>
      </c>
    </row>
    <row r="14" customFormat="false" ht="13.8" hidden="false" customHeight="false" outlineLevel="0" collapsed="false">
      <c r="A14" s="0" t="s">
        <v>74</v>
      </c>
      <c r="B14" s="0" t="str">
        <f aca="false">IF(AND(B7&gt;=Settings!$B$6,B8&gt;=Settings!$B$6,B8&lt;B7,B7&lt;=B3,B9&lt;Settings!$B$8,B10&lt;=Settings!$B$15,B11&lt;=Settings!$B$16,B12="YES",B13="YES"),"YES","NO")</f>
        <v>YES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>
      <c r="A20" s="1" t="s">
        <v>34</v>
      </c>
      <c r="B20" s="1" t="s">
        <v>75</v>
      </c>
      <c r="C20" s="1" t="s">
        <v>67</v>
      </c>
      <c r="D20" s="1" t="s">
        <v>76</v>
      </c>
      <c r="E20" s="1" t="s">
        <v>77</v>
      </c>
      <c r="F20" s="1" t="s">
        <v>68</v>
      </c>
      <c r="G20" s="1" t="s">
        <v>78</v>
      </c>
      <c r="H20" s="1" t="s">
        <v>48</v>
      </c>
      <c r="I20" s="1" t="s">
        <v>79</v>
      </c>
      <c r="J20" s="1" t="s">
        <v>80</v>
      </c>
      <c r="K20" s="1" t="s">
        <v>81</v>
      </c>
      <c r="L20" s="1" t="s">
        <v>82</v>
      </c>
      <c r="M20" s="1" t="s">
        <v>83</v>
      </c>
      <c r="N20" s="1" t="s">
        <v>84</v>
      </c>
      <c r="O20" s="1" t="s">
        <v>85</v>
      </c>
      <c r="P20" s="1" t="s">
        <v>86</v>
      </c>
      <c r="Q20" s="1" t="s">
        <v>87</v>
      </c>
      <c r="R20" s="1" t="s">
        <v>88</v>
      </c>
    </row>
    <row r="21" customFormat="false" ht="13.8" hidden="false" customHeight="false" outlineLevel="0" collapsed="false">
      <c r="A21" s="0" t="s">
        <v>42</v>
      </c>
      <c r="B21" s="0" t="str">
        <f aca="false">IFERROR(INDEX(CurrentPositions!B2:B500,MATCH(1,(CurrentPositions!C2:C500="SECTION_BIG")*(CurrentPositions!J2:J500=A21),0)),"")</f>
        <v>SELL</v>
      </c>
      <c r="C21" s="0" t="n">
        <f aca="false">IFERROR(INDEX(CurrentPositions!D2:D500,MATCH(1,(CurrentPositions!C2:C500="SECTION_BIG")*(CurrentPositions!J2:J500=A21),0)),0)</f>
        <v>0.4</v>
      </c>
      <c r="D21" s="0" t="n">
        <f aca="false">IFERROR(INDEX(CurrentPositions!E2:E500,MATCH(1,(CurrentPositions!C2:C500="SECTION_BIG")*(CurrentPositions!J2:J500=A21),0)),0)</f>
        <v>1.235</v>
      </c>
      <c r="E21" s="0" t="str">
        <f aca="false">IFERROR(INDEX(CurrentPositions!B2:B500,MATCH(1,(CurrentPositions!C2:C500="SECTION_SMALL")*(CurrentPositions!J2:J500=A21),0)),"")</f>
        <v>BUY</v>
      </c>
      <c r="F21" s="0" t="n">
        <f aca="false">IFERROR(INDEX(CurrentPositions!D2:D500,MATCH(1,(CurrentPositions!C2:C500="SECTION_SMALL")*(CurrentPositions!J2:J500=A21),0)),0)</f>
        <v>0.15</v>
      </c>
      <c r="G21" s="0" t="n">
        <f aca="false">IFERROR(INDEX(CurrentPositions!E2:E500,MATCH(1,(CurrentPositions!C2:C500="SECTION_SMALL")*(CurrentPositions!J2:J500=A21),0)),0)</f>
        <v>1.235</v>
      </c>
      <c r="H21" s="0" t="n">
        <f aca="false">Scenario_UP!B4</f>
        <v>1.24</v>
      </c>
      <c r="I21" s="0" t="n">
        <f aca="false">IF(B21="",0,IF(B21="BUY",(H21-D21)/Settings!$B$3*C21*Settings!$B$4,(D21-H21)/Settings!$B$3*C21*Settings!$B$4))</f>
        <v>-19.9999999999996</v>
      </c>
      <c r="J21" s="0" t="n">
        <f aca="false">IF(E21="",0,IF(E21="BUY",(H21-G21)/Settings!$B$3*F21*Settings!$B$4,(G21-H21)/Settings!$B$3*F21*Settings!$B$4))</f>
        <v>7.49999999999984</v>
      </c>
      <c r="K21" s="0" t="n">
        <f aca="false">C21+F21</f>
        <v>0.55</v>
      </c>
      <c r="L21" s="0" t="n">
        <f aca="false">IF(Settings!$B$19="FULL_CYCLE",2,1)</f>
        <v>2</v>
      </c>
      <c r="M21" s="0" t="n">
        <f aca="false">Settings!$B$12*Settings!$B$4*K21*L21</f>
        <v>22</v>
      </c>
      <c r="N21" s="0" t="n">
        <f aca="false">Settings!$B$13*K21*L21</f>
        <v>0</v>
      </c>
      <c r="O21" s="0" t="n">
        <f aca="false">Settings!$B$14*K21</f>
        <v>0</v>
      </c>
      <c r="P21" s="0" t="n">
        <f aca="false">M21+N21+O21</f>
        <v>22</v>
      </c>
      <c r="Q21" s="0" t="n">
        <f aca="false">I21+J21-P21</f>
        <v>-34.4999999999997</v>
      </c>
      <c r="R21" s="0" t="str">
        <f aca="false">IF(Q21&gt;0,"YES","NO")</f>
        <v>NO</v>
      </c>
    </row>
    <row r="22" customFormat="false" ht="13.8" hidden="false" customHeight="false" outlineLevel="0" collapsed="false">
      <c r="A22" s="0" t="s">
        <v>89</v>
      </c>
      <c r="B22" s="0" t="str">
        <f aca="false">IFERROR(INDEX(CurrentPositions!B2:B500,MATCH(1,(CurrentPositions!C2:C500="SECTION_BIG")*(CurrentPositions!J2:J500=A22),0)),"")</f>
        <v/>
      </c>
      <c r="C22" s="0" t="n">
        <f aca="false">IFERROR(INDEX(CurrentPositions!D2:D500,MATCH(1,(CurrentPositions!C2:C500="SECTION_BIG")*(CurrentPositions!J2:J500=A22),0)),0)</f>
        <v>0</v>
      </c>
      <c r="D22" s="0" t="n">
        <f aca="false">IFERROR(INDEX(CurrentPositions!E2:E500,MATCH(1,(CurrentPositions!C2:C500="SECTION_BIG")*(CurrentPositions!J2:J500=A22),0)),0)</f>
        <v>0</v>
      </c>
      <c r="E22" s="0" t="str">
        <f aca="false">IFERROR(INDEX(CurrentPositions!B2:B500,MATCH(1,(CurrentPositions!C2:C500="SECTION_SMALL")*(CurrentPositions!J2:J500=A22),0)),"")</f>
        <v/>
      </c>
      <c r="F22" s="0" t="n">
        <f aca="false">IFERROR(INDEX(CurrentPositions!D2:D500,MATCH(1,(CurrentPositions!C2:C500="SECTION_SMALL")*(CurrentPositions!J2:J500=A22),0)),0)</f>
        <v>0</v>
      </c>
      <c r="G22" s="0" t="n">
        <f aca="false">IFERROR(INDEX(CurrentPositions!E2:E500,MATCH(1,(CurrentPositions!C2:C500="SECTION_SMALL")*(CurrentPositions!J2:J500=A22),0)),0)</f>
        <v>0</v>
      </c>
      <c r="H22" s="0" t="n">
        <f aca="false">Scenario_UP!B4</f>
        <v>1.24</v>
      </c>
      <c r="I22" s="0" t="n">
        <f aca="false">IF(B22="",0,IF(B22="BUY",(H22-D22)/Settings!$B$3*C22*Settings!$B$4,(D22-H22)/Settings!$B$3*C22*Settings!$B$4))</f>
        <v>0</v>
      </c>
      <c r="J22" s="0" t="n">
        <f aca="false">IF(E22="",0,IF(E22="BUY",(H22-G22)/Settings!$B$3*F22*Settings!$B$4,(G22-H22)/Settings!$B$3*F22*Settings!$B$4))</f>
        <v>0</v>
      </c>
      <c r="K22" s="0" t="n">
        <f aca="false">C22+F22</f>
        <v>0</v>
      </c>
      <c r="L22" s="0" t="n">
        <f aca="false">IF(Settings!$B$19="FULL_CYCLE",2,1)</f>
        <v>2</v>
      </c>
      <c r="M22" s="0" t="n">
        <f aca="false">Settings!$B$12*Settings!$B$4*K22*L22</f>
        <v>0</v>
      </c>
      <c r="N22" s="0" t="n">
        <f aca="false">Settings!$B$13*K22*L22</f>
        <v>0</v>
      </c>
      <c r="O22" s="0" t="n">
        <f aca="false">Settings!$B$14*K22</f>
        <v>0</v>
      </c>
      <c r="P22" s="0" t="n">
        <f aca="false">M22+N22+O22</f>
        <v>0</v>
      </c>
      <c r="Q22" s="0" t="n">
        <f aca="false">I22+J22-P22</f>
        <v>0</v>
      </c>
      <c r="R22" s="0" t="str">
        <f aca="false">IF(Q22&gt;0,"YES","NO")</f>
        <v>NO</v>
      </c>
    </row>
    <row r="23" customFormat="false" ht="13.8" hidden="false" customHeight="false" outlineLevel="0" collapsed="false">
      <c r="A23" s="0" t="s">
        <v>90</v>
      </c>
      <c r="B23" s="0" t="str">
        <f aca="false">IFERROR(INDEX(CurrentPositions!B2:B500,MATCH(1,(CurrentPositions!C2:C500="SECTION_BIG")*(CurrentPositions!J2:J500=A23),0)),"")</f>
        <v/>
      </c>
      <c r="C23" s="0" t="n">
        <f aca="false">IFERROR(INDEX(CurrentPositions!D2:D500,MATCH(1,(CurrentPositions!C2:C500="SECTION_BIG")*(CurrentPositions!J2:J500=A23),0)),0)</f>
        <v>0</v>
      </c>
      <c r="D23" s="0" t="n">
        <f aca="false">IFERROR(INDEX(CurrentPositions!E2:E500,MATCH(1,(CurrentPositions!C2:C500="SECTION_BIG")*(CurrentPositions!J2:J500=A23),0)),0)</f>
        <v>0</v>
      </c>
      <c r="E23" s="0" t="str">
        <f aca="false">IFERROR(INDEX(CurrentPositions!B2:B500,MATCH(1,(CurrentPositions!C2:C500="SECTION_SMALL")*(CurrentPositions!J2:J500=A23),0)),"")</f>
        <v/>
      </c>
      <c r="F23" s="0" t="n">
        <f aca="false">IFERROR(INDEX(CurrentPositions!D2:D500,MATCH(1,(CurrentPositions!C2:C500="SECTION_SMALL")*(CurrentPositions!J2:J500=A23),0)),0)</f>
        <v>0</v>
      </c>
      <c r="G23" s="0" t="n">
        <f aca="false">IFERROR(INDEX(CurrentPositions!E2:E500,MATCH(1,(CurrentPositions!C2:C500="SECTION_SMALL")*(CurrentPositions!J2:J500=A23),0)),0)</f>
        <v>0</v>
      </c>
      <c r="H23" s="0" t="n">
        <f aca="false">Scenario_UP!B4</f>
        <v>1.24</v>
      </c>
      <c r="I23" s="0" t="n">
        <f aca="false">IF(B23="",0,IF(B23="BUY",(H23-D23)/Settings!$B$3*C23*Settings!$B$4,(D23-H23)/Settings!$B$3*C23*Settings!$B$4))</f>
        <v>0</v>
      </c>
      <c r="J23" s="0" t="n">
        <f aca="false">IF(E23="",0,IF(E23="BUY",(H23-G23)/Settings!$B$3*F23*Settings!$B$4,(G23-H23)/Settings!$B$3*F23*Settings!$B$4))</f>
        <v>0</v>
      </c>
      <c r="K23" s="0" t="n">
        <f aca="false">C23+F23</f>
        <v>0</v>
      </c>
      <c r="L23" s="0" t="n">
        <f aca="false">IF(Settings!$B$19="FULL_CYCLE",2,1)</f>
        <v>2</v>
      </c>
      <c r="M23" s="0" t="n">
        <f aca="false">Settings!$B$12*Settings!$B$4*K23*L23</f>
        <v>0</v>
      </c>
      <c r="N23" s="0" t="n">
        <f aca="false">Settings!$B$13*K23*L23</f>
        <v>0</v>
      </c>
      <c r="O23" s="0" t="n">
        <f aca="false">Settings!$B$14*K23</f>
        <v>0</v>
      </c>
      <c r="P23" s="0" t="n">
        <f aca="false">M23+N23+O23</f>
        <v>0</v>
      </c>
      <c r="Q23" s="0" t="n">
        <f aca="false">I23+J23-P23</f>
        <v>0</v>
      </c>
      <c r="R23" s="0" t="str">
        <f aca="false">IF(Q23&gt;0,"YES","NO")</f>
        <v>NO</v>
      </c>
    </row>
    <row r="24" customFormat="false" ht="13.8" hidden="false" customHeight="false" outlineLevel="0" collapsed="false">
      <c r="A24" s="0" t="s">
        <v>91</v>
      </c>
      <c r="B24" s="0" t="str">
        <f aca="false">IFERROR(INDEX(CurrentPositions!B2:B500,MATCH(1,(CurrentPositions!C2:C500="SECTION_BIG")*(CurrentPositions!J2:J500=A24),0)),"")</f>
        <v/>
      </c>
      <c r="C24" s="0" t="n">
        <f aca="false">IFERROR(INDEX(CurrentPositions!D2:D500,MATCH(1,(CurrentPositions!C2:C500="SECTION_BIG")*(CurrentPositions!J2:J500=A24),0)),0)</f>
        <v>0</v>
      </c>
      <c r="D24" s="0" t="n">
        <f aca="false">IFERROR(INDEX(CurrentPositions!E2:E500,MATCH(1,(CurrentPositions!C2:C500="SECTION_BIG")*(CurrentPositions!J2:J500=A24),0)),0)</f>
        <v>0</v>
      </c>
      <c r="E24" s="0" t="str">
        <f aca="false">IFERROR(INDEX(CurrentPositions!B2:B500,MATCH(1,(CurrentPositions!C2:C500="SECTION_SMALL")*(CurrentPositions!J2:J500=A24),0)),"")</f>
        <v/>
      </c>
      <c r="F24" s="0" t="n">
        <f aca="false">IFERROR(INDEX(CurrentPositions!D2:D500,MATCH(1,(CurrentPositions!C2:C500="SECTION_SMALL")*(CurrentPositions!J2:J500=A24),0)),0)</f>
        <v>0</v>
      </c>
      <c r="G24" s="0" t="n">
        <f aca="false">IFERROR(INDEX(CurrentPositions!E2:E500,MATCH(1,(CurrentPositions!C2:C500="SECTION_SMALL")*(CurrentPositions!J2:J500=A24),0)),0)</f>
        <v>0</v>
      </c>
      <c r="H24" s="0" t="n">
        <f aca="false">Scenario_UP!B4</f>
        <v>1.24</v>
      </c>
      <c r="I24" s="0" t="n">
        <f aca="false">IF(B24="",0,IF(B24="BUY",(H24-D24)/Settings!$B$3*C24*Settings!$B$4,(D24-H24)/Settings!$B$3*C24*Settings!$B$4))</f>
        <v>0</v>
      </c>
      <c r="J24" s="0" t="n">
        <f aca="false">IF(E24="",0,IF(E24="BUY",(H24-G24)/Settings!$B$3*F24*Settings!$B$4,(G24-H24)/Settings!$B$3*F24*Settings!$B$4))</f>
        <v>0</v>
      </c>
      <c r="K24" s="0" t="n">
        <f aca="false">C24+F24</f>
        <v>0</v>
      </c>
      <c r="L24" s="0" t="n">
        <f aca="false">IF(Settings!$B$19="FULL_CYCLE",2,1)</f>
        <v>2</v>
      </c>
      <c r="M24" s="0" t="n">
        <f aca="false">Settings!$B$12*Settings!$B$4*K24*L24</f>
        <v>0</v>
      </c>
      <c r="N24" s="0" t="n">
        <f aca="false">Settings!$B$13*K24*L24</f>
        <v>0</v>
      </c>
      <c r="O24" s="0" t="n">
        <f aca="false">Settings!$B$14*K24</f>
        <v>0</v>
      </c>
      <c r="P24" s="0" t="n">
        <f aca="false">M24+N24+O24</f>
        <v>0</v>
      </c>
      <c r="Q24" s="0" t="n">
        <f aca="false">I24+J24-P24</f>
        <v>0</v>
      </c>
      <c r="R24" s="0" t="str">
        <f aca="false">IF(Q24&gt;0,"YES","NO")</f>
        <v>NO</v>
      </c>
    </row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>
      <c r="A30" s="0" t="s">
        <v>92</v>
      </c>
      <c r="B30" s="0" t="str">
        <f aca="false">IFERROR(INDEX(A21:A24,MATCH("YES",R21:R24,0)),"NONE")</f>
        <v>NONE</v>
      </c>
    </row>
    <row r="31" customFormat="false" ht="13.8" hidden="false" customHeight="false" outlineLevel="0" collapsed="false">
      <c r="A31" s="0" t="s">
        <v>87</v>
      </c>
      <c r="B31" s="0" t="n">
        <f aca="false">IF(B30="NONE",0,INDEX(Q21:Q24,MATCH(B30,A21:A24,0)))</f>
        <v>0</v>
      </c>
    </row>
    <row r="32" customFormat="false" ht="13.8" hidden="false" customHeight="false" outlineLevel="0" collapsed="false">
      <c r="A32" s="0" t="s">
        <v>88</v>
      </c>
      <c r="B32" s="0" t="str">
        <f aca="false">IF(B31&gt;0,"YES","NO")</f>
        <v>NO</v>
      </c>
    </row>
    <row r="33" customFormat="false" ht="13.8" hidden="false" customHeight="false" outlineLevel="0" collapsed="false">
      <c r="A33" s="0" t="s">
        <v>93</v>
      </c>
      <c r="B33" s="0" t="n">
        <f aca="false">IF(B31&gt;0,B31*Settings!$B$9,0)</f>
        <v>0</v>
      </c>
    </row>
    <row r="34" customFormat="false" ht="13.8" hidden="false" customHeight="false" outlineLevel="0" collapsed="false">
      <c r="A34" s="0" t="s">
        <v>94</v>
      </c>
      <c r="B34" s="0" t="n">
        <f aca="false">IF(B31&gt;0,B31*Settings!$B$10,0)</f>
        <v>0</v>
      </c>
    </row>
    <row r="35" customFormat="false" ht="13.8" hidden="false" customHeight="false" outlineLevel="0" collapsed="false">
      <c r="A35" s="0" t="s">
        <v>95</v>
      </c>
      <c r="B35" s="0" t="n">
        <f aca="false">Settings!$B$17+B33</f>
        <v>0</v>
      </c>
    </row>
    <row r="36" customFormat="false" ht="13.8" hidden="false" customHeight="false" outlineLevel="0" collapsed="false">
      <c r="A36" s="0" t="s">
        <v>96</v>
      </c>
      <c r="B36" s="0" t="n">
        <f aca="false">Settings!$B$18+B34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59</v>
      </c>
      <c r="B2" s="0" t="str">
        <f aca="false">Scenario_DOWN!B220</f>
        <v>BUY</v>
      </c>
    </row>
    <row r="3" customFormat="false" ht="13.8" hidden="false" customHeight="false" outlineLevel="0" collapsed="false">
      <c r="A3" s="0" t="s">
        <v>62</v>
      </c>
      <c r="B3" s="0" t="n">
        <f aca="false">Scenario_DOWN!B223</f>
        <v>1</v>
      </c>
    </row>
    <row r="4" customFormat="false" ht="13.8" hidden="false" customHeight="false" outlineLevel="0" collapsed="false">
      <c r="A4" s="0" t="s">
        <v>66</v>
      </c>
      <c r="B4" s="0" t="n">
        <v>1</v>
      </c>
    </row>
    <row r="5" customFormat="false" ht="13.8" hidden="false" customHeight="false" outlineLevel="0" collapsed="false">
      <c r="A5" s="0" t="s">
        <v>23</v>
      </c>
      <c r="B5" s="0" t="n">
        <f aca="false">INDEX(Settings!B21:B24,MATCH(B4,Settings!A21:A24,0))</f>
        <v>0.4</v>
      </c>
    </row>
    <row r="6" customFormat="false" ht="13.8" hidden="false" customHeight="false" outlineLevel="0" collapsed="false">
      <c r="A6" s="0" t="s">
        <v>24</v>
      </c>
      <c r="B6" s="0" t="n">
        <f aca="false">INDEX(Settings!C21:C24,MATCH(B4,Settings!A21:A24,0))</f>
        <v>0.15</v>
      </c>
    </row>
    <row r="7" customFormat="false" ht="13.8" hidden="false" customHeight="false" outlineLevel="0" collapsed="false">
      <c r="A7" s="0" t="s">
        <v>67</v>
      </c>
      <c r="B7" s="0" t="n">
        <f aca="false">FLOOR(B3*B5,Settings!$B$7)</f>
        <v>0.4</v>
      </c>
    </row>
    <row r="8" customFormat="false" ht="13.8" hidden="false" customHeight="false" outlineLevel="0" collapsed="false">
      <c r="A8" s="0" t="s">
        <v>68</v>
      </c>
      <c r="B8" s="0" t="n">
        <f aca="false">FLOOR(B3*B6,Settings!$B$7)</f>
        <v>0.15</v>
      </c>
    </row>
    <row r="9" customFormat="false" ht="13.8" hidden="false" customHeight="false" outlineLevel="0" collapsed="false">
      <c r="A9" s="0" t="s">
        <v>69</v>
      </c>
      <c r="B9" s="0" t="n">
        <f aca="false">COUNTIFS(CurrentPositions!C2:C500,"SECTION_BIG")</f>
        <v>1</v>
      </c>
    </row>
    <row r="10" customFormat="false" ht="13.8" hidden="false" customHeight="false" outlineLevel="0" collapsed="false">
      <c r="A10" s="0" t="s">
        <v>70</v>
      </c>
      <c r="B10" s="0" t="n">
        <f aca="false">SUM(CurrentPositions!D2:D500)+B7+B8</f>
        <v>3.1</v>
      </c>
    </row>
    <row r="11" customFormat="false" ht="13.8" hidden="false" customHeight="false" outlineLevel="0" collapsed="false">
      <c r="A11" s="0" t="s">
        <v>71</v>
      </c>
      <c r="B11" s="0" t="n">
        <f aca="false">ABS(SUMIFS(CurrentPositions!D2:D500,CurrentPositions!B2:B500,"BUY")+IF(B2="BUY",B7,0)+IF(B2="SELL",B8,0)-SUMIFS(CurrentPositions!D2:D500,CurrentPositions!B2:B500,"SELL")-IF(B2="SELL",B7,0)-IF(B2="BUY",B8,0))</f>
        <v>0</v>
      </c>
    </row>
    <row r="12" customFormat="false" ht="13.8" hidden="false" customHeight="false" outlineLevel="0" collapsed="false">
      <c r="A12" s="0" t="s">
        <v>72</v>
      </c>
      <c r="B12" s="0" t="e">
        <f aca="false">IF(Scenario_DOWN!B4&lt;=IF(B4=1,Scenario_DOWN!E9,IF(B4=2,Scenario_DOWN!E10,IF(B4=3,Scenario_DOWN!E11,Scenario_DOWN!E12))),"YES","NO")</f>
        <v>#VALUE!</v>
      </c>
    </row>
    <row r="13" customFormat="false" ht="13.8" hidden="false" customHeight="false" outlineLevel="0" collapsed="false">
      <c r="A13" s="0" t="s">
        <v>73</v>
      </c>
      <c r="B13" s="0" t="str">
        <f aca="false">IF(B2="SELL",IF(COUNTIFS(CurrentPositions!B2:B500,"BUY",CurrentPositions!C2:C500,"SECTION_BIG")=0,"YES","NO"),IF(B2="BUY",IF(COUNTIFS(CurrentPositions!B2:B500,"SELL",CurrentPositions!C2:C500,"SECTION_BIG")=0,"YES","NO"),"NO"))</f>
        <v>NO</v>
      </c>
    </row>
    <row r="14" customFormat="false" ht="13.8" hidden="false" customHeight="false" outlineLevel="0" collapsed="false">
      <c r="A14" s="0" t="s">
        <v>74</v>
      </c>
      <c r="B14" s="0" t="e">
        <f aca="false">IF(AND(B7&gt;=Settings!$B$6,B8&gt;=Settings!$B$6,B8&lt;B7,B7&lt;=B3,B9&lt;Settings!$B$8,B10&lt;=Settings!$B$15,B11&lt;=Settings!$B$16,B12="YES",B13="YES"),"YES","NO")</f>
        <v>#VALUE!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>
      <c r="A20" s="1" t="s">
        <v>34</v>
      </c>
      <c r="B20" s="1" t="s">
        <v>75</v>
      </c>
      <c r="C20" s="1" t="s">
        <v>67</v>
      </c>
      <c r="D20" s="1" t="s">
        <v>76</v>
      </c>
      <c r="E20" s="1" t="s">
        <v>77</v>
      </c>
      <c r="F20" s="1" t="s">
        <v>68</v>
      </c>
      <c r="G20" s="1" t="s">
        <v>78</v>
      </c>
      <c r="H20" s="1" t="s">
        <v>48</v>
      </c>
      <c r="I20" s="1" t="s">
        <v>79</v>
      </c>
      <c r="J20" s="1" t="s">
        <v>80</v>
      </c>
      <c r="K20" s="1" t="s">
        <v>81</v>
      </c>
      <c r="L20" s="1" t="s">
        <v>82</v>
      </c>
      <c r="M20" s="1" t="s">
        <v>83</v>
      </c>
      <c r="N20" s="1" t="s">
        <v>84</v>
      </c>
      <c r="O20" s="1" t="s">
        <v>85</v>
      </c>
      <c r="P20" s="1" t="s">
        <v>86</v>
      </c>
      <c r="Q20" s="1" t="s">
        <v>87</v>
      </c>
      <c r="R20" s="1" t="s">
        <v>88</v>
      </c>
    </row>
    <row r="21" customFormat="false" ht="13.8" hidden="false" customHeight="false" outlineLevel="0" collapsed="false">
      <c r="A21" s="0" t="s">
        <v>42</v>
      </c>
      <c r="B21" s="0" t="str">
        <f aca="false">IFERROR(INDEX(CurrentPositions!B2:B500,MATCH(1,(CurrentPositions!C2:C500="SECTION_BIG")*(CurrentPositions!J2:J500=A21),0)),"")</f>
        <v>SELL</v>
      </c>
      <c r="C21" s="0" t="n">
        <f aca="false">IFERROR(INDEX(CurrentPositions!D2:D500,MATCH(1,(CurrentPositions!C2:C500="SECTION_BIG")*(CurrentPositions!J2:J500=A21),0)),0)</f>
        <v>0.4</v>
      </c>
      <c r="D21" s="0" t="n">
        <f aca="false">IFERROR(INDEX(CurrentPositions!E2:E500,MATCH(1,(CurrentPositions!C2:C500="SECTION_BIG")*(CurrentPositions!J2:J500=A21),0)),0)</f>
        <v>1.235</v>
      </c>
      <c r="E21" s="0" t="str">
        <f aca="false">IFERROR(INDEX(CurrentPositions!B2:B500,MATCH(1,(CurrentPositions!C2:C500="SECTION_SMALL")*(CurrentPositions!J2:J500=A21),0)),"")</f>
        <v>BUY</v>
      </c>
      <c r="F21" s="0" t="n">
        <f aca="false">IFERROR(INDEX(CurrentPositions!D2:D500,MATCH(1,(CurrentPositions!C2:C500="SECTION_SMALL")*(CurrentPositions!J2:J500=A21),0)),0)</f>
        <v>0.15</v>
      </c>
      <c r="G21" s="0" t="n">
        <f aca="false">IFERROR(INDEX(CurrentPositions!E2:E500,MATCH(1,(CurrentPositions!C2:C500="SECTION_SMALL")*(CurrentPositions!J2:J500=A21),0)),0)</f>
        <v>1.235</v>
      </c>
      <c r="H21" s="0" t="n">
        <f aca="false">Scenario_DOWN!B4</f>
        <v>1.22</v>
      </c>
      <c r="I21" s="0" t="n">
        <f aca="false">IF(B21="",0,IF(B21="BUY",(H21-D21)/Settings!$B$3*C21*Settings!$B$4,(D21-H21)/Settings!$B$3*C21*Settings!$B$4))</f>
        <v>60.0000000000005</v>
      </c>
      <c r="J21" s="0" t="n">
        <f aca="false">IF(E21="",0,IF(E21="BUY",(H21-G21)/Settings!$B$3*F21*Settings!$B$4,(G21-H21)/Settings!$B$3*F21*Settings!$B$4))</f>
        <v>-22.5000000000002</v>
      </c>
      <c r="K21" s="0" t="n">
        <f aca="false">C21+F21</f>
        <v>0.55</v>
      </c>
      <c r="L21" s="0" t="n">
        <f aca="false">IF(Settings!$B$19="FULL_CYCLE",2,1)</f>
        <v>2</v>
      </c>
      <c r="M21" s="0" t="n">
        <f aca="false">Settings!$B$12*Settings!$B$4*K21*L21</f>
        <v>22</v>
      </c>
      <c r="N21" s="0" t="n">
        <f aca="false">Settings!$B$13*K21*L21</f>
        <v>0</v>
      </c>
      <c r="O21" s="0" t="n">
        <f aca="false">Settings!$B$14*K21</f>
        <v>0</v>
      </c>
      <c r="P21" s="0" t="n">
        <f aca="false">M21+N21+O21</f>
        <v>22</v>
      </c>
      <c r="Q21" s="0" t="n">
        <f aca="false">I21+J21-P21</f>
        <v>15.5000000000003</v>
      </c>
      <c r="R21" s="0" t="str">
        <f aca="false">IF(Q21&gt;0,"YES","NO")</f>
        <v>YES</v>
      </c>
    </row>
    <row r="22" customFormat="false" ht="13.8" hidden="false" customHeight="false" outlineLevel="0" collapsed="false">
      <c r="A22" s="0" t="s">
        <v>89</v>
      </c>
      <c r="B22" s="0" t="str">
        <f aca="false">IFERROR(INDEX(CurrentPositions!B2:B500,MATCH(1,(CurrentPositions!C2:C500="SECTION_BIG")*(CurrentPositions!J2:J500=A22),0)),"")</f>
        <v/>
      </c>
      <c r="C22" s="0" t="n">
        <f aca="false">IFERROR(INDEX(CurrentPositions!D2:D500,MATCH(1,(CurrentPositions!C2:C500="SECTION_BIG")*(CurrentPositions!J2:J500=A22),0)),0)</f>
        <v>0</v>
      </c>
      <c r="D22" s="0" t="n">
        <f aca="false">IFERROR(INDEX(CurrentPositions!E2:E500,MATCH(1,(CurrentPositions!C2:C500="SECTION_BIG")*(CurrentPositions!J2:J500=A22),0)),0)</f>
        <v>0</v>
      </c>
      <c r="E22" s="0" t="str">
        <f aca="false">IFERROR(INDEX(CurrentPositions!B2:B500,MATCH(1,(CurrentPositions!C2:C500="SECTION_SMALL")*(CurrentPositions!J2:J500=A22),0)),"")</f>
        <v/>
      </c>
      <c r="F22" s="0" t="n">
        <f aca="false">IFERROR(INDEX(CurrentPositions!D2:D500,MATCH(1,(CurrentPositions!C2:C500="SECTION_SMALL")*(CurrentPositions!J2:J500=A22),0)),0)</f>
        <v>0</v>
      </c>
      <c r="G22" s="0" t="n">
        <f aca="false">IFERROR(INDEX(CurrentPositions!E2:E500,MATCH(1,(CurrentPositions!C2:C500="SECTION_SMALL")*(CurrentPositions!J2:J500=A22),0)),0)</f>
        <v>0</v>
      </c>
      <c r="H22" s="0" t="n">
        <f aca="false">Scenario_DOWN!B4</f>
        <v>1.22</v>
      </c>
      <c r="I22" s="0" t="n">
        <f aca="false">IF(B22="",0,IF(B22="BUY",(H22-D22)/Settings!$B$3*C22*Settings!$B$4,(D22-H22)/Settings!$B$3*C22*Settings!$B$4))</f>
        <v>0</v>
      </c>
      <c r="J22" s="0" t="n">
        <f aca="false">IF(E22="",0,IF(E22="BUY",(H22-G22)/Settings!$B$3*F22*Settings!$B$4,(G22-H22)/Settings!$B$3*F22*Settings!$B$4))</f>
        <v>0</v>
      </c>
      <c r="K22" s="0" t="n">
        <f aca="false">C22+F22</f>
        <v>0</v>
      </c>
      <c r="L22" s="0" t="n">
        <f aca="false">IF(Settings!$B$19="FULL_CYCLE",2,1)</f>
        <v>2</v>
      </c>
      <c r="M22" s="0" t="n">
        <f aca="false">Settings!$B$12*Settings!$B$4*K22*L22</f>
        <v>0</v>
      </c>
      <c r="N22" s="0" t="n">
        <f aca="false">Settings!$B$13*K22*L22</f>
        <v>0</v>
      </c>
      <c r="O22" s="0" t="n">
        <f aca="false">Settings!$B$14*K22</f>
        <v>0</v>
      </c>
      <c r="P22" s="0" t="n">
        <f aca="false">M22+N22+O22</f>
        <v>0</v>
      </c>
      <c r="Q22" s="0" t="n">
        <f aca="false">I22+J22-P22</f>
        <v>0</v>
      </c>
      <c r="R22" s="0" t="str">
        <f aca="false">IF(Q22&gt;0,"YES","NO")</f>
        <v>NO</v>
      </c>
    </row>
    <row r="23" customFormat="false" ht="13.8" hidden="false" customHeight="false" outlineLevel="0" collapsed="false">
      <c r="A23" s="0" t="s">
        <v>90</v>
      </c>
      <c r="B23" s="0" t="str">
        <f aca="false">IFERROR(INDEX(CurrentPositions!B2:B500,MATCH(1,(CurrentPositions!C2:C500="SECTION_BIG")*(CurrentPositions!J2:J500=A23),0)),"")</f>
        <v/>
      </c>
      <c r="C23" s="0" t="n">
        <f aca="false">IFERROR(INDEX(CurrentPositions!D2:D500,MATCH(1,(CurrentPositions!C2:C500="SECTION_BIG")*(CurrentPositions!J2:J500=A23),0)),0)</f>
        <v>0</v>
      </c>
      <c r="D23" s="0" t="n">
        <f aca="false">IFERROR(INDEX(CurrentPositions!E2:E500,MATCH(1,(CurrentPositions!C2:C500="SECTION_BIG")*(CurrentPositions!J2:J500=A23),0)),0)</f>
        <v>0</v>
      </c>
      <c r="E23" s="0" t="str">
        <f aca="false">IFERROR(INDEX(CurrentPositions!B2:B500,MATCH(1,(CurrentPositions!C2:C500="SECTION_SMALL")*(CurrentPositions!J2:J500=A23),0)),"")</f>
        <v/>
      </c>
      <c r="F23" s="0" t="n">
        <f aca="false">IFERROR(INDEX(CurrentPositions!D2:D500,MATCH(1,(CurrentPositions!C2:C500="SECTION_SMALL")*(CurrentPositions!J2:J500=A23),0)),0)</f>
        <v>0</v>
      </c>
      <c r="G23" s="0" t="n">
        <f aca="false">IFERROR(INDEX(CurrentPositions!E2:E500,MATCH(1,(CurrentPositions!C2:C500="SECTION_SMALL")*(CurrentPositions!J2:J500=A23),0)),0)</f>
        <v>0</v>
      </c>
      <c r="H23" s="0" t="n">
        <f aca="false">Scenario_DOWN!B4</f>
        <v>1.22</v>
      </c>
      <c r="I23" s="0" t="n">
        <f aca="false">IF(B23="",0,IF(B23="BUY",(H23-D23)/Settings!$B$3*C23*Settings!$B$4,(D23-H23)/Settings!$B$3*C23*Settings!$B$4))</f>
        <v>0</v>
      </c>
      <c r="J23" s="0" t="n">
        <f aca="false">IF(E23="",0,IF(E23="BUY",(H23-G23)/Settings!$B$3*F23*Settings!$B$4,(G23-H23)/Settings!$B$3*F23*Settings!$B$4))</f>
        <v>0</v>
      </c>
      <c r="K23" s="0" t="n">
        <f aca="false">C23+F23</f>
        <v>0</v>
      </c>
      <c r="L23" s="0" t="n">
        <f aca="false">IF(Settings!$B$19="FULL_CYCLE",2,1)</f>
        <v>2</v>
      </c>
      <c r="M23" s="0" t="n">
        <f aca="false">Settings!$B$12*Settings!$B$4*K23*L23</f>
        <v>0</v>
      </c>
      <c r="N23" s="0" t="n">
        <f aca="false">Settings!$B$13*K23*L23</f>
        <v>0</v>
      </c>
      <c r="O23" s="0" t="n">
        <f aca="false">Settings!$B$14*K23</f>
        <v>0</v>
      </c>
      <c r="P23" s="0" t="n">
        <f aca="false">M23+N23+O23</f>
        <v>0</v>
      </c>
      <c r="Q23" s="0" t="n">
        <f aca="false">I23+J23-P23</f>
        <v>0</v>
      </c>
      <c r="R23" s="0" t="str">
        <f aca="false">IF(Q23&gt;0,"YES","NO")</f>
        <v>NO</v>
      </c>
    </row>
    <row r="24" customFormat="false" ht="13.8" hidden="false" customHeight="false" outlineLevel="0" collapsed="false">
      <c r="A24" s="0" t="s">
        <v>91</v>
      </c>
      <c r="B24" s="0" t="str">
        <f aca="false">IFERROR(INDEX(CurrentPositions!B2:B500,MATCH(1,(CurrentPositions!C2:C500="SECTION_BIG")*(CurrentPositions!J2:J500=A24),0)),"")</f>
        <v/>
      </c>
      <c r="C24" s="0" t="n">
        <f aca="false">IFERROR(INDEX(CurrentPositions!D2:D500,MATCH(1,(CurrentPositions!C2:C500="SECTION_BIG")*(CurrentPositions!J2:J500=A24),0)),0)</f>
        <v>0</v>
      </c>
      <c r="D24" s="0" t="n">
        <f aca="false">IFERROR(INDEX(CurrentPositions!E2:E500,MATCH(1,(CurrentPositions!C2:C500="SECTION_BIG")*(CurrentPositions!J2:J500=A24),0)),0)</f>
        <v>0</v>
      </c>
      <c r="E24" s="0" t="str">
        <f aca="false">IFERROR(INDEX(CurrentPositions!B2:B500,MATCH(1,(CurrentPositions!C2:C500="SECTION_SMALL")*(CurrentPositions!J2:J500=A24),0)),"")</f>
        <v/>
      </c>
      <c r="F24" s="0" t="n">
        <f aca="false">IFERROR(INDEX(CurrentPositions!D2:D500,MATCH(1,(CurrentPositions!C2:C500="SECTION_SMALL")*(CurrentPositions!J2:J500=A24),0)),0)</f>
        <v>0</v>
      </c>
      <c r="G24" s="0" t="n">
        <f aca="false">IFERROR(INDEX(CurrentPositions!E2:E500,MATCH(1,(CurrentPositions!C2:C500="SECTION_SMALL")*(CurrentPositions!J2:J500=A24),0)),0)</f>
        <v>0</v>
      </c>
      <c r="H24" s="0" t="n">
        <f aca="false">Scenario_DOWN!B4</f>
        <v>1.22</v>
      </c>
      <c r="I24" s="0" t="n">
        <f aca="false">IF(B24="",0,IF(B24="BUY",(H24-D24)/Settings!$B$3*C24*Settings!$B$4,(D24-H24)/Settings!$B$3*C24*Settings!$B$4))</f>
        <v>0</v>
      </c>
      <c r="J24" s="0" t="n">
        <f aca="false">IF(E24="",0,IF(E24="BUY",(H24-G24)/Settings!$B$3*F24*Settings!$B$4,(G24-H24)/Settings!$B$3*F24*Settings!$B$4))</f>
        <v>0</v>
      </c>
      <c r="K24" s="0" t="n">
        <f aca="false">C24+F24</f>
        <v>0</v>
      </c>
      <c r="L24" s="0" t="n">
        <f aca="false">IF(Settings!$B$19="FULL_CYCLE",2,1)</f>
        <v>2</v>
      </c>
      <c r="M24" s="0" t="n">
        <f aca="false">Settings!$B$12*Settings!$B$4*K24*L24</f>
        <v>0</v>
      </c>
      <c r="N24" s="0" t="n">
        <f aca="false">Settings!$B$13*K24*L24</f>
        <v>0</v>
      </c>
      <c r="O24" s="0" t="n">
        <f aca="false">Settings!$B$14*K24</f>
        <v>0</v>
      </c>
      <c r="P24" s="0" t="n">
        <f aca="false">M24+N24+O24</f>
        <v>0</v>
      </c>
      <c r="Q24" s="0" t="n">
        <f aca="false">I24+J24-P24</f>
        <v>0</v>
      </c>
      <c r="R24" s="0" t="str">
        <f aca="false">IF(Q24&gt;0,"YES","NO")</f>
        <v>NO</v>
      </c>
    </row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28" customFormat="false" ht="13.8" hidden="false" customHeight="false" outlineLevel="0" collapsed="false"/>
    <row r="29" customFormat="false" ht="13.8" hidden="false" customHeight="false" outlineLevel="0" collapsed="false"/>
    <row r="30" customFormat="false" ht="13.8" hidden="false" customHeight="false" outlineLevel="0" collapsed="false">
      <c r="A30" s="0" t="s">
        <v>92</v>
      </c>
      <c r="B30" s="0" t="str">
        <f aca="false">IFERROR(INDEX(A21:A24,MATCH("YES",R21:R24,0)),"NONE")</f>
        <v>S1</v>
      </c>
    </row>
    <row r="31" customFormat="false" ht="13.8" hidden="false" customHeight="false" outlineLevel="0" collapsed="false">
      <c r="A31" s="0" t="s">
        <v>87</v>
      </c>
      <c r="B31" s="0" t="n">
        <f aca="false">IF(B30="NONE",0,INDEX(Q21:Q24,MATCH(B30,A21:A24,0)))</f>
        <v>15.5000000000003</v>
      </c>
    </row>
    <row r="32" customFormat="false" ht="13.8" hidden="false" customHeight="false" outlineLevel="0" collapsed="false">
      <c r="A32" s="0" t="s">
        <v>88</v>
      </c>
      <c r="B32" s="0" t="str">
        <f aca="false">IF(B31&gt;0,"YES","NO")</f>
        <v>YES</v>
      </c>
    </row>
    <row r="33" customFormat="false" ht="13.8" hidden="false" customHeight="false" outlineLevel="0" collapsed="false">
      <c r="A33" s="0" t="s">
        <v>93</v>
      </c>
      <c r="B33" s="0" t="n">
        <f aca="false">IF(B31&gt;0,B31*Settings!$B$9,0)</f>
        <v>3.10000000000006</v>
      </c>
    </row>
    <row r="34" customFormat="false" ht="13.8" hidden="false" customHeight="false" outlineLevel="0" collapsed="false">
      <c r="A34" s="0" t="s">
        <v>94</v>
      </c>
      <c r="B34" s="0" t="n">
        <f aca="false">IF(B31&gt;0,B31*Settings!$B$10,0)</f>
        <v>12.4000000000003</v>
      </c>
    </row>
    <row r="35" customFormat="false" ht="13.8" hidden="false" customHeight="false" outlineLevel="0" collapsed="false">
      <c r="A35" s="0" t="s">
        <v>95</v>
      </c>
      <c r="B35" s="0" t="n">
        <f aca="false">Settings!$B$17+B33</f>
        <v>3.10000000000006</v>
      </c>
    </row>
    <row r="36" customFormat="false" ht="13.8" hidden="false" customHeight="false" outlineLevel="0" collapsed="false">
      <c r="A36" s="0" t="s">
        <v>96</v>
      </c>
      <c r="B36" s="0" t="n">
        <f aca="false">Settings!$B$18+B34</f>
        <v>12.4000000000003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59</v>
      </c>
      <c r="B2" s="0" t="str">
        <f aca="false">Scenario_UP!B220</f>
        <v>SELL</v>
      </c>
    </row>
    <row r="3" customFormat="false" ht="13.8" hidden="false" customHeight="false" outlineLevel="0" collapsed="false">
      <c r="A3" s="0" t="s">
        <v>61</v>
      </c>
      <c r="B3" s="0" t="n">
        <f aca="false">Scenario_UP!B222</f>
        <v>10005</v>
      </c>
    </row>
    <row r="4" customFormat="false" ht="13.8" hidden="false" customHeight="false" outlineLevel="0" collapsed="false">
      <c r="A4" s="0" t="s">
        <v>62</v>
      </c>
      <c r="B4" s="0" t="n">
        <f aca="false">Scenario_UP!B223</f>
        <v>1</v>
      </c>
    </row>
    <row r="5" customFormat="false" ht="13.8" hidden="false" customHeight="false" outlineLevel="0" collapsed="false">
      <c r="A5" s="0" t="s">
        <v>64</v>
      </c>
      <c r="B5" s="0" t="n">
        <v>400</v>
      </c>
    </row>
    <row r="6" customFormat="false" ht="13.8" hidden="false" customHeight="false" outlineLevel="0" collapsed="false">
      <c r="A6" s="0" t="s">
        <v>88</v>
      </c>
      <c r="B6" s="0" t="s">
        <v>37</v>
      </c>
    </row>
    <row r="7" customFormat="false" ht="13.8" hidden="false" customHeight="false" outlineLevel="0" collapsed="false">
      <c r="A7" s="0" t="s">
        <v>97</v>
      </c>
      <c r="B7" s="0" t="n">
        <v>100</v>
      </c>
    </row>
    <row r="8" customFormat="false" ht="13.8" hidden="false" customHeight="false" outlineLevel="0" collapsed="false">
      <c r="A8" s="0" t="s">
        <v>98</v>
      </c>
      <c r="B8" s="0" t="n">
        <f aca="false">IF(OR(B6&lt;&gt;"YES",B5=0),0,B7/B5)</f>
        <v>0</v>
      </c>
    </row>
    <row r="9" customFormat="false" ht="13.8" hidden="false" customHeight="false" outlineLevel="0" collapsed="false">
      <c r="A9" s="0" t="s">
        <v>99</v>
      </c>
      <c r="B9" s="0" t="n">
        <f aca="false">FLOOR(B8,Settings!$B$7)</f>
        <v>0</v>
      </c>
    </row>
    <row r="10" customFormat="false" ht="13.8" hidden="false" customHeight="false" outlineLevel="0" collapsed="false">
      <c r="A10" s="0" t="s">
        <v>100</v>
      </c>
      <c r="B10" s="0" t="n">
        <f aca="false">IF(B6="YES",MIN(B9,B4),0)</f>
        <v>0</v>
      </c>
    </row>
    <row r="11" customFormat="false" ht="13.8" hidden="false" customHeight="false" outlineLevel="0" collapsed="false">
      <c r="A11" s="0" t="s">
        <v>101</v>
      </c>
      <c r="B11" s="0" t="str">
        <f aca="false">IF(AND(B10&gt;=Settings!$B$6,B6="YES"),"YES","NO")</f>
        <v>NO</v>
      </c>
    </row>
    <row r="12" customFormat="false" ht="13.8" hidden="false" customHeight="false" outlineLevel="0" collapsed="false">
      <c r="A12" s="0" t="s">
        <v>102</v>
      </c>
      <c r="B12" s="0" t="n">
        <f aca="false">B10*B5</f>
        <v>0</v>
      </c>
    </row>
    <row r="13" customFormat="false" ht="13.8" hidden="false" customHeight="false" outlineLevel="0" collapsed="false">
      <c r="A13" s="0" t="s">
        <v>103</v>
      </c>
      <c r="B13" s="0" t="n">
        <f aca="false">MAX(0,B7-B12)</f>
        <v>100</v>
      </c>
    </row>
    <row r="14" customFormat="false" ht="13.8" hidden="false" customHeight="false" outlineLevel="0" collapsed="false">
      <c r="A14" s="0" t="s">
        <v>104</v>
      </c>
      <c r="B14" s="0" t="n">
        <v>0.14</v>
      </c>
    </row>
    <row r="15" customFormat="false" ht="13.8" hidden="false" customHeight="false" outlineLevel="0" collapsed="false">
      <c r="A15" s="0" t="s">
        <v>66</v>
      </c>
      <c r="B15" s="0" t="n">
        <v>2</v>
      </c>
    </row>
    <row r="16" customFormat="false" ht="13.8" hidden="false" customHeight="false" outlineLevel="0" collapsed="false">
      <c r="A16" s="0" t="s">
        <v>105</v>
      </c>
      <c r="B16" s="0" t="n">
        <f aca="false">FLOOR(B14*INDEX(Settings!B21:B24,MATCH(B15,Settings!A21:A24,0)),Settings!$B$7)</f>
        <v>0.03</v>
      </c>
    </row>
    <row r="17" customFormat="false" ht="13.8" hidden="false" customHeight="false" outlineLevel="0" collapsed="false">
      <c r="A17" s="0" t="s">
        <v>106</v>
      </c>
      <c r="B17" s="0" t="n">
        <f aca="false">FLOOR(B14*INDEX(Settings!C21:C24,MATCH(B15,Settings!A21:A24,0)),Settings!$B$7)</f>
        <v>0.01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</row>
    <row r="2" customFormat="false" ht="13.8" hidden="false" customHeight="false" outlineLevel="0" collapsed="false">
      <c r="A2" s="0" t="s">
        <v>59</v>
      </c>
      <c r="B2" s="0" t="str">
        <f aca="false">Scenario_DOWN!B220</f>
        <v>BUY</v>
      </c>
    </row>
    <row r="3" customFormat="false" ht="13.8" hidden="false" customHeight="false" outlineLevel="0" collapsed="false">
      <c r="A3" s="0" t="s">
        <v>61</v>
      </c>
      <c r="B3" s="0" t="n">
        <f aca="false">Scenario_DOWN!B222</f>
        <v>20003</v>
      </c>
    </row>
    <row r="4" customFormat="false" ht="13.8" hidden="false" customHeight="false" outlineLevel="0" collapsed="false">
      <c r="A4" s="0" t="s">
        <v>62</v>
      </c>
      <c r="B4" s="0" t="n">
        <f aca="false">Scenario_DOWN!B223</f>
        <v>1</v>
      </c>
    </row>
    <row r="5" customFormat="false" ht="13.8" hidden="false" customHeight="false" outlineLevel="0" collapsed="false">
      <c r="A5" s="0" t="s">
        <v>64</v>
      </c>
      <c r="B5" s="0" t="n">
        <f aca="false">Scenario_DOWN!B225</f>
        <v>80</v>
      </c>
    </row>
    <row r="6" customFormat="false" ht="13.8" hidden="false" customHeight="false" outlineLevel="0" collapsed="false">
      <c r="A6" s="0" t="s">
        <v>88</v>
      </c>
      <c r="B6" s="0" t="str">
        <f aca="false">SectionCalculator_DOWN!B32</f>
        <v>YES</v>
      </c>
    </row>
    <row r="7" customFormat="false" ht="13.8" hidden="false" customHeight="false" outlineLevel="0" collapsed="false">
      <c r="A7" s="0" t="s">
        <v>97</v>
      </c>
      <c r="B7" s="0" t="n">
        <f aca="false">SectionCalculator_DOWN!B36</f>
        <v>12.4000000000003</v>
      </c>
    </row>
    <row r="8" customFormat="false" ht="13.8" hidden="false" customHeight="false" outlineLevel="0" collapsed="false">
      <c r="A8" s="0" t="s">
        <v>98</v>
      </c>
      <c r="B8" s="0" t="n">
        <f aca="false">IF(OR(B6&lt;&gt;"YES",B5=0),0,B7/B5)</f>
        <v>0.155000000000003</v>
      </c>
    </row>
    <row r="9" customFormat="false" ht="13.8" hidden="false" customHeight="false" outlineLevel="0" collapsed="false">
      <c r="A9" s="0" t="s">
        <v>99</v>
      </c>
      <c r="B9" s="0" t="n">
        <f aca="false">FLOOR(B8,Settings!$B$7)</f>
        <v>0.15</v>
      </c>
    </row>
    <row r="10" customFormat="false" ht="13.8" hidden="false" customHeight="false" outlineLevel="0" collapsed="false">
      <c r="A10" s="0" t="s">
        <v>100</v>
      </c>
      <c r="B10" s="0" t="n">
        <f aca="false">IF(B6="YES",MIN(B9,B4),0)</f>
        <v>0.15</v>
      </c>
    </row>
    <row r="11" customFormat="false" ht="13.8" hidden="false" customHeight="false" outlineLevel="0" collapsed="false">
      <c r="A11" s="0" t="s">
        <v>101</v>
      </c>
      <c r="B11" s="0" t="str">
        <f aca="false">IF(AND(B10&gt;=Settings!$B$6,B6="YES"),"YES","NO")</f>
        <v>YES</v>
      </c>
    </row>
    <row r="12" customFormat="false" ht="13.8" hidden="false" customHeight="false" outlineLevel="0" collapsed="false">
      <c r="A12" s="0" t="s">
        <v>102</v>
      </c>
      <c r="B12" s="0" t="n">
        <f aca="false">B10*B5</f>
        <v>12</v>
      </c>
    </row>
    <row r="13" customFormat="false" ht="13.8" hidden="false" customHeight="false" outlineLevel="0" collapsed="false">
      <c r="A13" s="0" t="s">
        <v>103</v>
      </c>
      <c r="B13" s="0" t="n">
        <f aca="false">MAX(0,B7-B12)</f>
        <v>0.400000000000251</v>
      </c>
    </row>
    <row r="14" customFormat="false" ht="13.8" hidden="false" customHeight="false" outlineLevel="0" collapsed="false">
      <c r="A14" s="0" t="s">
        <v>104</v>
      </c>
      <c r="B14" s="0" t="n">
        <f aca="false">B4-B10</f>
        <v>0.85</v>
      </c>
    </row>
    <row r="15" customFormat="false" ht="13.8" hidden="false" customHeight="false" outlineLevel="0" collapsed="false">
      <c r="A15" s="0" t="s">
        <v>66</v>
      </c>
      <c r="B15" s="0" t="n">
        <f aca="false">SectionCalculator_DOWN!B4</f>
        <v>1</v>
      </c>
    </row>
    <row r="16" customFormat="false" ht="13.8" hidden="false" customHeight="false" outlineLevel="0" collapsed="false">
      <c r="A16" s="0" t="s">
        <v>105</v>
      </c>
      <c r="B16" s="0" t="n">
        <f aca="false">FLOOR(B14*INDEX(Settings!B21:B24,MATCH(B15,Settings!A21:A24,0)),Settings!$B$7)</f>
        <v>0.34</v>
      </c>
    </row>
    <row r="17" customFormat="false" ht="13.8" hidden="false" customHeight="false" outlineLevel="0" collapsed="false">
      <c r="A17" s="0" t="s">
        <v>106</v>
      </c>
      <c r="B17" s="0" t="n">
        <f aca="false">FLOOR(B14*INDEX(Settings!C21:C24,MATCH(B15,Settings!A21:A24,0)),Settings!$B$7)</f>
        <v>0.12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107</v>
      </c>
      <c r="C1" s="1" t="s">
        <v>108</v>
      </c>
    </row>
    <row r="2" customFormat="false" ht="13.8" hidden="false" customHeight="false" outlineLevel="0" collapsed="false">
      <c r="A2" s="0" t="s">
        <v>48</v>
      </c>
      <c r="B2" s="0" t="n">
        <f aca="false">Scenario_UP!B4</f>
        <v>1.24</v>
      </c>
      <c r="C2" s="0" t="n">
        <f aca="false">Scenario_DOWN!B4</f>
        <v>1.22</v>
      </c>
    </row>
    <row r="3" customFormat="false" ht="13.8" hidden="false" customHeight="false" outlineLevel="0" collapsed="false">
      <c r="A3" s="0" t="s">
        <v>109</v>
      </c>
      <c r="B3" s="0" t="n">
        <v>-12</v>
      </c>
      <c r="C3" s="0" t="e">
        <f aca="false">SUM(Scenario_DOWN!H7:H206)</f>
        <v>#VALUE!</v>
      </c>
    </row>
    <row r="4" customFormat="false" ht="13.8" hidden="false" customHeight="false" outlineLevel="0" collapsed="false">
      <c r="A4" s="0" t="s">
        <v>110</v>
      </c>
      <c r="B4" s="0" t="n">
        <v>18</v>
      </c>
      <c r="C4" s="0" t="n">
        <f aca="false">SectionCalculator_DOWN!B35</f>
        <v>3.10000000000006</v>
      </c>
    </row>
    <row r="5" customFormat="false" ht="13.8" hidden="false" customHeight="false" outlineLevel="0" collapsed="false">
      <c r="A5" s="0" t="s">
        <v>97</v>
      </c>
      <c r="B5" s="0" t="n">
        <f aca="false">TailRecovery_UP!B7</f>
        <v>100</v>
      </c>
      <c r="C5" s="0" t="n">
        <f aca="false">TailRecovery_DOWN!B7</f>
        <v>12.4000000000003</v>
      </c>
    </row>
    <row r="6" customFormat="false" ht="13.8" hidden="false" customHeight="false" outlineLevel="0" collapsed="false">
      <c r="A6" s="0" t="s">
        <v>111</v>
      </c>
      <c r="B6" s="0" t="n">
        <f aca="false">TailRecovery_UP!B14</f>
        <v>0.14</v>
      </c>
      <c r="C6" s="0" t="n">
        <f aca="false">TailRecovery_DOWN!B14</f>
        <v>0.85</v>
      </c>
    </row>
    <row r="7" customFormat="false" ht="13.8" hidden="false" customHeight="false" outlineLevel="0" collapsed="false">
      <c r="A7" s="0" t="s">
        <v>112</v>
      </c>
      <c r="B7" s="0" t="n">
        <f aca="false">TailRecovery_UP!B10</f>
        <v>0</v>
      </c>
      <c r="C7" s="0" t="n">
        <f aca="false">TailRecovery_DOWN!B10</f>
        <v>0.15</v>
      </c>
    </row>
    <row r="8" customFormat="false" ht="13.8" hidden="false" customHeight="false" outlineLevel="0" collapsed="false">
      <c r="A8" s="0" t="s">
        <v>88</v>
      </c>
      <c r="B8" s="0" t="str">
        <f aca="false">SectionCalculator_UP!B32</f>
        <v>NO</v>
      </c>
      <c r="C8" s="0" t="str">
        <f aca="false">SectionCalculator_DOWN!B32</f>
        <v>YES</v>
      </c>
    </row>
    <row r="9" customFormat="false" ht="13.8" hidden="false" customHeight="false" outlineLevel="0" collapsed="false">
      <c r="A9" s="0" t="s">
        <v>113</v>
      </c>
      <c r="B9" s="0" t="str">
        <f aca="false">TailRecovery_UP!B11</f>
        <v>NO</v>
      </c>
      <c r="C9" s="0" t="str">
        <f aca="false">TailRecovery_DOWN!B11</f>
        <v>YES</v>
      </c>
    </row>
    <row r="10" customFormat="false" ht="13.8" hidden="false" customHeight="false" outlineLevel="0" collapsed="false">
      <c r="A10" s="0" t="s">
        <v>114</v>
      </c>
      <c r="B10" s="0" t="str">
        <f aca="false">IF(B3+B4&gt;=Settings!$B$11,"YES","NO")</f>
        <v>YES</v>
      </c>
      <c r="C10" s="0" t="e">
        <f aca="false">IF(C3+C4&gt;=Settings!$B$11,"YES","NO")</f>
        <v>#VALUE!</v>
      </c>
    </row>
    <row r="11" customFormat="false" ht="13.8" hidden="false" customHeight="false" outlineLevel="0" collapsed="false">
      <c r="A11" s="0" t="s">
        <v>115</v>
      </c>
      <c r="B11" s="0" t="n">
        <f aca="false">TailRecovery_UP!B16</f>
        <v>0.03</v>
      </c>
      <c r="C11" s="0" t="n">
        <f aca="false">TailRecovery_DOWN!B16</f>
        <v>0.34</v>
      </c>
    </row>
    <row r="12" customFormat="false" ht="13.8" hidden="false" customHeight="false" outlineLevel="0" collapsed="false">
      <c r="A12" s="0" t="s">
        <v>116</v>
      </c>
      <c r="B12" s="0" t="n">
        <f aca="false">TailRecovery_UP!B17</f>
        <v>0.01</v>
      </c>
      <c r="C12" s="0" t="n">
        <f aca="false">TailRecovery_DOWN!B17</f>
        <v>0.12</v>
      </c>
    </row>
    <row r="13" customFormat="false" ht="13.8" hidden="false" customHeight="false" outlineLevel="0" collapsed="false">
      <c r="A13" s="0" t="s">
        <v>117</v>
      </c>
      <c r="B13" s="0" t="str">
        <f aca="false">IF(B10="YES","BASKET_CLOSE",IF(B8="NO","WAIT",IF(B9="YES","CLOSE_SECTION+CLOSE_TAIL","SAFE")))</f>
        <v>BASKET_CLOSE</v>
      </c>
      <c r="C13" s="0" t="e">
        <f aca="false">IF(C10="YES","BASKET_CLOSE",IF(C8="NO","WAIT",IF(C9="YES","CLOSE_SECTION+CLOSE_TAIL","SAFE")))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2.8" zeroHeight="false" outlineLevelRow="0" outlineLevelCol="0"/>
  <sheetData>
    <row r="1" customFormat="false" ht="13.8" hidden="false" customHeight="false" outlineLevel="0" collapsed="false">
      <c r="A1" s="1" t="s">
        <v>118</v>
      </c>
      <c r="B1" s="1" t="s">
        <v>107</v>
      </c>
      <c r="C1" s="1" t="s">
        <v>108</v>
      </c>
    </row>
    <row r="2" customFormat="false" ht="13.8" hidden="false" customHeight="false" outlineLevel="0" collapsed="false">
      <c r="A2" s="0" t="s">
        <v>119</v>
      </c>
      <c r="B2" s="0" t="str">
        <f aca="false">IF(OR(SectionCalculator_UP!B31&gt;0,SectionCalculator_UP!B32="NO"),"OK","ERROR")</f>
        <v>OK</v>
      </c>
      <c r="C2" s="0" t="str">
        <f aca="false">IF(OR(SectionCalculator_DOWN!B31&gt;0,SectionCalculator_DOWN!B32="NO"),"OK","ERROR")</f>
        <v>OK</v>
      </c>
    </row>
    <row r="3" customFormat="false" ht="13.8" hidden="false" customHeight="false" outlineLevel="0" collapsed="false">
      <c r="A3" s="0" t="s">
        <v>120</v>
      </c>
      <c r="B3" s="0" t="str">
        <f aca="false">IF(OR(SectionCalculator_UP!B32="YES",TailRecovery_UP!B10=0),"OK","ERROR")</f>
        <v>OK</v>
      </c>
      <c r="C3" s="0" t="str">
        <f aca="false">IF(OR(SectionCalculator_DOWN!B32="YES",TailRecovery_DOWN!B10=0),"OK","ERROR")</f>
        <v>OK</v>
      </c>
    </row>
    <row r="4" customFormat="false" ht="13.8" hidden="false" customHeight="false" outlineLevel="0" collapsed="false">
      <c r="A4" s="0" t="s">
        <v>121</v>
      </c>
      <c r="B4" s="0" t="str">
        <f aca="false">IF(TailRecovery_UP!B12&lt;=TailRecovery_UP!B7,"OK","ERROR")</f>
        <v>OK</v>
      </c>
      <c r="C4" s="0" t="str">
        <f aca="false">IF(TailRecovery_DOWN!B12&lt;=TailRecovery_DOWN!B7,"OK","ERROR")</f>
        <v>OK</v>
      </c>
    </row>
    <row r="5" customFormat="false" ht="13.8" hidden="false" customHeight="false" outlineLevel="0" collapsed="false">
      <c r="A5" s="0" t="s">
        <v>122</v>
      </c>
      <c r="B5" s="0" t="str">
        <f aca="false">IF(OR(SectionCalculator_UP!B14="NO",SectionCalculator_UP!B12="YES"),"OK","ERROR")</f>
        <v>OK</v>
      </c>
      <c r="C5" s="0" t="e">
        <f aca="false">IF(OR(SectionCalculator_DOWN!B14="NO",SectionCalculator_DOWN!B12="YES"),"OK","ERROR")</f>
        <v>#VALUE!</v>
      </c>
    </row>
    <row r="6" customFormat="false" ht="13.8" hidden="false" customHeight="false" outlineLevel="0" collapsed="false">
      <c r="A6" s="0" t="s">
        <v>123</v>
      </c>
      <c r="B6" s="0" t="str">
        <f aca="false">IF(SectionCalculator_UP!B13="YES","OK","ERROR")</f>
        <v>OK</v>
      </c>
      <c r="C6" s="0" t="str">
        <f aca="false">IF(SectionCalculator_DOWN!B13="YES","OK","ERROR")</f>
        <v>ERROR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390625" defaultRowHeight="12.8" zeroHeight="false" outlineLevelRow="0" outlineLevelCol="0"/>
  <sheetData>
    <row r="1" customFormat="false" ht="13.8" hidden="false" customHeight="false" outlineLevel="0" collapsed="false">
      <c r="A1" s="0" t="e">
        <f aca="false">"NEXT ACTION UP:"&amp;CHAR(10)&amp;BasketSummary!B13&amp;CHAR(10)&amp;"NEXT ACTION DOWN:"&amp;CHAR(10)&amp;BasketSummary!C13</f>
        <v>#VALUE!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2026-05-09T22:51:43Z</dcterms:created>
  <dc:creator>openpyxl</dc:creator>
  <dc:description/>
  <dc:language>en-US</dc:language>
  <cp:lastModifiedBy/>
  <dcterms:modified xsi:type="dcterms:W3CDTF">2026-05-09T22:52:13Z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