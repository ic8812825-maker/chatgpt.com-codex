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вод" sheetId="1" state="visible" r:id="rId1"/>
    <sheet name="Позиции" sheetId="2" state="visible" r:id="rId2"/>
    <sheet name="Расчеты" sheetId="3" state="visible" r:id="rId3"/>
    <sheet name="Следующий ша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center"/>
    </xf>
    <xf numFmtId="2" fontId="0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>
      <c r="A1" s="1" t="inlineStr">
        <is>
          <t>Калькулятор Adaptive EV</t>
        </is>
      </c>
    </row>
    <row r="3">
      <c r="A3" s="2" t="inlineStr">
        <is>
          <t>Брокер</t>
        </is>
      </c>
      <c r="B3" t="inlineStr">
        <is>
          <t>DemoBroker</t>
        </is>
      </c>
    </row>
    <row r="4">
      <c r="A4" s="2" t="inlineStr">
        <is>
          <t>Символ</t>
        </is>
      </c>
      <c r="B4" t="inlineStr">
        <is>
          <t>EURUSD</t>
        </is>
      </c>
    </row>
    <row r="5">
      <c r="A5" s="2" t="inlineStr">
        <is>
          <t>Знаков после запятой</t>
        </is>
      </c>
      <c r="B5" t="n">
        <v>5</v>
      </c>
    </row>
    <row r="6">
      <c r="A6" s="2" t="inlineStr">
        <is>
          <t>Размер контракта</t>
        </is>
      </c>
      <c r="B6" t="n">
        <v>100000</v>
      </c>
    </row>
    <row r="7">
      <c r="A7" s="2" t="inlineStr">
        <is>
          <t>Кредитное плечо</t>
        </is>
      </c>
      <c r="B7" t="n">
        <v>100</v>
      </c>
    </row>
    <row r="8">
      <c r="A8" s="2" t="inlineStr">
        <is>
          <t>Валюта счета</t>
        </is>
      </c>
      <c r="B8" t="inlineStr">
        <is>
          <t>USD</t>
        </is>
      </c>
    </row>
    <row r="9">
      <c r="A9" s="2" t="inlineStr">
        <is>
          <t>Баланс</t>
        </is>
      </c>
      <c r="B9" t="n">
        <v>100000</v>
      </c>
    </row>
    <row r="10">
      <c r="A10" s="2" t="inlineStr">
        <is>
          <t>Эквити</t>
        </is>
      </c>
      <c r="B10" t="n">
        <v>99998.7</v>
      </c>
    </row>
    <row r="11">
      <c r="A11" s="2" t="inlineStr">
        <is>
          <t>Свободная маржа</t>
        </is>
      </c>
      <c r="B11" t="n">
        <v>99875.5</v>
      </c>
    </row>
    <row r="12">
      <c r="A12" s="2" t="inlineStr">
        <is>
          <t>Текущая цена (mid)</t>
        </is>
      </c>
      <c r="B12" t="n">
        <v>1.23184</v>
      </c>
    </row>
    <row r="13">
      <c r="A13" s="2" t="inlineStr">
        <is>
          <t>Bid</t>
        </is>
      </c>
      <c r="B13">
        <f>B12-B15/2</f>
        <v/>
      </c>
    </row>
    <row r="14">
      <c r="A14" s="2" t="inlineStr">
        <is>
          <t>Ask</t>
        </is>
      </c>
      <c r="B14">
        <f>B12+B15/2</f>
        <v/>
      </c>
    </row>
    <row r="15">
      <c r="A15" s="2" t="inlineStr">
        <is>
          <t>Спред (цена)</t>
        </is>
      </c>
      <c r="B15" t="n">
        <v>8.000000000000001e-05</v>
      </c>
    </row>
    <row r="16">
      <c r="A16" s="2" t="inlineStr">
        <is>
          <t>ATR</t>
        </is>
      </c>
      <c r="B16" t="n">
        <v>0.0008</v>
      </c>
    </row>
    <row r="17">
      <c r="A17" s="2" t="inlineStr">
        <is>
          <t>Alpha (α)</t>
        </is>
      </c>
      <c r="B17" t="n">
        <v>0.3</v>
      </c>
    </row>
    <row r="18">
      <c r="A18" s="2" t="inlineStr">
        <is>
          <t>Шаг Δ</t>
        </is>
      </c>
      <c r="B18" t="n">
        <v>0.00028</v>
      </c>
    </row>
    <row r="19">
      <c r="A19" s="2" t="inlineStr">
        <is>
          <t>Gamma (γ)</t>
        </is>
      </c>
      <c r="B19" t="n">
        <v>0.08</v>
      </c>
    </row>
    <row r="20">
      <c r="A20" s="2" t="inlineStr">
        <is>
          <t>Минимум SELL Ls,min</t>
        </is>
      </c>
      <c r="B20" t="n">
        <v>0.25</v>
      </c>
    </row>
    <row r="21">
      <c r="A21" s="2" t="inlineStr">
        <is>
          <t>Предел просадки Dmax, %</t>
        </is>
      </c>
      <c r="B21" t="n">
        <v>2</v>
      </c>
    </row>
    <row r="22">
      <c r="A22" s="2" t="inlineStr">
        <is>
          <t>Лимит нагрузки маржи, %</t>
        </is>
      </c>
      <c r="B22" t="n">
        <v>60</v>
      </c>
    </row>
    <row r="23">
      <c r="A23" s="2" t="inlineStr">
        <is>
          <t>Коэффициент режима (0.5..2.0)</t>
        </is>
      </c>
      <c r="B23" t="n">
        <v>1</v>
      </c>
    </row>
    <row r="25">
      <c r="A25" s="2" t="inlineStr">
        <is>
          <t>Уровень маржи, %</t>
        </is>
      </c>
      <c r="B25">
        <f>IF(Расчеты!B13=0,0,B10/Расчеты!B13*100)</f>
        <v/>
      </c>
    </row>
    <row r="26">
      <c r="A26" s="3" t="inlineStr">
        <is>
          <t>Статус риска</t>
        </is>
      </c>
      <c r="B26">
        <f>IF(OR(Расчеты!B9="FAIL",Расчеты!B14&gt;B22,Расчеты!B16&lt;-B21),"СТРЕСС/СОКРАЩЕНИЕ","НОРМА")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>
      <c r="A1" s="4" t="inlineStr">
        <is>
          <t>ID</t>
        </is>
      </c>
      <c r="B1" s="4" t="inlineStr">
        <is>
          <t>Активна (Y/N)</t>
        </is>
      </c>
      <c r="C1" s="4" t="inlineStr">
        <is>
          <t>Направление (BUY/SELL)</t>
        </is>
      </c>
      <c r="D1" s="4" t="inlineStr">
        <is>
          <t>Лот</t>
        </is>
      </c>
      <c r="E1" s="4" t="inlineStr">
        <is>
          <t>Цена открытия</t>
        </is>
      </c>
      <c r="F1" s="4" t="inlineStr">
        <is>
          <t>SL</t>
        </is>
      </c>
      <c r="G1" s="4" t="inlineStr">
        <is>
          <t>TP</t>
        </is>
      </c>
      <c r="H1" s="4" t="inlineStr">
        <is>
          <t>Комиссия</t>
        </is>
      </c>
      <c r="I1" s="4" t="inlineStr">
        <is>
          <t>Своп</t>
        </is>
      </c>
      <c r="J1" s="4" t="inlineStr">
        <is>
          <t>Текущая цена</t>
        </is>
      </c>
      <c r="K1" s="4" t="inlineStr">
        <is>
          <t>Разница цены</t>
        </is>
      </c>
      <c r="L1" s="4" t="inlineStr">
        <is>
          <t>P/L, USD</t>
        </is>
      </c>
      <c r="M1" s="4" t="inlineStr">
        <is>
          <t>Маржа, USD</t>
        </is>
      </c>
      <c r="N1" s="4" t="inlineStr">
        <is>
          <t>Лот частичного закрытия</t>
        </is>
      </c>
      <c r="O1" s="4" t="inlineStr">
        <is>
          <t>Действие</t>
        </is>
      </c>
      <c r="P1" s="4" t="inlineStr">
        <is>
          <t>Расчет ΔL_s/ΔL_b</t>
        </is>
      </c>
      <c r="Q1" s="4" t="inlineStr">
        <is>
          <t>Ключ актив+направление</t>
        </is>
      </c>
    </row>
    <row r="2">
      <c r="A2" t="n">
        <v>1</v>
      </c>
      <c r="B2" t="inlineStr">
        <is>
          <t>Y</t>
        </is>
      </c>
      <c r="C2" t="inlineStr">
        <is>
          <t>SELL</t>
        </is>
      </c>
      <c r="D2" s="5" t="n">
        <v>0.1</v>
      </c>
      <c r="E2" t="n">
        <v>1.23125</v>
      </c>
      <c r="F2" t="n">
        <v>0</v>
      </c>
      <c r="G2" t="n">
        <v>0</v>
      </c>
      <c r="H2" t="n">
        <v>0</v>
      </c>
      <c r="I2" t="n">
        <v>0</v>
      </c>
      <c r="J2">
        <f>IF(C2="BUY",Ввод!B13,Ввод!B14)</f>
        <v/>
      </c>
      <c r="K2">
        <f>IF(C2="BUY",J2-E2,E2-J2)</f>
        <v/>
      </c>
      <c r="L2">
        <f>IF(B2="Y",K2*D2*Ввод!B6+H2+I2,0)</f>
        <v/>
      </c>
      <c r="M2">
        <f>IF(B2="Y",D2*Ввод!B6*J2/Ввод!B7,0)</f>
        <v/>
      </c>
      <c r="N2" s="5">
        <f>IF(B2="Y",ROUND(MIN(D2*Ввод!B19,D2*0.5),2),0)</f>
        <v/>
      </c>
      <c r="O2">
        <f>IF(B2&lt;&gt;"Y","НЕТ",IF(AND(Расчеты!B11="ДА",ABS(K2)&gt;=Ввод!B18),"ЧАСТИЧНО ЗАКРЫТЬ","ДЕРЖАТЬ"))</f>
        <v/>
      </c>
      <c r="P2">
        <f>IF(B2&lt;&gt;"Y",0,IFERROR((Ввод!B12-Расчеты!B3-Ввод!B15/2+Расчеты!B6)/(Расчеты!B4-Ввод!B12-Ввод!B15/2-Расчеты!B6),0))</f>
        <v/>
      </c>
      <c r="Q2">
        <f>IF(B2="Y",B2&amp;C2,"")</f>
        <v/>
      </c>
    </row>
    <row r="3">
      <c r="A3" t="n">
        <v>2</v>
      </c>
      <c r="B3" t="inlineStr">
        <is>
          <t>Y</t>
        </is>
      </c>
      <c r="C3" t="inlineStr">
        <is>
          <t>BUY</t>
        </is>
      </c>
      <c r="D3" s="5" t="n">
        <v>0.1</v>
      </c>
      <c r="E3" t="n">
        <v>1.23267</v>
      </c>
      <c r="F3" t="n">
        <v>0</v>
      </c>
      <c r="G3" t="n">
        <v>0</v>
      </c>
      <c r="H3" t="n">
        <v>0</v>
      </c>
      <c r="I3" t="n">
        <v>0</v>
      </c>
      <c r="J3">
        <f>IF(C3="BUY",Ввод!B13,Ввод!B14)</f>
        <v/>
      </c>
      <c r="K3">
        <f>IF(C3="BUY",J3-E3,E3-J3)</f>
        <v/>
      </c>
      <c r="L3">
        <f>IF(B3="Y",K3*D3*Ввод!B6+H3+I3,0)</f>
        <v/>
      </c>
      <c r="M3">
        <f>IF(B3="Y",D3*Ввод!B6*J3/Ввод!B7,0)</f>
        <v/>
      </c>
      <c r="N3" s="5">
        <f>IF(B3="Y",ROUND(MIN(D3*Ввод!B19,D3*0.5),2),0)</f>
        <v/>
      </c>
      <c r="O3">
        <f>IF(B3&lt;&gt;"Y","НЕТ",IF(AND(Расчеты!B11="ДА",ABS(K3)&gt;=Ввод!B18),"ЧАСТИЧНО ЗАКРЫТЬ","ДЕРЖАТЬ"))</f>
        <v/>
      </c>
      <c r="P3">
        <f>IF(B3&lt;&gt;"Y",0,IFERROR((Ввод!B12-Расчеты!B3-Ввод!B15/2+Расчеты!B6)/(Расчеты!B4-Ввод!B12-Ввод!B15/2-Расчеты!B6),0))</f>
        <v/>
      </c>
      <c r="Q3">
        <f>IF(B3="Y",B3&amp;C3,"")</f>
        <v/>
      </c>
    </row>
    <row r="4">
      <c r="D4" s="5" t="n"/>
      <c r="J4">
        <f>IF(C4="BUY",Ввод!B13,Ввод!B14)</f>
        <v/>
      </c>
      <c r="K4">
        <f>IF(C4="BUY",J4-E4,E4-J4)</f>
        <v/>
      </c>
      <c r="L4">
        <f>IF(B4="Y",K4*D4*Ввод!B6+H4+I4,0)</f>
        <v/>
      </c>
      <c r="M4">
        <f>IF(B4="Y",D4*Ввод!B6*J4/Ввод!B7,0)</f>
        <v/>
      </c>
      <c r="N4" s="5">
        <f>IF(B4="Y",ROUND(MIN(D4*Ввод!B19,D4*0.5),2),0)</f>
        <v/>
      </c>
      <c r="O4">
        <f>IF(B4&lt;&gt;"Y","НЕТ",IF(AND(Расчеты!B11="ДА",ABS(K4)&gt;=Ввод!B18),"ЧАСТИЧНО ЗАКРЫТЬ","ДЕРЖАТЬ"))</f>
        <v/>
      </c>
      <c r="P4">
        <f>IF(B4&lt;&gt;"Y",0,IFERROR((Ввод!B12-Расчеты!B3-Ввод!B15/2+Расчеты!B6)/(Расчеты!B4-Ввод!B12-Ввод!B15/2-Расчеты!B6),0))</f>
        <v/>
      </c>
      <c r="Q4">
        <f>IF(B4="Y",B4&amp;C4,"")</f>
        <v/>
      </c>
    </row>
    <row r="5">
      <c r="D5" s="5" t="n"/>
      <c r="J5">
        <f>IF(C5="BUY",Ввод!B13,Ввод!B14)</f>
        <v/>
      </c>
      <c r="K5">
        <f>IF(C5="BUY",J5-E5,E5-J5)</f>
        <v/>
      </c>
      <c r="L5">
        <f>IF(B5="Y",K5*D5*Ввод!B6+H5+I5,0)</f>
        <v/>
      </c>
      <c r="M5">
        <f>IF(B5="Y",D5*Ввод!B6*J5/Ввод!B7,0)</f>
        <v/>
      </c>
      <c r="N5" s="5">
        <f>IF(B5="Y",ROUND(MIN(D5*Ввод!B19,D5*0.5),2),0)</f>
        <v/>
      </c>
      <c r="O5">
        <f>IF(B5&lt;&gt;"Y","НЕТ",IF(AND(Расчеты!B11="ДА",ABS(K5)&gt;=Ввод!B18),"ЧАСТИЧНО ЗАКРЫТЬ","ДЕРЖАТЬ"))</f>
        <v/>
      </c>
      <c r="P5">
        <f>IF(B5&lt;&gt;"Y",0,IFERROR((Ввод!B12-Расчеты!B3-Ввод!B15/2+Расчеты!B6)/(Расчеты!B4-Ввод!B12-Ввод!B15/2-Расчеты!B6),0))</f>
        <v/>
      </c>
      <c r="Q5">
        <f>IF(B5="Y",B5&amp;C5,"")</f>
        <v/>
      </c>
    </row>
    <row r="6">
      <c r="D6" s="5" t="n"/>
      <c r="J6">
        <f>IF(C6="BUY",Ввод!B13,Ввод!B14)</f>
        <v/>
      </c>
      <c r="K6">
        <f>IF(C6="BUY",J6-E6,E6-J6)</f>
        <v/>
      </c>
      <c r="L6">
        <f>IF(B6="Y",K6*D6*Ввод!B6+H6+I6,0)</f>
        <v/>
      </c>
      <c r="M6">
        <f>IF(B6="Y",D6*Ввод!B6*J6/Ввод!B7,0)</f>
        <v/>
      </c>
      <c r="N6" s="5">
        <f>IF(B6="Y",ROUND(MIN(D6*Ввод!B19,D6*0.5),2),0)</f>
        <v/>
      </c>
      <c r="O6">
        <f>IF(B6&lt;&gt;"Y","НЕТ",IF(AND(Расчеты!B11="ДА",ABS(K6)&gt;=Ввод!B18),"ЧАСТИЧНО ЗАКРЫТЬ","ДЕРЖАТЬ"))</f>
        <v/>
      </c>
      <c r="P6">
        <f>IF(B6&lt;&gt;"Y",0,IFERROR((Ввод!B12-Расчеты!B3-Ввод!B15/2+Расчеты!B6)/(Расчеты!B4-Ввод!B12-Ввод!B15/2-Расчеты!B6),0))</f>
        <v/>
      </c>
      <c r="Q6">
        <f>IF(B6="Y",B6&amp;C6,"")</f>
        <v/>
      </c>
    </row>
    <row r="7">
      <c r="D7" s="5" t="n"/>
      <c r="J7">
        <f>IF(C7="BUY",Ввод!B13,Ввод!B14)</f>
        <v/>
      </c>
      <c r="K7">
        <f>IF(C7="BUY",J7-E7,E7-J7)</f>
        <v/>
      </c>
      <c r="L7">
        <f>IF(B7="Y",K7*D7*Ввод!B6+H7+I7,0)</f>
        <v/>
      </c>
      <c r="M7">
        <f>IF(B7="Y",D7*Ввод!B6*J7/Ввод!B7,0)</f>
        <v/>
      </c>
      <c r="N7" s="5">
        <f>IF(B7="Y",ROUND(MIN(D7*Ввод!B19,D7*0.5),2),0)</f>
        <v/>
      </c>
      <c r="O7">
        <f>IF(B7&lt;&gt;"Y","НЕТ",IF(AND(Расчеты!B11="ДА",ABS(K7)&gt;=Ввод!B18),"ЧАСТИЧНО ЗАКРЫТЬ","ДЕРЖАТЬ"))</f>
        <v/>
      </c>
      <c r="P7">
        <f>IF(B7&lt;&gt;"Y",0,IFERROR((Ввод!B12-Расчеты!B3-Ввод!B15/2+Расчеты!B6)/(Расчеты!B4-Ввод!B12-Ввод!B15/2-Расчеты!B6),0))</f>
        <v/>
      </c>
      <c r="Q7">
        <f>IF(B7="Y",B7&amp;C7,"")</f>
        <v/>
      </c>
    </row>
    <row r="8">
      <c r="D8" s="5" t="n"/>
      <c r="J8">
        <f>IF(C8="BUY",Ввод!B13,Ввод!B14)</f>
        <v/>
      </c>
      <c r="K8">
        <f>IF(C8="BUY",J8-E8,E8-J8)</f>
        <v/>
      </c>
      <c r="L8">
        <f>IF(B8="Y",K8*D8*Ввод!B6+H8+I8,0)</f>
        <v/>
      </c>
      <c r="M8">
        <f>IF(B8="Y",D8*Ввод!B6*J8/Ввод!B7,0)</f>
        <v/>
      </c>
      <c r="N8" s="5">
        <f>IF(B8="Y",ROUND(MIN(D8*Ввод!B19,D8*0.5),2),0)</f>
        <v/>
      </c>
      <c r="O8">
        <f>IF(B8&lt;&gt;"Y","НЕТ",IF(AND(Расчеты!B11="ДА",ABS(K8)&gt;=Ввод!B18),"ЧАСТИЧНО ЗАКРЫТЬ","ДЕРЖАТЬ"))</f>
        <v/>
      </c>
      <c r="P8">
        <f>IF(B8&lt;&gt;"Y",0,IFERROR((Ввод!B12-Расчеты!B3-Ввод!B15/2+Расчеты!B6)/(Расчеты!B4-Ввод!B12-Ввод!B15/2-Расчеты!B6),0))</f>
        <v/>
      </c>
      <c r="Q8">
        <f>IF(B8="Y",B8&amp;C8,"")</f>
        <v/>
      </c>
    </row>
    <row r="9">
      <c r="D9" s="5" t="n"/>
      <c r="J9">
        <f>IF(C9="BUY",Ввод!B13,Ввод!B14)</f>
        <v/>
      </c>
      <c r="K9">
        <f>IF(C9="BUY",J9-E9,E9-J9)</f>
        <v/>
      </c>
      <c r="L9">
        <f>IF(B9="Y",K9*D9*Ввод!B6+H9+I9,0)</f>
        <v/>
      </c>
      <c r="M9">
        <f>IF(B9="Y",D9*Ввод!B6*J9/Ввод!B7,0)</f>
        <v/>
      </c>
      <c r="N9" s="5">
        <f>IF(B9="Y",ROUND(MIN(D9*Ввод!B19,D9*0.5),2),0)</f>
        <v/>
      </c>
      <c r="O9">
        <f>IF(B9&lt;&gt;"Y","НЕТ",IF(AND(Расчеты!B11="ДА",ABS(K9)&gt;=Ввод!B18),"ЧАСТИЧНО ЗАКРЫТЬ","ДЕРЖАТЬ"))</f>
        <v/>
      </c>
      <c r="P9">
        <f>IF(B9&lt;&gt;"Y",0,IFERROR((Ввод!B12-Расчеты!B3-Ввод!B15/2+Расчеты!B6)/(Расчеты!B4-Ввод!B12-Ввод!B15/2-Расчеты!B6),0))</f>
        <v/>
      </c>
      <c r="Q9">
        <f>IF(B9="Y",B9&amp;C9,"")</f>
        <v/>
      </c>
    </row>
    <row r="10">
      <c r="D10" s="5" t="n"/>
      <c r="J10">
        <f>IF(C10="BUY",Ввод!B13,Ввод!B14)</f>
        <v/>
      </c>
      <c r="K10">
        <f>IF(C10="BUY",J10-E10,E10-J10)</f>
        <v/>
      </c>
      <c r="L10">
        <f>IF(B10="Y",K10*D10*Ввод!B6+H10+I10,0)</f>
        <v/>
      </c>
      <c r="M10">
        <f>IF(B10="Y",D10*Ввод!B6*J10/Ввод!B7,0)</f>
        <v/>
      </c>
      <c r="N10" s="5">
        <f>IF(B10="Y",ROUND(MIN(D10*Ввод!B19,D10*0.5),2),0)</f>
        <v/>
      </c>
      <c r="O10">
        <f>IF(B10&lt;&gt;"Y","НЕТ",IF(AND(Расчеты!B11="ДА",ABS(K10)&gt;=Ввод!B18),"ЧАСТИЧНО ЗАКРЫТЬ","ДЕРЖАТЬ"))</f>
        <v/>
      </c>
      <c r="P10">
        <f>IF(B10&lt;&gt;"Y",0,IFERROR((Ввод!B12-Расчеты!B3-Ввод!B15/2+Расчеты!B6)/(Расчеты!B4-Ввод!B12-Ввод!B15/2-Расчеты!B6),0))</f>
        <v/>
      </c>
      <c r="Q10">
        <f>IF(B10="Y",B10&amp;C10,"")</f>
        <v/>
      </c>
    </row>
    <row r="11">
      <c r="D11" s="5" t="n"/>
      <c r="J11">
        <f>IF(C11="BUY",Ввод!B13,Ввод!B14)</f>
        <v/>
      </c>
      <c r="K11">
        <f>IF(C11="BUY",J11-E11,E11-J11)</f>
        <v/>
      </c>
      <c r="L11">
        <f>IF(B11="Y",K11*D11*Ввод!B6+H11+I11,0)</f>
        <v/>
      </c>
      <c r="M11">
        <f>IF(B11="Y",D11*Ввод!B6*J11/Ввод!B7,0)</f>
        <v/>
      </c>
      <c r="N11" s="5">
        <f>IF(B11="Y",ROUND(MIN(D11*Ввод!B19,D11*0.5),2),0)</f>
        <v/>
      </c>
      <c r="O11">
        <f>IF(B11&lt;&gt;"Y","НЕТ",IF(AND(Расчеты!B11="ДА",ABS(K11)&gt;=Ввод!B18),"ЧАСТИЧНО ЗАКРЫТЬ","ДЕРЖАТЬ"))</f>
        <v/>
      </c>
      <c r="P11">
        <f>IF(B11&lt;&gt;"Y",0,IFERROR((Ввод!B12-Расчеты!B3-Ввод!B15/2+Расчеты!B6)/(Расчеты!B4-Ввод!B12-Ввод!B15/2-Расчеты!B6),0))</f>
        <v/>
      </c>
      <c r="Q11">
        <f>IF(B11="Y",B11&amp;C11,"")</f>
        <v/>
      </c>
    </row>
    <row r="12">
      <c r="D12" s="5" t="n"/>
      <c r="J12">
        <f>IF(C12="BUY",Ввод!B13,Ввод!B14)</f>
        <v/>
      </c>
      <c r="K12">
        <f>IF(C12="BUY",J12-E12,E12-J12)</f>
        <v/>
      </c>
      <c r="L12">
        <f>IF(B12="Y",K12*D12*Ввод!B6+H12+I12,0)</f>
        <v/>
      </c>
      <c r="M12">
        <f>IF(B12="Y",D12*Ввод!B6*J12/Ввод!B7,0)</f>
        <v/>
      </c>
      <c r="N12" s="5">
        <f>IF(B12="Y",ROUND(MIN(D12*Ввод!B19,D12*0.5),2),0)</f>
        <v/>
      </c>
      <c r="O12">
        <f>IF(B12&lt;&gt;"Y","НЕТ",IF(AND(Расчеты!B11="ДА",ABS(K12)&gt;=Ввод!B18),"ЧАСТИЧНО ЗАКРЫТЬ","ДЕРЖАТЬ"))</f>
        <v/>
      </c>
      <c r="P12">
        <f>IF(B12&lt;&gt;"Y",0,IFERROR((Ввод!B12-Расчеты!B3-Ввод!B15/2+Расчеты!B6)/(Расчеты!B4-Ввод!B12-Ввод!B15/2-Расчеты!B6),0))</f>
        <v/>
      </c>
      <c r="Q12">
        <f>IF(B12="Y",B12&amp;C12,"")</f>
        <v/>
      </c>
    </row>
    <row r="13">
      <c r="D13" s="5" t="n"/>
      <c r="J13">
        <f>IF(C13="BUY",Ввод!B13,Ввод!B14)</f>
        <v/>
      </c>
      <c r="K13">
        <f>IF(C13="BUY",J13-E13,E13-J13)</f>
        <v/>
      </c>
      <c r="L13">
        <f>IF(B13="Y",K13*D13*Ввод!B6+H13+I13,0)</f>
        <v/>
      </c>
      <c r="M13">
        <f>IF(B13="Y",D13*Ввод!B6*J13/Ввод!B7,0)</f>
        <v/>
      </c>
      <c r="N13" s="5">
        <f>IF(B13="Y",ROUND(MIN(D13*Ввод!B19,D13*0.5),2),0)</f>
        <v/>
      </c>
      <c r="O13">
        <f>IF(B13&lt;&gt;"Y","НЕТ",IF(AND(Расчеты!B11="ДА",ABS(K13)&gt;=Ввод!B18),"ЧАСТИЧНО ЗАКРЫТЬ","ДЕРЖАТЬ"))</f>
        <v/>
      </c>
      <c r="P13">
        <f>IF(B13&lt;&gt;"Y",0,IFERROR((Ввод!B12-Расчеты!B3-Ввод!B15/2+Расчеты!B6)/(Расчеты!B4-Ввод!B12-Ввод!B15/2-Расчеты!B6),0))</f>
        <v/>
      </c>
      <c r="Q13">
        <f>IF(B13="Y",B13&amp;C13,"")</f>
        <v/>
      </c>
    </row>
    <row r="14">
      <c r="D14" s="5" t="n"/>
      <c r="J14">
        <f>IF(C14="BUY",Ввод!B13,Ввод!B14)</f>
        <v/>
      </c>
      <c r="K14">
        <f>IF(C14="BUY",J14-E14,E14-J14)</f>
        <v/>
      </c>
      <c r="L14">
        <f>IF(B14="Y",K14*D14*Ввод!B6+H14+I14,0)</f>
        <v/>
      </c>
      <c r="M14">
        <f>IF(B14="Y",D14*Ввод!B6*J14/Ввод!B7,0)</f>
        <v/>
      </c>
      <c r="N14" s="5">
        <f>IF(B14="Y",ROUND(MIN(D14*Ввод!B19,D14*0.5),2),0)</f>
        <v/>
      </c>
      <c r="O14">
        <f>IF(B14&lt;&gt;"Y","НЕТ",IF(AND(Расчеты!B11="ДА",ABS(K14)&gt;=Ввод!B18),"ЧАСТИЧНО ЗАКРЫТЬ","ДЕРЖАТЬ"))</f>
        <v/>
      </c>
      <c r="P14">
        <f>IF(B14&lt;&gt;"Y",0,IFERROR((Ввод!B12-Расчеты!B3-Ввод!B15/2+Расчеты!B6)/(Расчеты!B4-Ввод!B12-Ввод!B15/2-Расчеты!B6),0))</f>
        <v/>
      </c>
      <c r="Q14">
        <f>IF(B14="Y",B14&amp;C14,"")</f>
        <v/>
      </c>
    </row>
    <row r="15">
      <c r="D15" s="5" t="n"/>
      <c r="J15">
        <f>IF(C15="BUY",Ввод!B13,Ввод!B14)</f>
        <v/>
      </c>
      <c r="K15">
        <f>IF(C15="BUY",J15-E15,E15-J15)</f>
        <v/>
      </c>
      <c r="L15">
        <f>IF(B15="Y",K15*D15*Ввод!B6+H15+I15,0)</f>
        <v/>
      </c>
      <c r="M15">
        <f>IF(B15="Y",D15*Ввод!B6*J15/Ввод!B7,0)</f>
        <v/>
      </c>
      <c r="N15" s="5">
        <f>IF(B15="Y",ROUND(MIN(D15*Ввод!B19,D15*0.5),2),0)</f>
        <v/>
      </c>
      <c r="O15">
        <f>IF(B15&lt;&gt;"Y","НЕТ",IF(AND(Расчеты!B11="ДА",ABS(K15)&gt;=Ввод!B18),"ЧАСТИЧНО ЗАКРЫТЬ","ДЕРЖАТЬ"))</f>
        <v/>
      </c>
      <c r="P15">
        <f>IF(B15&lt;&gt;"Y",0,IFERROR((Ввод!B12-Расчеты!B3-Ввод!B15/2+Расчеты!B6)/(Расчеты!B4-Ввод!B12-Ввод!B15/2-Расчеты!B6),0))</f>
        <v/>
      </c>
      <c r="Q15">
        <f>IF(B15="Y",B15&amp;C15,"")</f>
        <v/>
      </c>
    </row>
    <row r="16">
      <c r="D16" s="5" t="n"/>
      <c r="J16">
        <f>IF(C16="BUY",Ввод!B13,Ввод!B14)</f>
        <v/>
      </c>
      <c r="K16">
        <f>IF(C16="BUY",J16-E16,E16-J16)</f>
        <v/>
      </c>
      <c r="L16">
        <f>IF(B16="Y",K16*D16*Ввод!B6+H16+I16,0)</f>
        <v/>
      </c>
      <c r="M16">
        <f>IF(B16="Y",D16*Ввод!B6*J16/Ввод!B7,0)</f>
        <v/>
      </c>
      <c r="N16" s="5">
        <f>IF(B16="Y",ROUND(MIN(D16*Ввод!B19,D16*0.5),2),0)</f>
        <v/>
      </c>
      <c r="O16">
        <f>IF(B16&lt;&gt;"Y","НЕТ",IF(AND(Расчеты!B11="ДА",ABS(K16)&gt;=Ввод!B18),"ЧАСТИЧНО ЗАКРЫТЬ","ДЕРЖАТЬ"))</f>
        <v/>
      </c>
      <c r="P16">
        <f>IF(B16&lt;&gt;"Y",0,IFERROR((Ввод!B12-Расчеты!B3-Ввод!B15/2+Расчеты!B6)/(Расчеты!B4-Ввод!B12-Ввод!B15/2-Расчеты!B6),0))</f>
        <v/>
      </c>
      <c r="Q16">
        <f>IF(B16="Y",B16&amp;C16,"")</f>
        <v/>
      </c>
    </row>
    <row r="17">
      <c r="D17" s="5" t="n"/>
      <c r="J17">
        <f>IF(C17="BUY",Ввод!B13,Ввод!B14)</f>
        <v/>
      </c>
      <c r="K17">
        <f>IF(C17="BUY",J17-E17,E17-J17)</f>
        <v/>
      </c>
      <c r="L17">
        <f>IF(B17="Y",K17*D17*Ввод!B6+H17+I17,0)</f>
        <v/>
      </c>
      <c r="M17">
        <f>IF(B17="Y",D17*Ввод!B6*J17/Ввод!B7,0)</f>
        <v/>
      </c>
      <c r="N17" s="5">
        <f>IF(B17="Y",ROUND(MIN(D17*Ввод!B19,D17*0.5),2),0)</f>
        <v/>
      </c>
      <c r="O17">
        <f>IF(B17&lt;&gt;"Y","НЕТ",IF(AND(Расчеты!B11="ДА",ABS(K17)&gt;=Ввод!B18),"ЧАСТИЧНО ЗАКРЫТЬ","ДЕРЖАТЬ"))</f>
        <v/>
      </c>
      <c r="P17">
        <f>IF(B17&lt;&gt;"Y",0,IFERROR((Ввод!B12-Расчеты!B3-Ввод!B15/2+Расчеты!B6)/(Расчеты!B4-Ввод!B12-Ввод!B15/2-Расчеты!B6),0))</f>
        <v/>
      </c>
      <c r="Q17">
        <f>IF(B17="Y",B17&amp;C17,"")</f>
        <v/>
      </c>
    </row>
    <row r="18">
      <c r="D18" s="5" t="n"/>
      <c r="J18">
        <f>IF(C18="BUY",Ввод!B13,Ввод!B14)</f>
        <v/>
      </c>
      <c r="K18">
        <f>IF(C18="BUY",J18-E18,E18-J18)</f>
        <v/>
      </c>
      <c r="L18">
        <f>IF(B18="Y",K18*D18*Ввод!B6+H18+I18,0)</f>
        <v/>
      </c>
      <c r="M18">
        <f>IF(B18="Y",D18*Ввод!B6*J18/Ввод!B7,0)</f>
        <v/>
      </c>
      <c r="N18" s="5">
        <f>IF(B18="Y",ROUND(MIN(D18*Ввод!B19,D18*0.5),2),0)</f>
        <v/>
      </c>
      <c r="O18">
        <f>IF(B18&lt;&gt;"Y","НЕТ",IF(AND(Расчеты!B11="ДА",ABS(K18)&gt;=Ввод!B18),"ЧАСТИЧНО ЗАКРЫТЬ","ДЕРЖАТЬ"))</f>
        <v/>
      </c>
      <c r="P18">
        <f>IF(B18&lt;&gt;"Y",0,IFERROR((Ввод!B12-Расчеты!B3-Ввод!B15/2+Расчеты!B6)/(Расчеты!B4-Ввод!B12-Ввод!B15/2-Расчеты!B6),0))</f>
        <v/>
      </c>
      <c r="Q18">
        <f>IF(B18="Y",B18&amp;C18,"")</f>
        <v/>
      </c>
    </row>
    <row r="19">
      <c r="D19" s="5" t="n"/>
      <c r="J19">
        <f>IF(C19="BUY",Ввод!B13,Ввод!B14)</f>
        <v/>
      </c>
      <c r="K19">
        <f>IF(C19="BUY",J19-E19,E19-J19)</f>
        <v/>
      </c>
      <c r="L19">
        <f>IF(B19="Y",K19*D19*Ввод!B6+H19+I19,0)</f>
        <v/>
      </c>
      <c r="M19">
        <f>IF(B19="Y",D19*Ввод!B6*J19/Ввод!B7,0)</f>
        <v/>
      </c>
      <c r="N19" s="5">
        <f>IF(B19="Y",ROUND(MIN(D19*Ввод!B19,D19*0.5),2),0)</f>
        <v/>
      </c>
      <c r="O19">
        <f>IF(B19&lt;&gt;"Y","НЕТ",IF(AND(Расчеты!B11="ДА",ABS(K19)&gt;=Ввод!B18),"ЧАСТИЧНО ЗАКРЫТЬ","ДЕРЖАТЬ"))</f>
        <v/>
      </c>
      <c r="P19">
        <f>IF(B19&lt;&gt;"Y",0,IFERROR((Ввод!B12-Расчеты!B3-Ввод!B15/2+Расчеты!B6)/(Расчеты!B4-Ввод!B12-Ввод!B15/2-Расчеты!B6),0))</f>
        <v/>
      </c>
      <c r="Q19">
        <f>IF(B19="Y",B19&amp;C19,"")</f>
        <v/>
      </c>
    </row>
    <row r="20">
      <c r="D20" s="5" t="n"/>
      <c r="J20">
        <f>IF(C20="BUY",Ввод!B13,Ввод!B14)</f>
        <v/>
      </c>
      <c r="K20">
        <f>IF(C20="BUY",J20-E20,E20-J20)</f>
        <v/>
      </c>
      <c r="L20">
        <f>IF(B20="Y",K20*D20*Ввод!B6+H20+I20,0)</f>
        <v/>
      </c>
      <c r="M20">
        <f>IF(B20="Y",D20*Ввод!B6*J20/Ввод!B7,0)</f>
        <v/>
      </c>
      <c r="N20" s="5">
        <f>IF(B20="Y",ROUND(MIN(D20*Ввод!B19,D20*0.5),2),0)</f>
        <v/>
      </c>
      <c r="O20">
        <f>IF(B20&lt;&gt;"Y","НЕТ",IF(AND(Расчеты!B11="ДА",ABS(K20)&gt;=Ввод!B18),"ЧАСТИЧНО ЗАКРЫТЬ","ДЕРЖАТЬ"))</f>
        <v/>
      </c>
      <c r="P20">
        <f>IF(B20&lt;&gt;"Y",0,IFERROR((Ввод!B12-Расчеты!B3-Ввод!B15/2+Расчеты!B6)/(Расчеты!B4-Ввод!B12-Ввод!B15/2-Расчеты!B6),0))</f>
        <v/>
      </c>
      <c r="Q20">
        <f>IF(B20="Y",B20&amp;C20,"")</f>
        <v/>
      </c>
    </row>
    <row r="21">
      <c r="D21" s="5" t="n"/>
      <c r="J21">
        <f>IF(C21="BUY",Ввод!B13,Ввод!B14)</f>
        <v/>
      </c>
      <c r="K21">
        <f>IF(C21="BUY",J21-E21,E21-J21)</f>
        <v/>
      </c>
      <c r="L21">
        <f>IF(B21="Y",K21*D21*Ввод!B6+H21+I21,0)</f>
        <v/>
      </c>
      <c r="M21">
        <f>IF(B21="Y",D21*Ввод!B6*J21/Ввод!B7,0)</f>
        <v/>
      </c>
      <c r="N21" s="5">
        <f>IF(B21="Y",ROUND(MIN(D21*Ввод!B19,D21*0.5),2),0)</f>
        <v/>
      </c>
      <c r="O21">
        <f>IF(B21&lt;&gt;"Y","НЕТ",IF(AND(Расчеты!B11="ДА",ABS(K21)&gt;=Ввод!B18),"ЧАСТИЧНО ЗАКРЫТЬ","ДЕРЖАТЬ"))</f>
        <v/>
      </c>
      <c r="P21">
        <f>IF(B21&lt;&gt;"Y",0,IFERROR((Ввод!B12-Расчеты!B3-Ввод!B15/2+Расчеты!B6)/(Расчеты!B4-Ввод!B12-Ввод!B15/2-Расчеты!B6),0))</f>
        <v/>
      </c>
      <c r="Q21">
        <f>IF(B21="Y",B21&amp;C21,"")</f>
        <v/>
      </c>
    </row>
    <row r="22">
      <c r="D22" s="5" t="n"/>
      <c r="J22">
        <f>IF(C22="BUY",Ввод!B13,Ввод!B14)</f>
        <v/>
      </c>
      <c r="K22">
        <f>IF(C22="BUY",J22-E22,E22-J22)</f>
        <v/>
      </c>
      <c r="L22">
        <f>IF(B22="Y",K22*D22*Ввод!B6+H22+I22,0)</f>
        <v/>
      </c>
      <c r="M22">
        <f>IF(B22="Y",D22*Ввод!B6*J22/Ввод!B7,0)</f>
        <v/>
      </c>
      <c r="N22" s="5">
        <f>IF(B22="Y",ROUND(MIN(D22*Ввод!B19,D22*0.5),2),0)</f>
        <v/>
      </c>
      <c r="O22">
        <f>IF(B22&lt;&gt;"Y","НЕТ",IF(AND(Расчеты!B11="ДА",ABS(K22)&gt;=Ввод!B18),"ЧАСТИЧНО ЗАКРЫТЬ","ДЕРЖАТЬ"))</f>
        <v/>
      </c>
      <c r="P22">
        <f>IF(B22&lt;&gt;"Y",0,IFERROR((Ввод!B12-Расчеты!B3-Ввод!B15/2+Расчеты!B6)/(Расчеты!B4-Ввод!B12-Ввод!B15/2-Расчеты!B6),0))</f>
        <v/>
      </c>
      <c r="Q22">
        <f>IF(B22="Y",B22&amp;C22,"")</f>
        <v/>
      </c>
    </row>
    <row r="23">
      <c r="D23" s="5" t="n"/>
      <c r="J23">
        <f>IF(C23="BUY",Ввод!B13,Ввод!B14)</f>
        <v/>
      </c>
      <c r="K23">
        <f>IF(C23="BUY",J23-E23,E23-J23)</f>
        <v/>
      </c>
      <c r="L23">
        <f>IF(B23="Y",K23*D23*Ввод!B6+H23+I23,0)</f>
        <v/>
      </c>
      <c r="M23">
        <f>IF(B23="Y",D23*Ввод!B6*J23/Ввод!B7,0)</f>
        <v/>
      </c>
      <c r="N23" s="5">
        <f>IF(B23="Y",ROUND(MIN(D23*Ввод!B19,D23*0.5),2),0)</f>
        <v/>
      </c>
      <c r="O23">
        <f>IF(B23&lt;&gt;"Y","НЕТ",IF(AND(Расчеты!B11="ДА",ABS(K23)&gt;=Ввод!B18),"ЧАСТИЧНО ЗАКРЫТЬ","ДЕРЖАТЬ"))</f>
        <v/>
      </c>
      <c r="P23">
        <f>IF(B23&lt;&gt;"Y",0,IFERROR((Ввод!B12-Расчеты!B3-Ввод!B15/2+Расчеты!B6)/(Расчеты!B4-Ввод!B12-Ввод!B15/2-Расчеты!B6),0))</f>
        <v/>
      </c>
      <c r="Q23">
        <f>IF(B23="Y",B23&amp;C23,"")</f>
        <v/>
      </c>
    </row>
    <row r="24">
      <c r="D24" s="5" t="n"/>
      <c r="J24">
        <f>IF(C24="BUY",Ввод!B13,Ввод!B14)</f>
        <v/>
      </c>
      <c r="K24">
        <f>IF(C24="BUY",J24-E24,E24-J24)</f>
        <v/>
      </c>
      <c r="L24">
        <f>IF(B24="Y",K24*D24*Ввод!B6+H24+I24,0)</f>
        <v/>
      </c>
      <c r="M24">
        <f>IF(B24="Y",D24*Ввод!B6*J24/Ввод!B7,0)</f>
        <v/>
      </c>
      <c r="N24" s="5">
        <f>IF(B24="Y",ROUND(MIN(D24*Ввод!B19,D24*0.5),2),0)</f>
        <v/>
      </c>
      <c r="O24">
        <f>IF(B24&lt;&gt;"Y","НЕТ",IF(AND(Расчеты!B11="ДА",ABS(K24)&gt;=Ввод!B18),"ЧАСТИЧНО ЗАКРЫТЬ","ДЕРЖАТЬ"))</f>
        <v/>
      </c>
      <c r="P24">
        <f>IF(B24&lt;&gt;"Y",0,IFERROR((Ввод!B12-Расчеты!B3-Ввод!B15/2+Расчеты!B6)/(Расчеты!B4-Ввод!B12-Ввод!B15/2-Расчеты!B6),0))</f>
        <v/>
      </c>
      <c r="Q24">
        <f>IF(B24="Y",B24&amp;C24,"")</f>
        <v/>
      </c>
    </row>
    <row r="25">
      <c r="D25" s="5" t="n"/>
      <c r="J25">
        <f>IF(C25="BUY",Ввод!B13,Ввод!B14)</f>
        <v/>
      </c>
      <c r="K25">
        <f>IF(C25="BUY",J25-E25,E25-J25)</f>
        <v/>
      </c>
      <c r="L25">
        <f>IF(B25="Y",K25*D25*Ввод!B6+H25+I25,0)</f>
        <v/>
      </c>
      <c r="M25">
        <f>IF(B25="Y",D25*Ввод!B6*J25/Ввод!B7,0)</f>
        <v/>
      </c>
      <c r="N25" s="5">
        <f>IF(B25="Y",ROUND(MIN(D25*Ввод!B19,D25*0.5),2),0)</f>
        <v/>
      </c>
      <c r="O25">
        <f>IF(B25&lt;&gt;"Y","НЕТ",IF(AND(Расчеты!B11="ДА",ABS(K25)&gt;=Ввод!B18),"ЧАСТИЧНО ЗАКРЫТЬ","ДЕРЖАТЬ"))</f>
        <v/>
      </c>
      <c r="P25">
        <f>IF(B25&lt;&gt;"Y",0,IFERROR((Ввод!B12-Расчеты!B3-Ввод!B15/2+Расчеты!B6)/(Расчеты!B4-Ввод!B12-Ввод!B15/2-Расчеты!B6),0))</f>
        <v/>
      </c>
      <c r="Q25">
        <f>IF(B25="Y",B25&amp;C25,"")</f>
        <v/>
      </c>
    </row>
    <row r="26">
      <c r="D26" s="5" t="n"/>
      <c r="J26">
        <f>IF(C26="BUY",Ввод!B13,Ввод!B14)</f>
        <v/>
      </c>
      <c r="K26">
        <f>IF(C26="BUY",J26-E26,E26-J26)</f>
        <v/>
      </c>
      <c r="L26">
        <f>IF(B26="Y",K26*D26*Ввод!B6+H26+I26,0)</f>
        <v/>
      </c>
      <c r="M26">
        <f>IF(B26="Y",D26*Ввод!B6*J26/Ввод!B7,0)</f>
        <v/>
      </c>
      <c r="N26" s="5">
        <f>IF(B26="Y",ROUND(MIN(D26*Ввод!B19,D26*0.5),2),0)</f>
        <v/>
      </c>
      <c r="O26">
        <f>IF(B26&lt;&gt;"Y","НЕТ",IF(AND(Расчеты!B11="ДА",ABS(K26)&gt;=Ввод!B18),"ЧАСТИЧНО ЗАКРЫТЬ","ДЕРЖАТЬ"))</f>
        <v/>
      </c>
      <c r="P26">
        <f>IF(B26&lt;&gt;"Y",0,IFERROR((Ввод!B12-Расчеты!B3-Ввод!B15/2+Расчеты!B6)/(Расчеты!B4-Ввод!B12-Ввод!B15/2-Расчеты!B6),0))</f>
        <v/>
      </c>
      <c r="Q26">
        <f>IF(B26="Y",B26&amp;C26,"")</f>
        <v/>
      </c>
    </row>
    <row r="27">
      <c r="D27" s="5" t="n"/>
      <c r="J27">
        <f>IF(C27="BUY",Ввод!B13,Ввод!B14)</f>
        <v/>
      </c>
      <c r="K27">
        <f>IF(C27="BUY",J27-E27,E27-J27)</f>
        <v/>
      </c>
      <c r="L27">
        <f>IF(B27="Y",K27*D27*Ввод!B6+H27+I27,0)</f>
        <v/>
      </c>
      <c r="M27">
        <f>IF(B27="Y",D27*Ввод!B6*J27/Ввод!B7,0)</f>
        <v/>
      </c>
      <c r="N27" s="5">
        <f>IF(B27="Y",ROUND(MIN(D27*Ввод!B19,D27*0.5),2),0)</f>
        <v/>
      </c>
      <c r="O27">
        <f>IF(B27&lt;&gt;"Y","НЕТ",IF(AND(Расчеты!B11="ДА",ABS(K27)&gt;=Ввод!B18),"ЧАСТИЧНО ЗАКРЫТЬ","ДЕРЖАТЬ"))</f>
        <v/>
      </c>
      <c r="P27">
        <f>IF(B27&lt;&gt;"Y",0,IFERROR((Ввод!B12-Расчеты!B3-Ввод!B15/2+Расчеты!B6)/(Расчеты!B4-Ввод!B12-Ввод!B15/2-Расчеты!B6),0))</f>
        <v/>
      </c>
      <c r="Q27">
        <f>IF(B27="Y",B27&amp;C27,"")</f>
        <v/>
      </c>
    </row>
    <row r="28">
      <c r="D28" s="5" t="n"/>
      <c r="J28">
        <f>IF(C28="BUY",Ввод!B13,Ввод!B14)</f>
        <v/>
      </c>
      <c r="K28">
        <f>IF(C28="BUY",J28-E28,E28-J28)</f>
        <v/>
      </c>
      <c r="L28">
        <f>IF(B28="Y",K28*D28*Ввод!B6+H28+I28,0)</f>
        <v/>
      </c>
      <c r="M28">
        <f>IF(B28="Y",D28*Ввод!B6*J28/Ввод!B7,0)</f>
        <v/>
      </c>
      <c r="N28" s="5">
        <f>IF(B28="Y",ROUND(MIN(D28*Ввод!B19,D28*0.5),2),0)</f>
        <v/>
      </c>
      <c r="O28">
        <f>IF(B28&lt;&gt;"Y","НЕТ",IF(AND(Расчеты!B11="ДА",ABS(K28)&gt;=Ввод!B18),"ЧАСТИЧНО ЗАКРЫТЬ","ДЕРЖАТЬ"))</f>
        <v/>
      </c>
      <c r="P28">
        <f>IF(B28&lt;&gt;"Y",0,IFERROR((Ввод!B12-Расчеты!B3-Ввод!B15/2+Расчеты!B6)/(Расчеты!B4-Ввод!B12-Ввод!B15/2-Расчеты!B6),0))</f>
        <v/>
      </c>
      <c r="Q28">
        <f>IF(B28="Y",B28&amp;C28,"")</f>
        <v/>
      </c>
    </row>
    <row r="29">
      <c r="D29" s="5" t="n"/>
      <c r="J29">
        <f>IF(C29="BUY",Ввод!B13,Ввод!B14)</f>
        <v/>
      </c>
      <c r="K29">
        <f>IF(C29="BUY",J29-E29,E29-J29)</f>
        <v/>
      </c>
      <c r="L29">
        <f>IF(B29="Y",K29*D29*Ввод!B6+H29+I29,0)</f>
        <v/>
      </c>
      <c r="M29">
        <f>IF(B29="Y",D29*Ввод!B6*J29/Ввод!B7,0)</f>
        <v/>
      </c>
      <c r="N29" s="5">
        <f>IF(B29="Y",ROUND(MIN(D29*Ввод!B19,D29*0.5),2),0)</f>
        <v/>
      </c>
      <c r="O29">
        <f>IF(B29&lt;&gt;"Y","НЕТ",IF(AND(Расчеты!B11="ДА",ABS(K29)&gt;=Ввод!B18),"ЧАСТИЧНО ЗАКРЫТЬ","ДЕРЖАТЬ"))</f>
        <v/>
      </c>
      <c r="P29">
        <f>IF(B29&lt;&gt;"Y",0,IFERROR((Ввод!B12-Расчеты!B3-Ввод!B15/2+Расчеты!B6)/(Расчеты!B4-Ввод!B12-Ввод!B15/2-Расчеты!B6),0))</f>
        <v/>
      </c>
      <c r="Q29">
        <f>IF(B29="Y",B29&amp;C29,"")</f>
        <v/>
      </c>
    </row>
    <row r="30">
      <c r="D30" s="5" t="n"/>
      <c r="J30">
        <f>IF(C30="BUY",Ввод!B13,Ввод!B14)</f>
        <v/>
      </c>
      <c r="K30">
        <f>IF(C30="BUY",J30-E30,E30-J30)</f>
        <v/>
      </c>
      <c r="L30">
        <f>IF(B30="Y",K30*D30*Ввод!B6+H30+I30,0)</f>
        <v/>
      </c>
      <c r="M30">
        <f>IF(B30="Y",D30*Ввод!B6*J30/Ввод!B7,0)</f>
        <v/>
      </c>
      <c r="N30" s="5">
        <f>IF(B30="Y",ROUND(MIN(D30*Ввод!B19,D30*0.5),2),0)</f>
        <v/>
      </c>
      <c r="O30">
        <f>IF(B30&lt;&gt;"Y","НЕТ",IF(AND(Расчеты!B11="ДА",ABS(K30)&gt;=Ввод!B18),"ЧАСТИЧНО ЗАКРЫТЬ","ДЕРЖАТЬ"))</f>
        <v/>
      </c>
      <c r="P30">
        <f>IF(B30&lt;&gt;"Y",0,IFERROR((Ввод!B12-Расчеты!B3-Ввод!B15/2+Расчеты!B6)/(Расчеты!B4-Ввод!B12-Ввод!B15/2-Расчеты!B6),0))</f>
        <v/>
      </c>
      <c r="Q30">
        <f>IF(B30="Y",B30&amp;C30,"")</f>
        <v/>
      </c>
    </row>
    <row r="31">
      <c r="D31" s="5" t="n"/>
      <c r="J31">
        <f>IF(C31="BUY",Ввод!B13,Ввод!B14)</f>
        <v/>
      </c>
      <c r="K31">
        <f>IF(C31="BUY",J31-E31,E31-J31)</f>
        <v/>
      </c>
      <c r="L31">
        <f>IF(B31="Y",K31*D31*Ввод!B6+H31+I31,0)</f>
        <v/>
      </c>
      <c r="M31">
        <f>IF(B31="Y",D31*Ввод!B6*J31/Ввод!B7,0)</f>
        <v/>
      </c>
      <c r="N31" s="5">
        <f>IF(B31="Y",ROUND(MIN(D31*Ввод!B19,D31*0.5),2),0)</f>
        <v/>
      </c>
      <c r="O31">
        <f>IF(B31&lt;&gt;"Y","НЕТ",IF(AND(Расчеты!B11="ДА",ABS(K31)&gt;=Ввод!B18),"ЧАСТИЧНО ЗАКРЫТЬ","ДЕРЖАТЬ"))</f>
        <v/>
      </c>
      <c r="P31">
        <f>IF(B31&lt;&gt;"Y",0,IFERROR((Ввод!B12-Расчеты!B3-Ввод!B15/2+Расчеты!B6)/(Расчеты!B4-Ввод!B12-Ввод!B15/2-Расчеты!B6),0))</f>
        <v/>
      </c>
      <c r="Q31">
        <f>IF(B31="Y",B31&amp;C31,"")</f>
        <v/>
      </c>
    </row>
    <row r="32">
      <c r="D32" s="5" t="n"/>
      <c r="J32">
        <f>IF(C32="BUY",Ввод!B13,Ввод!B14)</f>
        <v/>
      </c>
      <c r="K32">
        <f>IF(C32="BUY",J32-E32,E32-J32)</f>
        <v/>
      </c>
      <c r="L32">
        <f>IF(B32="Y",K32*D32*Ввод!B6+H32+I32,0)</f>
        <v/>
      </c>
      <c r="M32">
        <f>IF(B32="Y",D32*Ввод!B6*J32/Ввод!B7,0)</f>
        <v/>
      </c>
      <c r="N32" s="5">
        <f>IF(B32="Y",ROUND(MIN(D32*Ввод!B19,D32*0.5),2),0)</f>
        <v/>
      </c>
      <c r="O32">
        <f>IF(B32&lt;&gt;"Y","НЕТ",IF(AND(Расчеты!B11="ДА",ABS(K32)&gt;=Ввод!B18),"ЧАСТИЧНО ЗАКРЫТЬ","ДЕРЖАТЬ"))</f>
        <v/>
      </c>
      <c r="P32">
        <f>IF(B32&lt;&gt;"Y",0,IFERROR((Ввод!B12-Расчеты!B3-Ввод!B15/2+Расчеты!B6)/(Расчеты!B4-Ввод!B12-Ввод!B15/2-Расчеты!B6),0))</f>
        <v/>
      </c>
      <c r="Q32">
        <f>IF(B32="Y",B32&amp;C32,"")</f>
        <v/>
      </c>
    </row>
    <row r="33">
      <c r="D33" s="5" t="n"/>
      <c r="J33">
        <f>IF(C33="BUY",Ввод!B13,Ввод!B14)</f>
        <v/>
      </c>
      <c r="K33">
        <f>IF(C33="BUY",J33-E33,E33-J33)</f>
        <v/>
      </c>
      <c r="L33">
        <f>IF(B33="Y",K33*D33*Ввод!B6+H33+I33,0)</f>
        <v/>
      </c>
      <c r="M33">
        <f>IF(B33="Y",D33*Ввод!B6*J33/Ввод!B7,0)</f>
        <v/>
      </c>
      <c r="N33" s="5">
        <f>IF(B33="Y",ROUND(MIN(D33*Ввод!B19,D33*0.5),2),0)</f>
        <v/>
      </c>
      <c r="O33">
        <f>IF(B33&lt;&gt;"Y","НЕТ",IF(AND(Расчеты!B11="ДА",ABS(K33)&gt;=Ввод!B18),"ЧАСТИЧНО ЗАКРЫТЬ","ДЕРЖАТЬ"))</f>
        <v/>
      </c>
      <c r="P33">
        <f>IF(B33&lt;&gt;"Y",0,IFERROR((Ввод!B12-Расчеты!B3-Ввод!B15/2+Расчеты!B6)/(Расчеты!B4-Ввод!B12-Ввод!B15/2-Расчеты!B6),0))</f>
        <v/>
      </c>
      <c r="Q33">
        <f>IF(B33="Y",B33&amp;C33,"")</f>
        <v/>
      </c>
    </row>
    <row r="34">
      <c r="D34" s="5" t="n"/>
      <c r="J34">
        <f>IF(C34="BUY",Ввод!B13,Ввод!B14)</f>
        <v/>
      </c>
      <c r="K34">
        <f>IF(C34="BUY",J34-E34,E34-J34)</f>
        <v/>
      </c>
      <c r="L34">
        <f>IF(B34="Y",K34*D34*Ввод!B6+H34+I34,0)</f>
        <v/>
      </c>
      <c r="M34">
        <f>IF(B34="Y",D34*Ввод!B6*J34/Ввод!B7,0)</f>
        <v/>
      </c>
      <c r="N34" s="5">
        <f>IF(B34="Y",ROUND(MIN(D34*Ввод!B19,D34*0.5),2),0)</f>
        <v/>
      </c>
      <c r="O34">
        <f>IF(B34&lt;&gt;"Y","НЕТ",IF(AND(Расчеты!B11="ДА",ABS(K34)&gt;=Ввод!B18),"ЧАСТИЧНО ЗАКРЫТЬ","ДЕРЖАТЬ"))</f>
        <v/>
      </c>
      <c r="P34">
        <f>IF(B34&lt;&gt;"Y",0,IFERROR((Ввод!B12-Расчеты!B3-Ввод!B15/2+Расчеты!B6)/(Расчеты!B4-Ввод!B12-Ввод!B15/2-Расчеты!B6),0))</f>
        <v/>
      </c>
      <c r="Q34">
        <f>IF(B34="Y",B34&amp;C34,"")</f>
        <v/>
      </c>
    </row>
    <row r="35">
      <c r="D35" s="5" t="n"/>
      <c r="J35">
        <f>IF(C35="BUY",Ввод!B13,Ввод!B14)</f>
        <v/>
      </c>
      <c r="K35">
        <f>IF(C35="BUY",J35-E35,E35-J35)</f>
        <v/>
      </c>
      <c r="L35">
        <f>IF(B35="Y",K35*D35*Ввод!B6+H35+I35,0)</f>
        <v/>
      </c>
      <c r="M35">
        <f>IF(B35="Y",D35*Ввод!B6*J35/Ввод!B7,0)</f>
        <v/>
      </c>
      <c r="N35" s="5">
        <f>IF(B35="Y",ROUND(MIN(D35*Ввод!B19,D35*0.5),2),0)</f>
        <v/>
      </c>
      <c r="O35">
        <f>IF(B35&lt;&gt;"Y","НЕТ",IF(AND(Расчеты!B11="ДА",ABS(K35)&gt;=Ввод!B18),"ЧАСТИЧНО ЗАКРЫТЬ","ДЕРЖАТЬ"))</f>
        <v/>
      </c>
      <c r="P35">
        <f>IF(B35&lt;&gt;"Y",0,IFERROR((Ввод!B12-Расчеты!B3-Ввод!B15/2+Расчеты!B6)/(Расчеты!B4-Ввод!B12-Ввод!B15/2-Расчеты!B6),0))</f>
        <v/>
      </c>
      <c r="Q35">
        <f>IF(B35="Y",B35&amp;C35,"")</f>
        <v/>
      </c>
    </row>
    <row r="36">
      <c r="D36" s="5" t="n"/>
      <c r="J36">
        <f>IF(C36="BUY",Ввод!B13,Ввод!B14)</f>
        <v/>
      </c>
      <c r="K36">
        <f>IF(C36="BUY",J36-E36,E36-J36)</f>
        <v/>
      </c>
      <c r="L36">
        <f>IF(B36="Y",K36*D36*Ввод!B6+H36+I36,0)</f>
        <v/>
      </c>
      <c r="M36">
        <f>IF(B36="Y",D36*Ввод!B6*J36/Ввод!B7,0)</f>
        <v/>
      </c>
      <c r="N36" s="5">
        <f>IF(B36="Y",ROUND(MIN(D36*Ввод!B19,D36*0.5),2),0)</f>
        <v/>
      </c>
      <c r="O36">
        <f>IF(B36&lt;&gt;"Y","НЕТ",IF(AND(Расчеты!B11="ДА",ABS(K36)&gt;=Ввод!B18),"ЧАСТИЧНО ЗАКРЫТЬ","ДЕРЖАТЬ"))</f>
        <v/>
      </c>
      <c r="P36">
        <f>IF(B36&lt;&gt;"Y",0,IFERROR((Ввод!B12-Расчеты!B3-Ввод!B15/2+Расчеты!B6)/(Расчеты!B4-Ввод!B12-Ввод!B15/2-Расчеты!B6),0))</f>
        <v/>
      </c>
      <c r="Q36">
        <f>IF(B36="Y",B36&amp;C36,"")</f>
        <v/>
      </c>
    </row>
    <row r="37">
      <c r="D37" s="5" t="n"/>
      <c r="J37">
        <f>IF(C37="BUY",Ввод!B13,Ввод!B14)</f>
        <v/>
      </c>
      <c r="K37">
        <f>IF(C37="BUY",J37-E37,E37-J37)</f>
        <v/>
      </c>
      <c r="L37">
        <f>IF(B37="Y",K37*D37*Ввод!B6+H37+I37,0)</f>
        <v/>
      </c>
      <c r="M37">
        <f>IF(B37="Y",D37*Ввод!B6*J37/Ввод!B7,0)</f>
        <v/>
      </c>
      <c r="N37" s="5">
        <f>IF(B37="Y",ROUND(MIN(D37*Ввод!B19,D37*0.5),2),0)</f>
        <v/>
      </c>
      <c r="O37">
        <f>IF(B37&lt;&gt;"Y","НЕТ",IF(AND(Расчеты!B11="ДА",ABS(K37)&gt;=Ввод!B18),"ЧАСТИЧНО ЗАКРЫТЬ","ДЕРЖАТЬ"))</f>
        <v/>
      </c>
      <c r="P37">
        <f>IF(B37&lt;&gt;"Y",0,IFERROR((Ввод!B12-Расчеты!B3-Ввод!B15/2+Расчеты!B6)/(Расчеты!B4-Ввод!B12-Ввод!B15/2-Расчеты!B6),0))</f>
        <v/>
      </c>
      <c r="Q37">
        <f>IF(B37="Y",B37&amp;C37,"")</f>
        <v/>
      </c>
    </row>
    <row r="38">
      <c r="D38" s="5" t="n"/>
      <c r="J38">
        <f>IF(C38="BUY",Ввод!B13,Ввод!B14)</f>
        <v/>
      </c>
      <c r="K38">
        <f>IF(C38="BUY",J38-E38,E38-J38)</f>
        <v/>
      </c>
      <c r="L38">
        <f>IF(B38="Y",K38*D38*Ввод!B6+H38+I38,0)</f>
        <v/>
      </c>
      <c r="M38">
        <f>IF(B38="Y",D38*Ввод!B6*J38/Ввод!B7,0)</f>
        <v/>
      </c>
      <c r="N38" s="5">
        <f>IF(B38="Y",ROUND(MIN(D38*Ввод!B19,D38*0.5),2),0)</f>
        <v/>
      </c>
      <c r="O38">
        <f>IF(B38&lt;&gt;"Y","НЕТ",IF(AND(Расчеты!B11="ДА",ABS(K38)&gt;=Ввод!B18),"ЧАСТИЧНО ЗАКРЫТЬ","ДЕРЖАТЬ"))</f>
        <v/>
      </c>
      <c r="P38">
        <f>IF(B38&lt;&gt;"Y",0,IFERROR((Ввод!B12-Расчеты!B3-Ввод!B15/2+Расчеты!B6)/(Расчеты!B4-Ввод!B12-Ввод!B15/2-Расчеты!B6),0))</f>
        <v/>
      </c>
      <c r="Q38">
        <f>IF(B38="Y",B38&amp;C38,"")</f>
        <v/>
      </c>
    </row>
    <row r="39">
      <c r="D39" s="5" t="n"/>
      <c r="J39">
        <f>IF(C39="BUY",Ввод!B13,Ввод!B14)</f>
        <v/>
      </c>
      <c r="K39">
        <f>IF(C39="BUY",J39-E39,E39-J39)</f>
        <v/>
      </c>
      <c r="L39">
        <f>IF(B39="Y",K39*D39*Ввод!B6+H39+I39,0)</f>
        <v/>
      </c>
      <c r="M39">
        <f>IF(B39="Y",D39*Ввод!B6*J39/Ввод!B7,0)</f>
        <v/>
      </c>
      <c r="N39" s="5">
        <f>IF(B39="Y",ROUND(MIN(D39*Ввод!B19,D39*0.5),2),0)</f>
        <v/>
      </c>
      <c r="O39">
        <f>IF(B39&lt;&gt;"Y","НЕТ",IF(AND(Расчеты!B11="ДА",ABS(K39)&gt;=Ввод!B18),"ЧАСТИЧНО ЗАКРЫТЬ","ДЕРЖАТЬ"))</f>
        <v/>
      </c>
      <c r="P39">
        <f>IF(B39&lt;&gt;"Y",0,IFERROR((Ввод!B12-Расчеты!B3-Ввод!B15/2+Расчеты!B6)/(Расчеты!B4-Ввод!B12-Ввод!B15/2-Расчеты!B6),0))</f>
        <v/>
      </c>
      <c r="Q39">
        <f>IF(B39="Y",B39&amp;C39,"")</f>
        <v/>
      </c>
    </row>
    <row r="40">
      <c r="D40" s="5" t="n"/>
      <c r="J40">
        <f>IF(C40="BUY",Ввод!B13,Ввод!B14)</f>
        <v/>
      </c>
      <c r="K40">
        <f>IF(C40="BUY",J40-E40,E40-J40)</f>
        <v/>
      </c>
      <c r="L40">
        <f>IF(B40="Y",K40*D40*Ввод!B6+H40+I40,0)</f>
        <v/>
      </c>
      <c r="M40">
        <f>IF(B40="Y",D40*Ввод!B6*J40/Ввод!B7,0)</f>
        <v/>
      </c>
      <c r="N40" s="5">
        <f>IF(B40="Y",ROUND(MIN(D40*Ввод!B19,D40*0.5),2),0)</f>
        <v/>
      </c>
      <c r="O40">
        <f>IF(B40&lt;&gt;"Y","НЕТ",IF(AND(Расчеты!B11="ДА",ABS(K40)&gt;=Ввод!B18),"ЧАСТИЧНО ЗАКРЫТЬ","ДЕРЖАТЬ"))</f>
        <v/>
      </c>
      <c r="P40">
        <f>IF(B40&lt;&gt;"Y",0,IFERROR((Ввод!B12-Расчеты!B3-Ввод!B15/2+Расчеты!B6)/(Расчеты!B4-Ввод!B12-Ввод!B15/2-Расчеты!B6),0))</f>
        <v/>
      </c>
      <c r="Q40">
        <f>IF(B40="Y",B40&amp;C40,"")</f>
        <v/>
      </c>
    </row>
    <row r="41">
      <c r="D41" s="5" t="n"/>
      <c r="J41">
        <f>IF(C41="BUY",Ввод!B13,Ввод!B14)</f>
        <v/>
      </c>
      <c r="K41">
        <f>IF(C41="BUY",J41-E41,E41-J41)</f>
        <v/>
      </c>
      <c r="L41">
        <f>IF(B41="Y",K41*D41*Ввод!B6+H41+I41,0)</f>
        <v/>
      </c>
      <c r="M41">
        <f>IF(B41="Y",D41*Ввод!B6*J41/Ввод!B7,0)</f>
        <v/>
      </c>
      <c r="N41" s="5">
        <f>IF(B41="Y",ROUND(MIN(D41*Ввод!B19,D41*0.5),2),0)</f>
        <v/>
      </c>
      <c r="O41">
        <f>IF(B41&lt;&gt;"Y","НЕТ",IF(AND(Расчеты!B11="ДА",ABS(K41)&gt;=Ввод!B18),"ЧАСТИЧНО ЗАКРЫТЬ","ДЕРЖАТЬ"))</f>
        <v/>
      </c>
      <c r="P41">
        <f>IF(B41&lt;&gt;"Y",0,IFERROR((Ввод!B12-Расчеты!B3-Ввод!B15/2+Расчеты!B6)/(Расчеты!B4-Ввод!B12-Ввод!B15/2-Расчеты!B6),0))</f>
        <v/>
      </c>
      <c r="Q41">
        <f>IF(B41="Y",B41&amp;C41,"")</f>
        <v/>
      </c>
    </row>
    <row r="42">
      <c r="D42" s="5" t="n"/>
      <c r="J42">
        <f>IF(C42="BUY",Ввод!B13,Ввод!B14)</f>
        <v/>
      </c>
      <c r="K42">
        <f>IF(C42="BUY",J42-E42,E42-J42)</f>
        <v/>
      </c>
      <c r="L42">
        <f>IF(B42="Y",K42*D42*Ввод!B6+H42+I42,0)</f>
        <v/>
      </c>
      <c r="M42">
        <f>IF(B42="Y",D42*Ввод!B6*J42/Ввод!B7,0)</f>
        <v/>
      </c>
      <c r="N42" s="5">
        <f>IF(B42="Y",ROUND(MIN(D42*Ввод!B19,D42*0.5),2),0)</f>
        <v/>
      </c>
      <c r="O42">
        <f>IF(B42&lt;&gt;"Y","НЕТ",IF(AND(Расчеты!B11="ДА",ABS(K42)&gt;=Ввод!B18),"ЧАСТИЧНО ЗАКРЫТЬ","ДЕРЖАТЬ"))</f>
        <v/>
      </c>
      <c r="P42">
        <f>IF(B42&lt;&gt;"Y",0,IFERROR((Ввод!B12-Расчеты!B3-Ввод!B15/2+Расчеты!B6)/(Расчеты!B4-Ввод!B12-Ввод!B15/2-Расчеты!B6),0))</f>
        <v/>
      </c>
      <c r="Q42">
        <f>IF(B42="Y",B42&amp;C42,"")</f>
        <v/>
      </c>
    </row>
    <row r="43">
      <c r="D43" s="5" t="n"/>
      <c r="J43">
        <f>IF(C43="BUY",Ввод!B13,Ввод!B14)</f>
        <v/>
      </c>
      <c r="K43">
        <f>IF(C43="BUY",J43-E43,E43-J43)</f>
        <v/>
      </c>
      <c r="L43">
        <f>IF(B43="Y",K43*D43*Ввод!B6+H43+I43,0)</f>
        <v/>
      </c>
      <c r="M43">
        <f>IF(B43="Y",D43*Ввод!B6*J43/Ввод!B7,0)</f>
        <v/>
      </c>
      <c r="N43" s="5">
        <f>IF(B43="Y",ROUND(MIN(D43*Ввод!B19,D43*0.5),2),0)</f>
        <v/>
      </c>
      <c r="O43">
        <f>IF(B43&lt;&gt;"Y","НЕТ",IF(AND(Расчеты!B11="ДА",ABS(K43)&gt;=Ввод!B18),"ЧАСТИЧНО ЗАКРЫТЬ","ДЕРЖАТЬ"))</f>
        <v/>
      </c>
      <c r="P43">
        <f>IF(B43&lt;&gt;"Y",0,IFERROR((Ввод!B12-Расчеты!B3-Ввод!B15/2+Расчеты!B6)/(Расчеты!B4-Ввод!B12-Ввод!B15/2-Расчеты!B6),0))</f>
        <v/>
      </c>
      <c r="Q43">
        <f>IF(B43="Y",B43&amp;C43,"")</f>
        <v/>
      </c>
    </row>
    <row r="44">
      <c r="D44" s="5" t="n"/>
      <c r="J44">
        <f>IF(C44="BUY",Ввод!B13,Ввод!B14)</f>
        <v/>
      </c>
      <c r="K44">
        <f>IF(C44="BUY",J44-E44,E44-J44)</f>
        <v/>
      </c>
      <c r="L44">
        <f>IF(B44="Y",K44*D44*Ввод!B6+H44+I44,0)</f>
        <v/>
      </c>
      <c r="M44">
        <f>IF(B44="Y",D44*Ввод!B6*J44/Ввод!B7,0)</f>
        <v/>
      </c>
      <c r="N44" s="5">
        <f>IF(B44="Y",ROUND(MIN(D44*Ввод!B19,D44*0.5),2),0)</f>
        <v/>
      </c>
      <c r="O44">
        <f>IF(B44&lt;&gt;"Y","НЕТ",IF(AND(Расчеты!B11="ДА",ABS(K44)&gt;=Ввод!B18),"ЧАСТИЧНО ЗАКРЫТЬ","ДЕРЖАТЬ"))</f>
        <v/>
      </c>
      <c r="P44">
        <f>IF(B44&lt;&gt;"Y",0,IFERROR((Ввод!B12-Расчеты!B3-Ввод!B15/2+Расчеты!B6)/(Расчеты!B4-Ввод!B12-Ввод!B15/2-Расчеты!B6),0))</f>
        <v/>
      </c>
      <c r="Q44">
        <f>IF(B44="Y",B44&amp;C44,"")</f>
        <v/>
      </c>
    </row>
    <row r="45">
      <c r="D45" s="5" t="n"/>
      <c r="J45">
        <f>IF(C45="BUY",Ввод!B13,Ввод!B14)</f>
        <v/>
      </c>
      <c r="K45">
        <f>IF(C45="BUY",J45-E45,E45-J45)</f>
        <v/>
      </c>
      <c r="L45">
        <f>IF(B45="Y",K45*D45*Ввод!B6+H45+I45,0)</f>
        <v/>
      </c>
      <c r="M45">
        <f>IF(B45="Y",D45*Ввод!B6*J45/Ввод!B7,0)</f>
        <v/>
      </c>
      <c r="N45" s="5">
        <f>IF(B45="Y",ROUND(MIN(D45*Ввод!B19,D45*0.5),2),0)</f>
        <v/>
      </c>
      <c r="O45">
        <f>IF(B45&lt;&gt;"Y","НЕТ",IF(AND(Расчеты!B11="ДА",ABS(K45)&gt;=Ввод!B18),"ЧАСТИЧНО ЗАКРЫТЬ","ДЕРЖАТЬ"))</f>
        <v/>
      </c>
      <c r="P45">
        <f>IF(B45&lt;&gt;"Y",0,IFERROR((Ввод!B12-Расчеты!B3-Ввод!B15/2+Расчеты!B6)/(Расчеты!B4-Ввод!B12-Ввод!B15/2-Расчеты!B6),0))</f>
        <v/>
      </c>
      <c r="Q45">
        <f>IF(B45="Y",B45&amp;C45,"")</f>
        <v/>
      </c>
    </row>
    <row r="46">
      <c r="D46" s="5" t="n"/>
      <c r="J46">
        <f>IF(C46="BUY",Ввод!B13,Ввод!B14)</f>
        <v/>
      </c>
      <c r="K46">
        <f>IF(C46="BUY",J46-E46,E46-J46)</f>
        <v/>
      </c>
      <c r="L46">
        <f>IF(B46="Y",K46*D46*Ввод!B6+H46+I46,0)</f>
        <v/>
      </c>
      <c r="M46">
        <f>IF(B46="Y",D46*Ввод!B6*J46/Ввод!B7,0)</f>
        <v/>
      </c>
      <c r="N46" s="5">
        <f>IF(B46="Y",ROUND(MIN(D46*Ввод!B19,D46*0.5),2),0)</f>
        <v/>
      </c>
      <c r="O46">
        <f>IF(B46&lt;&gt;"Y","НЕТ",IF(AND(Расчеты!B11="ДА",ABS(K46)&gt;=Ввод!B18),"ЧАСТИЧНО ЗАКРЫТЬ","ДЕРЖАТЬ"))</f>
        <v/>
      </c>
      <c r="P46">
        <f>IF(B46&lt;&gt;"Y",0,IFERROR((Ввод!B12-Расчеты!B3-Ввод!B15/2+Расчеты!B6)/(Расчеты!B4-Ввод!B12-Ввод!B15/2-Расчеты!B6),0))</f>
        <v/>
      </c>
      <c r="Q46">
        <f>IF(B46="Y",B46&amp;C46,"")</f>
        <v/>
      </c>
    </row>
    <row r="47">
      <c r="D47" s="5" t="n"/>
      <c r="J47">
        <f>IF(C47="BUY",Ввод!B13,Ввод!B14)</f>
        <v/>
      </c>
      <c r="K47">
        <f>IF(C47="BUY",J47-E47,E47-J47)</f>
        <v/>
      </c>
      <c r="L47">
        <f>IF(B47="Y",K47*D47*Ввод!B6+H47+I47,0)</f>
        <v/>
      </c>
      <c r="M47">
        <f>IF(B47="Y",D47*Ввод!B6*J47/Ввод!B7,0)</f>
        <v/>
      </c>
      <c r="N47" s="5">
        <f>IF(B47="Y",ROUND(MIN(D47*Ввод!B19,D47*0.5),2),0)</f>
        <v/>
      </c>
      <c r="O47">
        <f>IF(B47&lt;&gt;"Y","НЕТ",IF(AND(Расчеты!B11="ДА",ABS(K47)&gt;=Ввод!B18),"ЧАСТИЧНО ЗАКРЫТЬ","ДЕРЖАТЬ"))</f>
        <v/>
      </c>
      <c r="P47">
        <f>IF(B47&lt;&gt;"Y",0,IFERROR((Ввод!B12-Расчеты!B3-Ввод!B15/2+Расчеты!B6)/(Расчеты!B4-Ввод!B12-Ввод!B15/2-Расчеты!B6),0))</f>
        <v/>
      </c>
      <c r="Q47">
        <f>IF(B47="Y",B47&amp;C47,"")</f>
        <v/>
      </c>
    </row>
    <row r="48">
      <c r="D48" s="5" t="n"/>
      <c r="J48">
        <f>IF(C48="BUY",Ввод!B13,Ввод!B14)</f>
        <v/>
      </c>
      <c r="K48">
        <f>IF(C48="BUY",J48-E48,E48-J48)</f>
        <v/>
      </c>
      <c r="L48">
        <f>IF(B48="Y",K48*D48*Ввод!B6+H48+I48,0)</f>
        <v/>
      </c>
      <c r="M48">
        <f>IF(B48="Y",D48*Ввод!B6*J48/Ввод!B7,0)</f>
        <v/>
      </c>
      <c r="N48" s="5">
        <f>IF(B48="Y",ROUND(MIN(D48*Ввод!B19,D48*0.5),2),0)</f>
        <v/>
      </c>
      <c r="O48">
        <f>IF(B48&lt;&gt;"Y","НЕТ",IF(AND(Расчеты!B11="ДА",ABS(K48)&gt;=Ввод!B18),"ЧАСТИЧНО ЗАКРЫТЬ","ДЕРЖАТЬ"))</f>
        <v/>
      </c>
      <c r="P48">
        <f>IF(B48&lt;&gt;"Y",0,IFERROR((Ввод!B12-Расчеты!B3-Ввод!B15/2+Расчеты!B6)/(Расчеты!B4-Ввод!B12-Ввод!B15/2-Расчеты!B6),0))</f>
        <v/>
      </c>
      <c r="Q48">
        <f>IF(B48="Y",B48&amp;C48,"")</f>
        <v/>
      </c>
    </row>
    <row r="49">
      <c r="D49" s="5" t="n"/>
      <c r="J49">
        <f>IF(C49="BUY",Ввод!B13,Ввод!B14)</f>
        <v/>
      </c>
      <c r="K49">
        <f>IF(C49="BUY",J49-E49,E49-J49)</f>
        <v/>
      </c>
      <c r="L49">
        <f>IF(B49="Y",K49*D49*Ввод!B6+H49+I49,0)</f>
        <v/>
      </c>
      <c r="M49">
        <f>IF(B49="Y",D49*Ввод!B6*J49/Ввод!B7,0)</f>
        <v/>
      </c>
      <c r="N49" s="5">
        <f>IF(B49="Y",ROUND(MIN(D49*Ввод!B19,D49*0.5),2),0)</f>
        <v/>
      </c>
      <c r="O49">
        <f>IF(B49&lt;&gt;"Y","НЕТ",IF(AND(Расчеты!B11="ДА",ABS(K49)&gt;=Ввод!B18),"ЧАСТИЧНО ЗАКРЫТЬ","ДЕРЖАТЬ"))</f>
        <v/>
      </c>
      <c r="P49">
        <f>IF(B49&lt;&gt;"Y",0,IFERROR((Ввод!B12-Расчеты!B3-Ввод!B15/2+Расчеты!B6)/(Расчеты!B4-Ввод!B12-Ввод!B15/2-Расчеты!B6),0))</f>
        <v/>
      </c>
      <c r="Q49">
        <f>IF(B49="Y",B49&amp;C49,"")</f>
        <v/>
      </c>
    </row>
    <row r="50">
      <c r="D50" s="5" t="n"/>
      <c r="J50">
        <f>IF(C50="BUY",Ввод!B13,Ввод!B14)</f>
        <v/>
      </c>
      <c r="K50">
        <f>IF(C50="BUY",J50-E50,E50-J50)</f>
        <v/>
      </c>
      <c r="L50">
        <f>IF(B50="Y",K50*D50*Ввод!B6+H50+I50,0)</f>
        <v/>
      </c>
      <c r="M50">
        <f>IF(B50="Y",D50*Ввод!B6*J50/Ввод!B7,0)</f>
        <v/>
      </c>
      <c r="N50" s="5">
        <f>IF(B50="Y",ROUND(MIN(D50*Ввод!B19,D50*0.5),2),0)</f>
        <v/>
      </c>
      <c r="O50">
        <f>IF(B50&lt;&gt;"Y","НЕТ",IF(AND(Расчеты!B11="ДА",ABS(K50)&gt;=Ввод!B18),"ЧАСТИЧНО ЗАКРЫТЬ","ДЕРЖАТЬ"))</f>
        <v/>
      </c>
      <c r="P50">
        <f>IF(B50&lt;&gt;"Y",0,IFERROR((Ввод!B12-Расчеты!B3-Ввод!B15/2+Расчеты!B6)/(Расчеты!B4-Ввод!B12-Ввод!B15/2-Расчеты!B6),0))</f>
        <v/>
      </c>
      <c r="Q50">
        <f>IF(B50="Y",B50&amp;C50,"")</f>
        <v/>
      </c>
    </row>
    <row r="51">
      <c r="D51" s="5" t="n"/>
      <c r="J51">
        <f>IF(C51="BUY",Ввод!B13,Ввод!B14)</f>
        <v/>
      </c>
      <c r="K51">
        <f>IF(C51="BUY",J51-E51,E51-J51)</f>
        <v/>
      </c>
      <c r="L51">
        <f>IF(B51="Y",K51*D51*Ввод!B6+H51+I51,0)</f>
        <v/>
      </c>
      <c r="M51">
        <f>IF(B51="Y",D51*Ввод!B6*J51/Ввод!B7,0)</f>
        <v/>
      </c>
      <c r="N51" s="5">
        <f>IF(B51="Y",ROUND(MIN(D51*Ввод!B19,D51*0.5),2),0)</f>
        <v/>
      </c>
      <c r="O51">
        <f>IF(B51&lt;&gt;"Y","НЕТ",IF(AND(Расчеты!B11="ДА",ABS(K51)&gt;=Ввод!B18),"ЧАСТИЧНО ЗАКРЫТЬ","ДЕРЖАТЬ"))</f>
        <v/>
      </c>
      <c r="P51">
        <f>IF(B51&lt;&gt;"Y",0,IFERROR((Ввод!B12-Расчеты!B3-Ввод!B15/2+Расчеты!B6)/(Расчеты!B4-Ввод!B12-Ввод!B15/2-Расчеты!B6),0))</f>
        <v/>
      </c>
      <c r="Q51">
        <f>IF(B51="Y",B51&amp;C51,"")</f>
        <v/>
      </c>
    </row>
    <row r="52">
      <c r="D52" s="5" t="n"/>
      <c r="J52">
        <f>IF(C52="BUY",Ввод!B13,Ввод!B14)</f>
        <v/>
      </c>
      <c r="K52">
        <f>IF(C52="BUY",J52-E52,E52-J52)</f>
        <v/>
      </c>
      <c r="L52">
        <f>IF(B52="Y",K52*D52*Ввод!B6+H52+I52,0)</f>
        <v/>
      </c>
      <c r="M52">
        <f>IF(B52="Y",D52*Ввод!B6*J52/Ввод!B7,0)</f>
        <v/>
      </c>
      <c r="N52" s="5">
        <f>IF(B52="Y",ROUND(MIN(D52*Ввод!B19,D52*0.5),2),0)</f>
        <v/>
      </c>
      <c r="O52">
        <f>IF(B52&lt;&gt;"Y","НЕТ",IF(AND(Расчеты!B11="ДА",ABS(K52)&gt;=Ввод!B18),"ЧАСТИЧНО ЗАКРЫТЬ","ДЕРЖАТЬ"))</f>
        <v/>
      </c>
      <c r="P52">
        <f>IF(B52&lt;&gt;"Y",0,IFERROR((Ввод!B12-Расчеты!B3-Ввод!B15/2+Расчеты!B6)/(Расчеты!B4-Ввод!B12-Ввод!B15/2-Расчеты!B6),0))</f>
        <v/>
      </c>
      <c r="Q52">
        <f>IF(B52="Y",B52&amp;C52,"")</f>
        <v/>
      </c>
    </row>
    <row r="53">
      <c r="D53" s="5" t="n"/>
      <c r="J53">
        <f>IF(C53="BUY",Ввод!B13,Ввод!B14)</f>
        <v/>
      </c>
      <c r="K53">
        <f>IF(C53="BUY",J53-E53,E53-J53)</f>
        <v/>
      </c>
      <c r="L53">
        <f>IF(B53="Y",K53*D53*Ввод!B6+H53+I53,0)</f>
        <v/>
      </c>
      <c r="M53">
        <f>IF(B53="Y",D53*Ввод!B6*J53/Ввод!B7,0)</f>
        <v/>
      </c>
      <c r="N53" s="5">
        <f>IF(B53="Y",ROUND(MIN(D53*Ввод!B19,D53*0.5),2),0)</f>
        <v/>
      </c>
      <c r="O53">
        <f>IF(B53&lt;&gt;"Y","НЕТ",IF(AND(Расчеты!B11="ДА",ABS(K53)&gt;=Ввод!B18),"ЧАСТИЧНО ЗАКРЫТЬ","ДЕРЖАТЬ"))</f>
        <v/>
      </c>
      <c r="P53">
        <f>IF(B53&lt;&gt;"Y",0,IFERROR((Ввод!B12-Расчеты!B3-Ввод!B15/2+Расчеты!B6)/(Расчеты!B4-Ввод!B12-Ввод!B15/2-Расчеты!B6),0))</f>
        <v/>
      </c>
      <c r="Q53">
        <f>IF(B53="Y",B53&amp;C53,"")</f>
        <v/>
      </c>
    </row>
    <row r="54">
      <c r="D54" s="5" t="n"/>
      <c r="J54">
        <f>IF(C54="BUY",Ввод!B13,Ввод!B14)</f>
        <v/>
      </c>
      <c r="K54">
        <f>IF(C54="BUY",J54-E54,E54-J54)</f>
        <v/>
      </c>
      <c r="L54">
        <f>IF(B54="Y",K54*D54*Ввод!B6+H54+I54,0)</f>
        <v/>
      </c>
      <c r="M54">
        <f>IF(B54="Y",D54*Ввод!B6*J54/Ввод!B7,0)</f>
        <v/>
      </c>
      <c r="N54" s="5">
        <f>IF(B54="Y",ROUND(MIN(D54*Ввод!B19,D54*0.5),2),0)</f>
        <v/>
      </c>
      <c r="O54">
        <f>IF(B54&lt;&gt;"Y","НЕТ",IF(AND(Расчеты!B11="ДА",ABS(K54)&gt;=Ввод!B18),"ЧАСТИЧНО ЗАКРЫТЬ","ДЕРЖАТЬ"))</f>
        <v/>
      </c>
      <c r="P54">
        <f>IF(B54&lt;&gt;"Y",0,IFERROR((Ввод!B12-Расчеты!B3-Ввод!B15/2+Расчеты!B6)/(Расчеты!B4-Ввод!B12-Ввод!B15/2-Расчеты!B6),0))</f>
        <v/>
      </c>
      <c r="Q54">
        <f>IF(B54="Y",B54&amp;C54,"")</f>
        <v/>
      </c>
    </row>
    <row r="55">
      <c r="D55" s="5" t="n"/>
      <c r="J55">
        <f>IF(C55="BUY",Ввод!B13,Ввод!B14)</f>
        <v/>
      </c>
      <c r="K55">
        <f>IF(C55="BUY",J55-E55,E55-J55)</f>
        <v/>
      </c>
      <c r="L55">
        <f>IF(B55="Y",K55*D55*Ввод!B6+H55+I55,0)</f>
        <v/>
      </c>
      <c r="M55">
        <f>IF(B55="Y",D55*Ввод!B6*J55/Ввод!B7,0)</f>
        <v/>
      </c>
      <c r="N55" s="5">
        <f>IF(B55="Y",ROUND(MIN(D55*Ввод!B19,D55*0.5),2),0)</f>
        <v/>
      </c>
      <c r="O55">
        <f>IF(B55&lt;&gt;"Y","НЕТ",IF(AND(Расчеты!B11="ДА",ABS(K55)&gt;=Ввод!B18),"ЧАСТИЧНО ЗАКРЫТЬ","ДЕРЖАТЬ"))</f>
        <v/>
      </c>
      <c r="P55">
        <f>IF(B55&lt;&gt;"Y",0,IFERROR((Ввод!B12-Расчеты!B3-Ввод!B15/2+Расчеты!B6)/(Расчеты!B4-Ввод!B12-Ввод!B15/2-Расчеты!B6),0))</f>
        <v/>
      </c>
      <c r="Q55">
        <f>IF(B55="Y",B55&amp;C55,"")</f>
        <v/>
      </c>
    </row>
    <row r="56">
      <c r="D56" s="5" t="n"/>
      <c r="J56">
        <f>IF(C56="BUY",Ввод!B13,Ввод!B14)</f>
        <v/>
      </c>
      <c r="K56">
        <f>IF(C56="BUY",J56-E56,E56-J56)</f>
        <v/>
      </c>
      <c r="L56">
        <f>IF(B56="Y",K56*D56*Ввод!B6+H56+I56,0)</f>
        <v/>
      </c>
      <c r="M56">
        <f>IF(B56="Y",D56*Ввод!B6*J56/Ввод!B7,0)</f>
        <v/>
      </c>
      <c r="N56" s="5">
        <f>IF(B56="Y",ROUND(MIN(D56*Ввод!B19,D56*0.5),2),0)</f>
        <v/>
      </c>
      <c r="O56">
        <f>IF(B56&lt;&gt;"Y","НЕТ",IF(AND(Расчеты!B11="ДА",ABS(K56)&gt;=Ввод!B18),"ЧАСТИЧНО ЗАКРЫТЬ","ДЕРЖАТЬ"))</f>
        <v/>
      </c>
      <c r="P56">
        <f>IF(B56&lt;&gt;"Y",0,IFERROR((Ввод!B12-Расчеты!B3-Ввод!B15/2+Расчеты!B6)/(Расчеты!B4-Ввод!B12-Ввод!B15/2-Расчеты!B6),0))</f>
        <v/>
      </c>
      <c r="Q56">
        <f>IF(B56="Y",B56&amp;C56,"")</f>
        <v/>
      </c>
    </row>
    <row r="57">
      <c r="D57" s="5" t="n"/>
      <c r="J57">
        <f>IF(C57="BUY",Ввод!B13,Ввод!B14)</f>
        <v/>
      </c>
      <c r="K57">
        <f>IF(C57="BUY",J57-E57,E57-J57)</f>
        <v/>
      </c>
      <c r="L57">
        <f>IF(B57="Y",K57*D57*Ввод!B6+H57+I57,0)</f>
        <v/>
      </c>
      <c r="M57">
        <f>IF(B57="Y",D57*Ввод!B6*J57/Ввод!B7,0)</f>
        <v/>
      </c>
      <c r="N57" s="5">
        <f>IF(B57="Y",ROUND(MIN(D57*Ввод!B19,D57*0.5),2),0)</f>
        <v/>
      </c>
      <c r="O57">
        <f>IF(B57&lt;&gt;"Y","НЕТ",IF(AND(Расчеты!B11="ДА",ABS(K57)&gt;=Ввод!B18),"ЧАСТИЧНО ЗАКРЫТЬ","ДЕРЖАТЬ"))</f>
        <v/>
      </c>
      <c r="P57">
        <f>IF(B57&lt;&gt;"Y",0,IFERROR((Ввод!B12-Расчеты!B3-Ввод!B15/2+Расчеты!B6)/(Расчеты!B4-Ввод!B12-Ввод!B15/2-Расчеты!B6),0))</f>
        <v/>
      </c>
      <c r="Q57">
        <f>IF(B57="Y",B57&amp;C57,"")</f>
        <v/>
      </c>
    </row>
    <row r="58">
      <c r="D58" s="5" t="n"/>
      <c r="J58">
        <f>IF(C58="BUY",Ввод!B13,Ввод!B14)</f>
        <v/>
      </c>
      <c r="K58">
        <f>IF(C58="BUY",J58-E58,E58-J58)</f>
        <v/>
      </c>
      <c r="L58">
        <f>IF(B58="Y",K58*D58*Ввод!B6+H58+I58,0)</f>
        <v/>
      </c>
      <c r="M58">
        <f>IF(B58="Y",D58*Ввод!B6*J58/Ввод!B7,0)</f>
        <v/>
      </c>
      <c r="N58" s="5">
        <f>IF(B58="Y",ROUND(MIN(D58*Ввод!B19,D58*0.5),2),0)</f>
        <v/>
      </c>
      <c r="O58">
        <f>IF(B58&lt;&gt;"Y","НЕТ",IF(AND(Расчеты!B11="ДА",ABS(K58)&gt;=Ввод!B18),"ЧАСТИЧНО ЗАКРЫТЬ","ДЕРЖАТЬ"))</f>
        <v/>
      </c>
      <c r="P58">
        <f>IF(B58&lt;&gt;"Y",0,IFERROR((Ввод!B12-Расчеты!B3-Ввод!B15/2+Расчеты!B6)/(Расчеты!B4-Ввод!B12-Ввод!B15/2-Расчеты!B6),0))</f>
        <v/>
      </c>
      <c r="Q58">
        <f>IF(B58="Y",B58&amp;C58,"")</f>
        <v/>
      </c>
    </row>
    <row r="59">
      <c r="D59" s="5" t="n"/>
      <c r="J59">
        <f>IF(C59="BUY",Ввод!B13,Ввод!B14)</f>
        <v/>
      </c>
      <c r="K59">
        <f>IF(C59="BUY",J59-E59,E59-J59)</f>
        <v/>
      </c>
      <c r="L59">
        <f>IF(B59="Y",K59*D59*Ввод!B6+H59+I59,0)</f>
        <v/>
      </c>
      <c r="M59">
        <f>IF(B59="Y",D59*Ввод!B6*J59/Ввод!B7,0)</f>
        <v/>
      </c>
      <c r="N59" s="5">
        <f>IF(B59="Y",ROUND(MIN(D59*Ввод!B19,D59*0.5),2),0)</f>
        <v/>
      </c>
      <c r="O59">
        <f>IF(B59&lt;&gt;"Y","НЕТ",IF(AND(Расчеты!B11="ДА",ABS(K59)&gt;=Ввод!B18),"ЧАСТИЧНО ЗАКРЫТЬ","ДЕРЖАТЬ"))</f>
        <v/>
      </c>
      <c r="P59">
        <f>IF(B59&lt;&gt;"Y",0,IFERROR((Ввод!B12-Расчеты!B3-Ввод!B15/2+Расчеты!B6)/(Расчеты!B4-Ввод!B12-Ввод!B15/2-Расчеты!B6),0))</f>
        <v/>
      </c>
      <c r="Q59">
        <f>IF(B59="Y",B59&amp;C59,"")</f>
        <v/>
      </c>
    </row>
    <row r="60">
      <c r="D60" s="5" t="n"/>
      <c r="J60">
        <f>IF(C60="BUY",Ввод!B13,Ввод!B14)</f>
        <v/>
      </c>
      <c r="K60">
        <f>IF(C60="BUY",J60-E60,E60-J60)</f>
        <v/>
      </c>
      <c r="L60">
        <f>IF(B60="Y",K60*D60*Ввод!B6+H60+I60,0)</f>
        <v/>
      </c>
      <c r="M60">
        <f>IF(B60="Y",D60*Ввод!B6*J60/Ввод!B7,0)</f>
        <v/>
      </c>
      <c r="N60" s="5">
        <f>IF(B60="Y",ROUND(MIN(D60*Ввод!B19,D60*0.5),2),0)</f>
        <v/>
      </c>
      <c r="O60">
        <f>IF(B60&lt;&gt;"Y","НЕТ",IF(AND(Расчеты!B11="ДА",ABS(K60)&gt;=Ввод!B18),"ЧАСТИЧНО ЗАКРЫТЬ","ДЕРЖАТЬ"))</f>
        <v/>
      </c>
      <c r="P60">
        <f>IF(B60&lt;&gt;"Y",0,IFERROR((Ввод!B12-Расчеты!B3-Ввод!B15/2+Расчеты!B6)/(Расчеты!B4-Ввод!B12-Ввод!B15/2-Расчеты!B6),0))</f>
        <v/>
      </c>
      <c r="Q60">
        <f>IF(B60="Y",B60&amp;C60,"")</f>
        <v/>
      </c>
    </row>
    <row r="61">
      <c r="D61" s="5" t="n"/>
      <c r="J61">
        <f>IF(C61="BUY",Ввод!B13,Ввод!B14)</f>
        <v/>
      </c>
      <c r="K61">
        <f>IF(C61="BUY",J61-E61,E61-J61)</f>
        <v/>
      </c>
      <c r="L61">
        <f>IF(B61="Y",K61*D61*Ввод!B6+H61+I61,0)</f>
        <v/>
      </c>
      <c r="M61">
        <f>IF(B61="Y",D61*Ввод!B6*J61/Ввод!B7,0)</f>
        <v/>
      </c>
      <c r="N61" s="5">
        <f>IF(B61="Y",ROUND(MIN(D61*Ввод!B19,D61*0.5),2),0)</f>
        <v/>
      </c>
      <c r="O61">
        <f>IF(B61&lt;&gt;"Y","НЕТ",IF(AND(Расчеты!B11="ДА",ABS(K61)&gt;=Ввод!B18),"ЧАСТИЧНО ЗАКРЫТЬ","ДЕРЖАТЬ"))</f>
        <v/>
      </c>
      <c r="P61">
        <f>IF(B61&lt;&gt;"Y",0,IFERROR((Ввод!B12-Расчеты!B3-Ввод!B15/2+Расчеты!B6)/(Расчеты!B4-Ввод!B12-Ввод!B15/2-Расчеты!B6),0))</f>
        <v/>
      </c>
      <c r="Q61">
        <f>IF(B61="Y",B61&amp;C61,"")</f>
        <v/>
      </c>
    </row>
    <row r="62">
      <c r="D62" s="5" t="n"/>
      <c r="J62">
        <f>IF(C62="BUY",Ввод!B13,Ввод!B14)</f>
        <v/>
      </c>
      <c r="K62">
        <f>IF(C62="BUY",J62-E62,E62-J62)</f>
        <v/>
      </c>
      <c r="L62">
        <f>IF(B62="Y",K62*D62*Ввод!B6+H62+I62,0)</f>
        <v/>
      </c>
      <c r="M62">
        <f>IF(B62="Y",D62*Ввод!B6*J62/Ввод!B7,0)</f>
        <v/>
      </c>
      <c r="N62" s="5">
        <f>IF(B62="Y",ROUND(MIN(D62*Ввод!B19,D62*0.5),2),0)</f>
        <v/>
      </c>
      <c r="O62">
        <f>IF(B62&lt;&gt;"Y","НЕТ",IF(AND(Расчеты!B11="ДА",ABS(K62)&gt;=Ввод!B18),"ЧАСТИЧНО ЗАКРЫТЬ","ДЕРЖАТЬ"))</f>
        <v/>
      </c>
      <c r="P62">
        <f>IF(B62&lt;&gt;"Y",0,IFERROR((Ввод!B12-Расчеты!B3-Ввод!B15/2+Расчеты!B6)/(Расчеты!B4-Ввод!B12-Ввод!B15/2-Расчеты!B6),0))</f>
        <v/>
      </c>
      <c r="Q62">
        <f>IF(B62="Y",B62&amp;C62,"")</f>
        <v/>
      </c>
    </row>
    <row r="63">
      <c r="D63" s="5" t="n"/>
      <c r="J63">
        <f>IF(C63="BUY",Ввод!B13,Ввод!B14)</f>
        <v/>
      </c>
      <c r="K63">
        <f>IF(C63="BUY",J63-E63,E63-J63)</f>
        <v/>
      </c>
      <c r="L63">
        <f>IF(B63="Y",K63*D63*Ввод!B6+H63+I63,0)</f>
        <v/>
      </c>
      <c r="M63">
        <f>IF(B63="Y",D63*Ввод!B6*J63/Ввод!B7,0)</f>
        <v/>
      </c>
      <c r="N63" s="5">
        <f>IF(B63="Y",ROUND(MIN(D63*Ввод!B19,D63*0.5),2),0)</f>
        <v/>
      </c>
      <c r="O63">
        <f>IF(B63&lt;&gt;"Y","НЕТ",IF(AND(Расчеты!B11="ДА",ABS(K63)&gt;=Ввод!B18),"ЧАСТИЧНО ЗАКРЫТЬ","ДЕРЖАТЬ"))</f>
        <v/>
      </c>
      <c r="P63">
        <f>IF(B63&lt;&gt;"Y",0,IFERROR((Ввод!B12-Расчеты!B3-Ввод!B15/2+Расчеты!B6)/(Расчеты!B4-Ввод!B12-Ввод!B15/2-Расчеты!B6),0))</f>
        <v/>
      </c>
      <c r="Q63">
        <f>IF(B63="Y",B63&amp;C63,"")</f>
        <v/>
      </c>
    </row>
    <row r="64">
      <c r="D64" s="5" t="n"/>
      <c r="J64">
        <f>IF(C64="BUY",Ввод!B13,Ввод!B14)</f>
        <v/>
      </c>
      <c r="K64">
        <f>IF(C64="BUY",J64-E64,E64-J64)</f>
        <v/>
      </c>
      <c r="L64">
        <f>IF(B64="Y",K64*D64*Ввод!B6+H64+I64,0)</f>
        <v/>
      </c>
      <c r="M64">
        <f>IF(B64="Y",D64*Ввод!B6*J64/Ввод!B7,0)</f>
        <v/>
      </c>
      <c r="N64" s="5">
        <f>IF(B64="Y",ROUND(MIN(D64*Ввод!B19,D64*0.5),2),0)</f>
        <v/>
      </c>
      <c r="O64">
        <f>IF(B64&lt;&gt;"Y","НЕТ",IF(AND(Расчеты!B11="ДА",ABS(K64)&gt;=Ввод!B18),"ЧАСТИЧНО ЗАКРЫТЬ","ДЕРЖАТЬ"))</f>
        <v/>
      </c>
      <c r="P64">
        <f>IF(B64&lt;&gt;"Y",0,IFERROR((Ввод!B12-Расчеты!B3-Ввод!B15/2+Расчеты!B6)/(Расчеты!B4-Ввод!B12-Ввод!B15/2-Расчеты!B6),0))</f>
        <v/>
      </c>
      <c r="Q64">
        <f>IF(B64="Y",B64&amp;C64,"")</f>
        <v/>
      </c>
    </row>
    <row r="65">
      <c r="D65" s="5" t="n"/>
      <c r="J65">
        <f>IF(C65="BUY",Ввод!B13,Ввод!B14)</f>
        <v/>
      </c>
      <c r="K65">
        <f>IF(C65="BUY",J65-E65,E65-J65)</f>
        <v/>
      </c>
      <c r="L65">
        <f>IF(B65="Y",K65*D65*Ввод!B6+H65+I65,0)</f>
        <v/>
      </c>
      <c r="M65">
        <f>IF(B65="Y",D65*Ввод!B6*J65/Ввод!B7,0)</f>
        <v/>
      </c>
      <c r="N65" s="5">
        <f>IF(B65="Y",ROUND(MIN(D65*Ввод!B19,D65*0.5),2),0)</f>
        <v/>
      </c>
      <c r="O65">
        <f>IF(B65&lt;&gt;"Y","НЕТ",IF(AND(Расчеты!B11="ДА",ABS(K65)&gt;=Ввод!B18),"ЧАСТИЧНО ЗАКРЫТЬ","ДЕРЖАТЬ"))</f>
        <v/>
      </c>
      <c r="P65">
        <f>IF(B65&lt;&gt;"Y",0,IFERROR((Ввод!B12-Расчеты!B3-Ввод!B15/2+Расчеты!B6)/(Расчеты!B4-Ввод!B12-Ввод!B15/2-Расчеты!B6),0))</f>
        <v/>
      </c>
      <c r="Q65">
        <f>IF(B65="Y",B65&amp;C65,"")</f>
        <v/>
      </c>
    </row>
    <row r="66">
      <c r="D66" s="5" t="n"/>
      <c r="J66">
        <f>IF(C66="BUY",Ввод!B13,Ввод!B14)</f>
        <v/>
      </c>
      <c r="K66">
        <f>IF(C66="BUY",J66-E66,E66-J66)</f>
        <v/>
      </c>
      <c r="L66">
        <f>IF(B66="Y",K66*D66*Ввод!B6+H66+I66,0)</f>
        <v/>
      </c>
      <c r="M66">
        <f>IF(B66="Y",D66*Ввод!B6*J66/Ввод!B7,0)</f>
        <v/>
      </c>
      <c r="N66" s="5">
        <f>IF(B66="Y",ROUND(MIN(D66*Ввод!B19,D66*0.5),2),0)</f>
        <v/>
      </c>
      <c r="O66">
        <f>IF(B66&lt;&gt;"Y","НЕТ",IF(AND(Расчеты!B11="ДА",ABS(K66)&gt;=Ввод!B18),"ЧАСТИЧНО ЗАКРЫТЬ","ДЕРЖАТЬ"))</f>
        <v/>
      </c>
      <c r="P66">
        <f>IF(B66&lt;&gt;"Y",0,IFERROR((Ввод!B12-Расчеты!B3-Ввод!B15/2+Расчеты!B6)/(Расчеты!B4-Ввод!B12-Ввод!B15/2-Расчеты!B6),0))</f>
        <v/>
      </c>
      <c r="Q66">
        <f>IF(B66="Y",B66&amp;C66,"")</f>
        <v/>
      </c>
    </row>
    <row r="67">
      <c r="D67" s="5" t="n"/>
      <c r="J67">
        <f>IF(C67="BUY",Ввод!B13,Ввод!B14)</f>
        <v/>
      </c>
      <c r="K67">
        <f>IF(C67="BUY",J67-E67,E67-J67)</f>
        <v/>
      </c>
      <c r="L67">
        <f>IF(B67="Y",K67*D67*Ввод!B6+H67+I67,0)</f>
        <v/>
      </c>
      <c r="M67">
        <f>IF(B67="Y",D67*Ввод!B6*J67/Ввод!B7,0)</f>
        <v/>
      </c>
      <c r="N67" s="5">
        <f>IF(B67="Y",ROUND(MIN(D67*Ввод!B19,D67*0.5),2),0)</f>
        <v/>
      </c>
      <c r="O67">
        <f>IF(B67&lt;&gt;"Y","НЕТ",IF(AND(Расчеты!B11="ДА",ABS(K67)&gt;=Ввод!B18),"ЧАСТИЧНО ЗАКРЫТЬ","ДЕРЖАТЬ"))</f>
        <v/>
      </c>
      <c r="P67">
        <f>IF(B67&lt;&gt;"Y",0,IFERROR((Ввод!B12-Расчеты!B3-Ввод!B15/2+Расчеты!B6)/(Расчеты!B4-Ввод!B12-Ввод!B15/2-Расчеты!B6),0))</f>
        <v/>
      </c>
      <c r="Q67">
        <f>IF(B67="Y",B67&amp;C67,"")</f>
        <v/>
      </c>
    </row>
    <row r="68">
      <c r="D68" s="5" t="n"/>
      <c r="J68">
        <f>IF(C68="BUY",Ввод!B13,Ввод!B14)</f>
        <v/>
      </c>
      <c r="K68">
        <f>IF(C68="BUY",J68-E68,E68-J68)</f>
        <v/>
      </c>
      <c r="L68">
        <f>IF(B68="Y",K68*D68*Ввод!B6+H68+I68,0)</f>
        <v/>
      </c>
      <c r="M68">
        <f>IF(B68="Y",D68*Ввод!B6*J68/Ввод!B7,0)</f>
        <v/>
      </c>
      <c r="N68" s="5">
        <f>IF(B68="Y",ROUND(MIN(D68*Ввод!B19,D68*0.5),2),0)</f>
        <v/>
      </c>
      <c r="O68">
        <f>IF(B68&lt;&gt;"Y","НЕТ",IF(AND(Расчеты!B11="ДА",ABS(K68)&gt;=Ввод!B18),"ЧАСТИЧНО ЗАКРЫТЬ","ДЕРЖАТЬ"))</f>
        <v/>
      </c>
      <c r="P68">
        <f>IF(B68&lt;&gt;"Y",0,IFERROR((Ввод!B12-Расчеты!B3-Ввод!B15/2+Расчеты!B6)/(Расчеты!B4-Ввод!B12-Ввод!B15/2-Расчеты!B6),0))</f>
        <v/>
      </c>
      <c r="Q68">
        <f>IF(B68="Y",B68&amp;C68,"")</f>
        <v/>
      </c>
    </row>
    <row r="69">
      <c r="D69" s="5" t="n"/>
      <c r="J69">
        <f>IF(C69="BUY",Ввод!B13,Ввод!B14)</f>
        <v/>
      </c>
      <c r="K69">
        <f>IF(C69="BUY",J69-E69,E69-J69)</f>
        <v/>
      </c>
      <c r="L69">
        <f>IF(B69="Y",K69*D69*Ввод!B6+H69+I69,0)</f>
        <v/>
      </c>
      <c r="M69">
        <f>IF(B69="Y",D69*Ввод!B6*J69/Ввод!B7,0)</f>
        <v/>
      </c>
      <c r="N69" s="5">
        <f>IF(B69="Y",ROUND(MIN(D69*Ввод!B19,D69*0.5),2),0)</f>
        <v/>
      </c>
      <c r="O69">
        <f>IF(B69&lt;&gt;"Y","НЕТ",IF(AND(Расчеты!B11="ДА",ABS(K69)&gt;=Ввод!B18),"ЧАСТИЧНО ЗАКРЫТЬ","ДЕРЖАТЬ"))</f>
        <v/>
      </c>
      <c r="P69">
        <f>IF(B69&lt;&gt;"Y",0,IFERROR((Ввод!B12-Расчеты!B3-Ввод!B15/2+Расчеты!B6)/(Расчеты!B4-Ввод!B12-Ввод!B15/2-Расчеты!B6),0))</f>
        <v/>
      </c>
      <c r="Q69">
        <f>IF(B69="Y",B69&amp;C69,"")</f>
        <v/>
      </c>
    </row>
    <row r="70">
      <c r="D70" s="5" t="n"/>
      <c r="J70">
        <f>IF(C70="BUY",Ввод!B13,Ввод!B14)</f>
        <v/>
      </c>
      <c r="K70">
        <f>IF(C70="BUY",J70-E70,E70-J70)</f>
        <v/>
      </c>
      <c r="L70">
        <f>IF(B70="Y",K70*D70*Ввод!B6+H70+I70,0)</f>
        <v/>
      </c>
      <c r="M70">
        <f>IF(B70="Y",D70*Ввод!B6*J70/Ввод!B7,0)</f>
        <v/>
      </c>
      <c r="N70" s="5">
        <f>IF(B70="Y",ROUND(MIN(D70*Ввод!B19,D70*0.5),2),0)</f>
        <v/>
      </c>
      <c r="O70">
        <f>IF(B70&lt;&gt;"Y","НЕТ",IF(AND(Расчеты!B11="ДА",ABS(K70)&gt;=Ввод!B18),"ЧАСТИЧНО ЗАКРЫТЬ","ДЕРЖАТЬ"))</f>
        <v/>
      </c>
      <c r="P70">
        <f>IF(B70&lt;&gt;"Y",0,IFERROR((Ввод!B12-Расчеты!B3-Ввод!B15/2+Расчеты!B6)/(Расчеты!B4-Ввод!B12-Ввод!B15/2-Расчеты!B6),0))</f>
        <v/>
      </c>
      <c r="Q70">
        <f>IF(B70="Y",B70&amp;C70,"")</f>
        <v/>
      </c>
    </row>
    <row r="71">
      <c r="D71" s="5" t="n"/>
      <c r="J71">
        <f>IF(C71="BUY",Ввод!B13,Ввод!B14)</f>
        <v/>
      </c>
      <c r="K71">
        <f>IF(C71="BUY",J71-E71,E71-J71)</f>
        <v/>
      </c>
      <c r="L71">
        <f>IF(B71="Y",K71*D71*Ввод!B6+H71+I71,0)</f>
        <v/>
      </c>
      <c r="M71">
        <f>IF(B71="Y",D71*Ввод!B6*J71/Ввод!B7,0)</f>
        <v/>
      </c>
      <c r="N71" s="5">
        <f>IF(B71="Y",ROUND(MIN(D71*Ввод!B19,D71*0.5),2),0)</f>
        <v/>
      </c>
      <c r="O71">
        <f>IF(B71&lt;&gt;"Y","НЕТ",IF(AND(Расчеты!B11="ДА",ABS(K71)&gt;=Ввод!B18),"ЧАСТИЧНО ЗАКРЫТЬ","ДЕРЖАТЬ"))</f>
        <v/>
      </c>
      <c r="P71">
        <f>IF(B71&lt;&gt;"Y",0,IFERROR((Ввод!B12-Расчеты!B3-Ввод!B15/2+Расчеты!B6)/(Расчеты!B4-Ввод!B12-Ввод!B15/2-Расчеты!B6),0))</f>
        <v/>
      </c>
      <c r="Q71">
        <f>IF(B71="Y",B71&amp;C71,"")</f>
        <v/>
      </c>
    </row>
    <row r="72">
      <c r="D72" s="5" t="n"/>
      <c r="J72">
        <f>IF(C72="BUY",Ввод!B13,Ввод!B14)</f>
        <v/>
      </c>
      <c r="K72">
        <f>IF(C72="BUY",J72-E72,E72-J72)</f>
        <v/>
      </c>
      <c r="L72">
        <f>IF(B72="Y",K72*D72*Ввод!B6+H72+I72,0)</f>
        <v/>
      </c>
      <c r="M72">
        <f>IF(B72="Y",D72*Ввод!B6*J72/Ввод!B7,0)</f>
        <v/>
      </c>
      <c r="N72" s="5">
        <f>IF(B72="Y",ROUND(MIN(D72*Ввод!B19,D72*0.5),2),0)</f>
        <v/>
      </c>
      <c r="O72">
        <f>IF(B72&lt;&gt;"Y","НЕТ",IF(AND(Расчеты!B11="ДА",ABS(K72)&gt;=Ввод!B18),"ЧАСТИЧНО ЗАКРЫТЬ","ДЕРЖАТЬ"))</f>
        <v/>
      </c>
      <c r="P72">
        <f>IF(B72&lt;&gt;"Y",0,IFERROR((Ввод!B12-Расчеты!B3-Ввод!B15/2+Расчеты!B6)/(Расчеты!B4-Ввод!B12-Ввод!B15/2-Расчеты!B6),0))</f>
        <v/>
      </c>
      <c r="Q72">
        <f>IF(B72="Y",B72&amp;C72,"")</f>
        <v/>
      </c>
    </row>
    <row r="73">
      <c r="D73" s="5" t="n"/>
      <c r="J73">
        <f>IF(C73="BUY",Ввод!B13,Ввод!B14)</f>
        <v/>
      </c>
      <c r="K73">
        <f>IF(C73="BUY",J73-E73,E73-J73)</f>
        <v/>
      </c>
      <c r="L73">
        <f>IF(B73="Y",K73*D73*Ввод!B6+H73+I73,0)</f>
        <v/>
      </c>
      <c r="M73">
        <f>IF(B73="Y",D73*Ввод!B6*J73/Ввод!B7,0)</f>
        <v/>
      </c>
      <c r="N73" s="5">
        <f>IF(B73="Y",ROUND(MIN(D73*Ввод!B19,D73*0.5),2),0)</f>
        <v/>
      </c>
      <c r="O73">
        <f>IF(B73&lt;&gt;"Y","НЕТ",IF(AND(Расчеты!B11="ДА",ABS(K73)&gt;=Ввод!B18),"ЧАСТИЧНО ЗАКРЫТЬ","ДЕРЖАТЬ"))</f>
        <v/>
      </c>
      <c r="P73">
        <f>IF(B73&lt;&gt;"Y",0,IFERROR((Ввод!B12-Расчеты!B3-Ввод!B15/2+Расчеты!B6)/(Расчеты!B4-Ввод!B12-Ввод!B15/2-Расчеты!B6),0))</f>
        <v/>
      </c>
      <c r="Q73">
        <f>IF(B73="Y",B73&amp;C73,"")</f>
        <v/>
      </c>
    </row>
    <row r="74">
      <c r="D74" s="5" t="n"/>
      <c r="J74">
        <f>IF(C74="BUY",Ввод!B13,Ввод!B14)</f>
        <v/>
      </c>
      <c r="K74">
        <f>IF(C74="BUY",J74-E74,E74-J74)</f>
        <v/>
      </c>
      <c r="L74">
        <f>IF(B74="Y",K74*D74*Ввод!B6+H74+I74,0)</f>
        <v/>
      </c>
      <c r="M74">
        <f>IF(B74="Y",D74*Ввод!B6*J74/Ввод!B7,0)</f>
        <v/>
      </c>
      <c r="N74" s="5">
        <f>IF(B74="Y",ROUND(MIN(D74*Ввод!B19,D74*0.5),2),0)</f>
        <v/>
      </c>
      <c r="O74">
        <f>IF(B74&lt;&gt;"Y","НЕТ",IF(AND(Расчеты!B11="ДА",ABS(K74)&gt;=Ввод!B18),"ЧАСТИЧНО ЗАКРЫТЬ","ДЕРЖАТЬ"))</f>
        <v/>
      </c>
      <c r="P74">
        <f>IF(B74&lt;&gt;"Y",0,IFERROR((Ввод!B12-Расчеты!B3-Ввод!B15/2+Расчеты!B6)/(Расчеты!B4-Ввод!B12-Ввод!B15/2-Расчеты!B6),0))</f>
        <v/>
      </c>
      <c r="Q74">
        <f>IF(B74="Y",B74&amp;C74,"")</f>
        <v/>
      </c>
    </row>
    <row r="75">
      <c r="D75" s="5" t="n"/>
      <c r="J75">
        <f>IF(C75="BUY",Ввод!B13,Ввод!B14)</f>
        <v/>
      </c>
      <c r="K75">
        <f>IF(C75="BUY",J75-E75,E75-J75)</f>
        <v/>
      </c>
      <c r="L75">
        <f>IF(B75="Y",K75*D75*Ввод!B6+H75+I75,0)</f>
        <v/>
      </c>
      <c r="M75">
        <f>IF(B75="Y",D75*Ввод!B6*J75/Ввод!B7,0)</f>
        <v/>
      </c>
      <c r="N75" s="5">
        <f>IF(B75="Y",ROUND(MIN(D75*Ввод!B19,D75*0.5),2),0)</f>
        <v/>
      </c>
      <c r="O75">
        <f>IF(B75&lt;&gt;"Y","НЕТ",IF(AND(Расчеты!B11="ДА",ABS(K75)&gt;=Ввод!B18),"ЧАСТИЧНО ЗАКРЫТЬ","ДЕРЖАТЬ"))</f>
        <v/>
      </c>
      <c r="P75">
        <f>IF(B75&lt;&gt;"Y",0,IFERROR((Ввод!B12-Расчеты!B3-Ввод!B15/2+Расчеты!B6)/(Расчеты!B4-Ввод!B12-Ввод!B15/2-Расчеты!B6),0))</f>
        <v/>
      </c>
      <c r="Q75">
        <f>IF(B75="Y",B75&amp;C75,"")</f>
        <v/>
      </c>
    </row>
    <row r="76">
      <c r="D76" s="5" t="n"/>
      <c r="J76">
        <f>IF(C76="BUY",Ввод!B13,Ввод!B14)</f>
        <v/>
      </c>
      <c r="K76">
        <f>IF(C76="BUY",J76-E76,E76-J76)</f>
        <v/>
      </c>
      <c r="L76">
        <f>IF(B76="Y",K76*D76*Ввод!B6+H76+I76,0)</f>
        <v/>
      </c>
      <c r="M76">
        <f>IF(B76="Y",D76*Ввод!B6*J76/Ввод!B7,0)</f>
        <v/>
      </c>
      <c r="N76" s="5">
        <f>IF(B76="Y",ROUND(MIN(D76*Ввод!B19,D76*0.5),2),0)</f>
        <v/>
      </c>
      <c r="O76">
        <f>IF(B76&lt;&gt;"Y","НЕТ",IF(AND(Расчеты!B11="ДА",ABS(K76)&gt;=Ввод!B18),"ЧАСТИЧНО ЗАКРЫТЬ","ДЕРЖАТЬ"))</f>
        <v/>
      </c>
      <c r="P76">
        <f>IF(B76&lt;&gt;"Y",0,IFERROR((Ввод!B12-Расчеты!B3-Ввод!B15/2+Расчеты!B6)/(Расчеты!B4-Ввод!B12-Ввод!B15/2-Расчеты!B6),0))</f>
        <v/>
      </c>
      <c r="Q76">
        <f>IF(B76="Y",B76&amp;C76,"")</f>
        <v/>
      </c>
    </row>
    <row r="77">
      <c r="D77" s="5" t="n"/>
      <c r="J77">
        <f>IF(C77="BUY",Ввод!B13,Ввод!B14)</f>
        <v/>
      </c>
      <c r="K77">
        <f>IF(C77="BUY",J77-E77,E77-J77)</f>
        <v/>
      </c>
      <c r="L77">
        <f>IF(B77="Y",K77*D77*Ввод!B6+H77+I77,0)</f>
        <v/>
      </c>
      <c r="M77">
        <f>IF(B77="Y",D77*Ввод!B6*J77/Ввод!B7,0)</f>
        <v/>
      </c>
      <c r="N77" s="5">
        <f>IF(B77="Y",ROUND(MIN(D77*Ввод!B19,D77*0.5),2),0)</f>
        <v/>
      </c>
      <c r="O77">
        <f>IF(B77&lt;&gt;"Y","НЕТ",IF(AND(Расчеты!B11="ДА",ABS(K77)&gt;=Ввод!B18),"ЧАСТИЧНО ЗАКРЫТЬ","ДЕРЖАТЬ"))</f>
        <v/>
      </c>
      <c r="P77">
        <f>IF(B77&lt;&gt;"Y",0,IFERROR((Ввод!B12-Расчеты!B3-Ввод!B15/2+Расчеты!B6)/(Расчеты!B4-Ввод!B12-Ввод!B15/2-Расчеты!B6),0))</f>
        <v/>
      </c>
      <c r="Q77">
        <f>IF(B77="Y",B77&amp;C77,"")</f>
        <v/>
      </c>
    </row>
    <row r="78">
      <c r="D78" s="5" t="n"/>
      <c r="J78">
        <f>IF(C78="BUY",Ввод!B13,Ввод!B14)</f>
        <v/>
      </c>
      <c r="K78">
        <f>IF(C78="BUY",J78-E78,E78-J78)</f>
        <v/>
      </c>
      <c r="L78">
        <f>IF(B78="Y",K78*D78*Ввод!B6+H78+I78,0)</f>
        <v/>
      </c>
      <c r="M78">
        <f>IF(B78="Y",D78*Ввод!B6*J78/Ввод!B7,0)</f>
        <v/>
      </c>
      <c r="N78" s="5">
        <f>IF(B78="Y",ROUND(MIN(D78*Ввод!B19,D78*0.5),2),0)</f>
        <v/>
      </c>
      <c r="O78">
        <f>IF(B78&lt;&gt;"Y","НЕТ",IF(AND(Расчеты!B11="ДА",ABS(K78)&gt;=Ввод!B18),"ЧАСТИЧНО ЗАКРЫТЬ","ДЕРЖАТЬ"))</f>
        <v/>
      </c>
      <c r="P78">
        <f>IF(B78&lt;&gt;"Y",0,IFERROR((Ввод!B12-Расчеты!B3-Ввод!B15/2+Расчеты!B6)/(Расчеты!B4-Ввод!B12-Ввод!B15/2-Расчеты!B6),0))</f>
        <v/>
      </c>
      <c r="Q78">
        <f>IF(B78="Y",B78&amp;C78,"")</f>
        <v/>
      </c>
    </row>
    <row r="79">
      <c r="D79" s="5" t="n"/>
      <c r="J79">
        <f>IF(C79="BUY",Ввод!B13,Ввод!B14)</f>
        <v/>
      </c>
      <c r="K79">
        <f>IF(C79="BUY",J79-E79,E79-J79)</f>
        <v/>
      </c>
      <c r="L79">
        <f>IF(B79="Y",K79*D79*Ввод!B6+H79+I79,0)</f>
        <v/>
      </c>
      <c r="M79">
        <f>IF(B79="Y",D79*Ввод!B6*J79/Ввод!B7,0)</f>
        <v/>
      </c>
      <c r="N79" s="5">
        <f>IF(B79="Y",ROUND(MIN(D79*Ввод!B19,D79*0.5),2),0)</f>
        <v/>
      </c>
      <c r="O79">
        <f>IF(B79&lt;&gt;"Y","НЕТ",IF(AND(Расчеты!B11="ДА",ABS(K79)&gt;=Ввод!B18),"ЧАСТИЧНО ЗАКРЫТЬ","ДЕРЖАТЬ"))</f>
        <v/>
      </c>
      <c r="P79">
        <f>IF(B79&lt;&gt;"Y",0,IFERROR((Ввод!B12-Расчеты!B3-Ввод!B15/2+Расчеты!B6)/(Расчеты!B4-Ввод!B12-Ввод!B15/2-Расчеты!B6),0))</f>
        <v/>
      </c>
      <c r="Q79">
        <f>IF(B79="Y",B79&amp;C79,"")</f>
        <v/>
      </c>
    </row>
    <row r="80">
      <c r="D80" s="5" t="n"/>
      <c r="J80">
        <f>IF(C80="BUY",Ввод!B13,Ввод!B14)</f>
        <v/>
      </c>
      <c r="K80">
        <f>IF(C80="BUY",J80-E80,E80-J80)</f>
        <v/>
      </c>
      <c r="L80">
        <f>IF(B80="Y",K80*D80*Ввод!B6+H80+I80,0)</f>
        <v/>
      </c>
      <c r="M80">
        <f>IF(B80="Y",D80*Ввод!B6*J80/Ввод!B7,0)</f>
        <v/>
      </c>
      <c r="N80" s="5">
        <f>IF(B80="Y",ROUND(MIN(D80*Ввод!B19,D80*0.5),2),0)</f>
        <v/>
      </c>
      <c r="O80">
        <f>IF(B80&lt;&gt;"Y","НЕТ",IF(AND(Расчеты!B11="ДА",ABS(K80)&gt;=Ввод!B18),"ЧАСТИЧНО ЗАКРЫТЬ","ДЕРЖАТЬ"))</f>
        <v/>
      </c>
      <c r="P80">
        <f>IF(B80&lt;&gt;"Y",0,IFERROR((Ввод!B12-Расчеты!B3-Ввод!B15/2+Расчеты!B6)/(Расчеты!B4-Ввод!B12-Ввод!B15/2-Расчеты!B6),0))</f>
        <v/>
      </c>
      <c r="Q80">
        <f>IF(B80="Y",B80&amp;C80,"")</f>
        <v/>
      </c>
    </row>
    <row r="81">
      <c r="D81" s="5" t="n"/>
      <c r="J81">
        <f>IF(C81="BUY",Ввод!B13,Ввод!B14)</f>
        <v/>
      </c>
      <c r="K81">
        <f>IF(C81="BUY",J81-E81,E81-J81)</f>
        <v/>
      </c>
      <c r="L81">
        <f>IF(B81="Y",K81*D81*Ввод!B6+H81+I81,0)</f>
        <v/>
      </c>
      <c r="M81">
        <f>IF(B81="Y",D81*Ввод!B6*J81/Ввод!B7,0)</f>
        <v/>
      </c>
      <c r="N81" s="5">
        <f>IF(B81="Y",ROUND(MIN(D81*Ввод!B19,D81*0.5),2),0)</f>
        <v/>
      </c>
      <c r="O81">
        <f>IF(B81&lt;&gt;"Y","НЕТ",IF(AND(Расчеты!B11="ДА",ABS(K81)&gt;=Ввод!B18),"ЧАСТИЧНО ЗАКРЫТЬ","ДЕРЖАТЬ"))</f>
        <v/>
      </c>
      <c r="P81">
        <f>IF(B81&lt;&gt;"Y",0,IFERROR((Ввод!B12-Расчеты!B3-Ввод!B15/2+Расчеты!B6)/(Расчеты!B4-Ввод!B12-Ввод!B15/2-Расчеты!B6),0))</f>
        <v/>
      </c>
      <c r="Q81">
        <f>IF(B81="Y",B81&amp;C81,"")</f>
        <v/>
      </c>
    </row>
    <row r="82">
      <c r="D82" s="5" t="n"/>
      <c r="J82">
        <f>IF(C82="BUY",Ввод!B13,Ввод!B14)</f>
        <v/>
      </c>
      <c r="K82">
        <f>IF(C82="BUY",J82-E82,E82-J82)</f>
        <v/>
      </c>
      <c r="L82">
        <f>IF(B82="Y",K82*D82*Ввод!B6+H82+I82,0)</f>
        <v/>
      </c>
      <c r="M82">
        <f>IF(B82="Y",D82*Ввод!B6*J82/Ввод!B7,0)</f>
        <v/>
      </c>
      <c r="N82" s="5">
        <f>IF(B82="Y",ROUND(MIN(D82*Ввод!B19,D82*0.5),2),0)</f>
        <v/>
      </c>
      <c r="O82">
        <f>IF(B82&lt;&gt;"Y","НЕТ",IF(AND(Расчеты!B11="ДА",ABS(K82)&gt;=Ввод!B18),"ЧАСТИЧНО ЗАКРЫТЬ","ДЕРЖАТЬ"))</f>
        <v/>
      </c>
      <c r="P82">
        <f>IF(B82&lt;&gt;"Y",0,IFERROR((Ввод!B12-Расчеты!B3-Ввод!B15/2+Расчеты!B6)/(Расчеты!B4-Ввод!B12-Ввод!B15/2-Расчеты!B6),0))</f>
        <v/>
      </c>
      <c r="Q82">
        <f>IF(B82="Y",B82&amp;C82,"")</f>
        <v/>
      </c>
    </row>
    <row r="83">
      <c r="D83" s="5" t="n"/>
      <c r="J83">
        <f>IF(C83="BUY",Ввод!B13,Ввод!B14)</f>
        <v/>
      </c>
      <c r="K83">
        <f>IF(C83="BUY",J83-E83,E83-J83)</f>
        <v/>
      </c>
      <c r="L83">
        <f>IF(B83="Y",K83*D83*Ввод!B6+H83+I83,0)</f>
        <v/>
      </c>
      <c r="M83">
        <f>IF(B83="Y",D83*Ввод!B6*J83/Ввод!B7,0)</f>
        <v/>
      </c>
      <c r="N83" s="5">
        <f>IF(B83="Y",ROUND(MIN(D83*Ввод!B19,D83*0.5),2),0)</f>
        <v/>
      </c>
      <c r="O83">
        <f>IF(B83&lt;&gt;"Y","НЕТ",IF(AND(Расчеты!B11="ДА",ABS(K83)&gt;=Ввод!B18),"ЧАСТИЧНО ЗАКРЫТЬ","ДЕРЖАТЬ"))</f>
        <v/>
      </c>
      <c r="P83">
        <f>IF(B83&lt;&gt;"Y",0,IFERROR((Ввод!B12-Расчеты!B3-Ввод!B15/2+Расчеты!B6)/(Расчеты!B4-Ввод!B12-Ввод!B15/2-Расчеты!B6),0))</f>
        <v/>
      </c>
      <c r="Q83">
        <f>IF(B83="Y",B83&amp;C83,"")</f>
        <v/>
      </c>
    </row>
    <row r="84">
      <c r="D84" s="5" t="n"/>
      <c r="J84">
        <f>IF(C84="BUY",Ввод!B13,Ввод!B14)</f>
        <v/>
      </c>
      <c r="K84">
        <f>IF(C84="BUY",J84-E84,E84-J84)</f>
        <v/>
      </c>
      <c r="L84">
        <f>IF(B84="Y",K84*D84*Ввод!B6+H84+I84,0)</f>
        <v/>
      </c>
      <c r="M84">
        <f>IF(B84="Y",D84*Ввод!B6*J84/Ввод!B7,0)</f>
        <v/>
      </c>
      <c r="N84" s="5">
        <f>IF(B84="Y",ROUND(MIN(D84*Ввод!B19,D84*0.5),2),0)</f>
        <v/>
      </c>
      <c r="O84">
        <f>IF(B84&lt;&gt;"Y","НЕТ",IF(AND(Расчеты!B11="ДА",ABS(K84)&gt;=Ввод!B18),"ЧАСТИЧНО ЗАКРЫТЬ","ДЕРЖАТЬ"))</f>
        <v/>
      </c>
      <c r="P84">
        <f>IF(B84&lt;&gt;"Y",0,IFERROR((Ввод!B12-Расчеты!B3-Ввод!B15/2+Расчеты!B6)/(Расчеты!B4-Ввод!B12-Ввод!B15/2-Расчеты!B6),0))</f>
        <v/>
      </c>
      <c r="Q84">
        <f>IF(B84="Y",B84&amp;C84,"")</f>
        <v/>
      </c>
    </row>
    <row r="85">
      <c r="D85" s="5" t="n"/>
      <c r="J85">
        <f>IF(C85="BUY",Ввод!B13,Ввод!B14)</f>
        <v/>
      </c>
      <c r="K85">
        <f>IF(C85="BUY",J85-E85,E85-J85)</f>
        <v/>
      </c>
      <c r="L85">
        <f>IF(B85="Y",K85*D85*Ввод!B6+H85+I85,0)</f>
        <v/>
      </c>
      <c r="M85">
        <f>IF(B85="Y",D85*Ввод!B6*J85/Ввод!B7,0)</f>
        <v/>
      </c>
      <c r="N85" s="5">
        <f>IF(B85="Y",ROUND(MIN(D85*Ввод!B19,D85*0.5),2),0)</f>
        <v/>
      </c>
      <c r="O85">
        <f>IF(B85&lt;&gt;"Y","НЕТ",IF(AND(Расчеты!B11="ДА",ABS(K85)&gt;=Ввод!B18),"ЧАСТИЧНО ЗАКРЫТЬ","ДЕРЖАТЬ"))</f>
        <v/>
      </c>
      <c r="P85">
        <f>IF(B85&lt;&gt;"Y",0,IFERROR((Ввод!B12-Расчеты!B3-Ввод!B15/2+Расчеты!B6)/(Расчеты!B4-Ввод!B12-Ввод!B15/2-Расчеты!B6),0))</f>
        <v/>
      </c>
      <c r="Q85">
        <f>IF(B85="Y",B85&amp;C85,"")</f>
        <v/>
      </c>
    </row>
    <row r="86">
      <c r="D86" s="5" t="n"/>
      <c r="J86">
        <f>IF(C86="BUY",Ввод!B13,Ввод!B14)</f>
        <v/>
      </c>
      <c r="K86">
        <f>IF(C86="BUY",J86-E86,E86-J86)</f>
        <v/>
      </c>
      <c r="L86">
        <f>IF(B86="Y",K86*D86*Ввод!B6+H86+I86,0)</f>
        <v/>
      </c>
      <c r="M86">
        <f>IF(B86="Y",D86*Ввод!B6*J86/Ввод!B7,0)</f>
        <v/>
      </c>
      <c r="N86" s="5">
        <f>IF(B86="Y",ROUND(MIN(D86*Ввод!B19,D86*0.5),2),0)</f>
        <v/>
      </c>
      <c r="O86">
        <f>IF(B86&lt;&gt;"Y","НЕТ",IF(AND(Расчеты!B11="ДА",ABS(K86)&gt;=Ввод!B18),"ЧАСТИЧНО ЗАКРЫТЬ","ДЕРЖАТЬ"))</f>
        <v/>
      </c>
      <c r="P86">
        <f>IF(B86&lt;&gt;"Y",0,IFERROR((Ввод!B12-Расчеты!B3-Ввод!B15/2+Расчеты!B6)/(Расчеты!B4-Ввод!B12-Ввод!B15/2-Расчеты!B6),0))</f>
        <v/>
      </c>
      <c r="Q86">
        <f>IF(B86="Y",B86&amp;C86,"")</f>
        <v/>
      </c>
    </row>
    <row r="87">
      <c r="D87" s="5" t="n"/>
      <c r="J87">
        <f>IF(C87="BUY",Ввод!B13,Ввод!B14)</f>
        <v/>
      </c>
      <c r="K87">
        <f>IF(C87="BUY",J87-E87,E87-J87)</f>
        <v/>
      </c>
      <c r="L87">
        <f>IF(B87="Y",K87*D87*Ввод!B6+H87+I87,0)</f>
        <v/>
      </c>
      <c r="M87">
        <f>IF(B87="Y",D87*Ввод!B6*J87/Ввод!B7,0)</f>
        <v/>
      </c>
      <c r="N87" s="5">
        <f>IF(B87="Y",ROUND(MIN(D87*Ввод!B19,D87*0.5),2),0)</f>
        <v/>
      </c>
      <c r="O87">
        <f>IF(B87&lt;&gt;"Y","НЕТ",IF(AND(Расчеты!B11="ДА",ABS(K87)&gt;=Ввод!B18),"ЧАСТИЧНО ЗАКРЫТЬ","ДЕРЖАТЬ"))</f>
        <v/>
      </c>
      <c r="P87">
        <f>IF(B87&lt;&gt;"Y",0,IFERROR((Ввод!B12-Расчеты!B3-Ввод!B15/2+Расчеты!B6)/(Расчеты!B4-Ввод!B12-Ввод!B15/2-Расчеты!B6),0))</f>
        <v/>
      </c>
      <c r="Q87">
        <f>IF(B87="Y",B87&amp;C87,"")</f>
        <v/>
      </c>
    </row>
    <row r="88">
      <c r="D88" s="5" t="n"/>
      <c r="J88">
        <f>IF(C88="BUY",Ввод!B13,Ввод!B14)</f>
        <v/>
      </c>
      <c r="K88">
        <f>IF(C88="BUY",J88-E88,E88-J88)</f>
        <v/>
      </c>
      <c r="L88">
        <f>IF(B88="Y",K88*D88*Ввод!B6+H88+I88,0)</f>
        <v/>
      </c>
      <c r="M88">
        <f>IF(B88="Y",D88*Ввод!B6*J88/Ввод!B7,0)</f>
        <v/>
      </c>
      <c r="N88" s="5">
        <f>IF(B88="Y",ROUND(MIN(D88*Ввод!B19,D88*0.5),2),0)</f>
        <v/>
      </c>
      <c r="O88">
        <f>IF(B88&lt;&gt;"Y","НЕТ",IF(AND(Расчеты!B11="ДА",ABS(K88)&gt;=Ввод!B18),"ЧАСТИЧНО ЗАКРЫТЬ","ДЕРЖАТЬ"))</f>
        <v/>
      </c>
      <c r="P88">
        <f>IF(B88&lt;&gt;"Y",0,IFERROR((Ввод!B12-Расчеты!B3-Ввод!B15/2+Расчеты!B6)/(Расчеты!B4-Ввод!B12-Ввод!B15/2-Расчеты!B6),0))</f>
        <v/>
      </c>
      <c r="Q88">
        <f>IF(B88="Y",B88&amp;C88,"")</f>
        <v/>
      </c>
    </row>
    <row r="89">
      <c r="D89" s="5" t="n"/>
      <c r="J89">
        <f>IF(C89="BUY",Ввод!B13,Ввод!B14)</f>
        <v/>
      </c>
      <c r="K89">
        <f>IF(C89="BUY",J89-E89,E89-J89)</f>
        <v/>
      </c>
      <c r="L89">
        <f>IF(B89="Y",K89*D89*Ввод!B6+H89+I89,0)</f>
        <v/>
      </c>
      <c r="M89">
        <f>IF(B89="Y",D89*Ввод!B6*J89/Ввод!B7,0)</f>
        <v/>
      </c>
      <c r="N89" s="5">
        <f>IF(B89="Y",ROUND(MIN(D89*Ввод!B19,D89*0.5),2),0)</f>
        <v/>
      </c>
      <c r="O89">
        <f>IF(B89&lt;&gt;"Y","НЕТ",IF(AND(Расчеты!B11="ДА",ABS(K89)&gt;=Ввод!B18),"ЧАСТИЧНО ЗАКРЫТЬ","ДЕРЖАТЬ"))</f>
        <v/>
      </c>
      <c r="P89">
        <f>IF(B89&lt;&gt;"Y",0,IFERROR((Ввод!B12-Расчеты!B3-Ввод!B15/2+Расчеты!B6)/(Расчеты!B4-Ввод!B12-Ввод!B15/2-Расчеты!B6),0))</f>
        <v/>
      </c>
      <c r="Q89">
        <f>IF(B89="Y",B89&amp;C89,"")</f>
        <v/>
      </c>
    </row>
    <row r="90">
      <c r="D90" s="5" t="n"/>
      <c r="J90">
        <f>IF(C90="BUY",Ввод!B13,Ввод!B14)</f>
        <v/>
      </c>
      <c r="K90">
        <f>IF(C90="BUY",J90-E90,E90-J90)</f>
        <v/>
      </c>
      <c r="L90">
        <f>IF(B90="Y",K90*D90*Ввод!B6+H90+I90,0)</f>
        <v/>
      </c>
      <c r="M90">
        <f>IF(B90="Y",D90*Ввод!B6*J90/Ввод!B7,0)</f>
        <v/>
      </c>
      <c r="N90" s="5">
        <f>IF(B90="Y",ROUND(MIN(D90*Ввод!B19,D90*0.5),2),0)</f>
        <v/>
      </c>
      <c r="O90">
        <f>IF(B90&lt;&gt;"Y","НЕТ",IF(AND(Расчеты!B11="ДА",ABS(K90)&gt;=Ввод!B18),"ЧАСТИЧНО ЗАКРЫТЬ","ДЕРЖАТЬ"))</f>
        <v/>
      </c>
      <c r="P90">
        <f>IF(B90&lt;&gt;"Y",0,IFERROR((Ввод!B12-Расчеты!B3-Ввод!B15/2+Расчеты!B6)/(Расчеты!B4-Ввод!B12-Ввод!B15/2-Расчеты!B6),0))</f>
        <v/>
      </c>
      <c r="Q90">
        <f>IF(B90="Y",B90&amp;C90,"")</f>
        <v/>
      </c>
    </row>
    <row r="91">
      <c r="D91" s="5" t="n"/>
      <c r="J91">
        <f>IF(C91="BUY",Ввод!B13,Ввод!B14)</f>
        <v/>
      </c>
      <c r="K91">
        <f>IF(C91="BUY",J91-E91,E91-J91)</f>
        <v/>
      </c>
      <c r="L91">
        <f>IF(B91="Y",K91*D91*Ввод!B6+H91+I91,0)</f>
        <v/>
      </c>
      <c r="M91">
        <f>IF(B91="Y",D91*Ввод!B6*J91/Ввод!B7,0)</f>
        <v/>
      </c>
      <c r="N91" s="5">
        <f>IF(B91="Y",ROUND(MIN(D91*Ввод!B19,D91*0.5),2),0)</f>
        <v/>
      </c>
      <c r="O91">
        <f>IF(B91&lt;&gt;"Y","НЕТ",IF(AND(Расчеты!B11="ДА",ABS(K91)&gt;=Ввод!B18),"ЧАСТИЧНО ЗАКРЫТЬ","ДЕРЖАТЬ"))</f>
        <v/>
      </c>
      <c r="P91">
        <f>IF(B91&lt;&gt;"Y",0,IFERROR((Ввод!B12-Расчеты!B3-Ввод!B15/2+Расчеты!B6)/(Расчеты!B4-Ввод!B12-Ввод!B15/2-Расчеты!B6),0))</f>
        <v/>
      </c>
      <c r="Q91">
        <f>IF(B91="Y",B91&amp;C91,"")</f>
        <v/>
      </c>
    </row>
    <row r="92">
      <c r="D92" s="5" t="n"/>
      <c r="J92">
        <f>IF(C92="BUY",Ввод!B13,Ввод!B14)</f>
        <v/>
      </c>
      <c r="K92">
        <f>IF(C92="BUY",J92-E92,E92-J92)</f>
        <v/>
      </c>
      <c r="L92">
        <f>IF(B92="Y",K92*D92*Ввод!B6+H92+I92,0)</f>
        <v/>
      </c>
      <c r="M92">
        <f>IF(B92="Y",D92*Ввод!B6*J92/Ввод!B7,0)</f>
        <v/>
      </c>
      <c r="N92" s="5">
        <f>IF(B92="Y",ROUND(MIN(D92*Ввод!B19,D92*0.5),2),0)</f>
        <v/>
      </c>
      <c r="O92">
        <f>IF(B92&lt;&gt;"Y","НЕТ",IF(AND(Расчеты!B11="ДА",ABS(K92)&gt;=Ввод!B18),"ЧАСТИЧНО ЗАКРЫТЬ","ДЕРЖАТЬ"))</f>
        <v/>
      </c>
      <c r="P92">
        <f>IF(B92&lt;&gt;"Y",0,IFERROR((Ввод!B12-Расчеты!B3-Ввод!B15/2+Расчеты!B6)/(Расчеты!B4-Ввод!B12-Ввод!B15/2-Расчеты!B6),0))</f>
        <v/>
      </c>
      <c r="Q92">
        <f>IF(B92="Y",B92&amp;C92,"")</f>
        <v/>
      </c>
    </row>
    <row r="93">
      <c r="D93" s="5" t="n"/>
      <c r="J93">
        <f>IF(C93="BUY",Ввод!B13,Ввод!B14)</f>
        <v/>
      </c>
      <c r="K93">
        <f>IF(C93="BUY",J93-E93,E93-J93)</f>
        <v/>
      </c>
      <c r="L93">
        <f>IF(B93="Y",K93*D93*Ввод!B6+H93+I93,0)</f>
        <v/>
      </c>
      <c r="M93">
        <f>IF(B93="Y",D93*Ввод!B6*J93/Ввод!B7,0)</f>
        <v/>
      </c>
      <c r="N93" s="5">
        <f>IF(B93="Y",ROUND(MIN(D93*Ввод!B19,D93*0.5),2),0)</f>
        <v/>
      </c>
      <c r="O93">
        <f>IF(B93&lt;&gt;"Y","НЕТ",IF(AND(Расчеты!B11="ДА",ABS(K93)&gt;=Ввод!B18),"ЧАСТИЧНО ЗАКРЫТЬ","ДЕРЖАТЬ"))</f>
        <v/>
      </c>
      <c r="P93">
        <f>IF(B93&lt;&gt;"Y",0,IFERROR((Ввод!B12-Расчеты!B3-Ввод!B15/2+Расчеты!B6)/(Расчеты!B4-Ввод!B12-Ввод!B15/2-Расчеты!B6),0))</f>
        <v/>
      </c>
      <c r="Q93">
        <f>IF(B93="Y",B93&amp;C93,"")</f>
        <v/>
      </c>
    </row>
    <row r="94">
      <c r="D94" s="5" t="n"/>
      <c r="J94">
        <f>IF(C94="BUY",Ввод!B13,Ввод!B14)</f>
        <v/>
      </c>
      <c r="K94">
        <f>IF(C94="BUY",J94-E94,E94-J94)</f>
        <v/>
      </c>
      <c r="L94">
        <f>IF(B94="Y",K94*D94*Ввод!B6+H94+I94,0)</f>
        <v/>
      </c>
      <c r="M94">
        <f>IF(B94="Y",D94*Ввод!B6*J94/Ввод!B7,0)</f>
        <v/>
      </c>
      <c r="N94" s="5">
        <f>IF(B94="Y",ROUND(MIN(D94*Ввод!B19,D94*0.5),2),0)</f>
        <v/>
      </c>
      <c r="O94">
        <f>IF(B94&lt;&gt;"Y","НЕТ",IF(AND(Расчеты!B11="ДА",ABS(K94)&gt;=Ввод!B18),"ЧАСТИЧНО ЗАКРЫТЬ","ДЕРЖАТЬ"))</f>
        <v/>
      </c>
      <c r="P94">
        <f>IF(B94&lt;&gt;"Y",0,IFERROR((Ввод!B12-Расчеты!B3-Ввод!B15/2+Расчеты!B6)/(Расчеты!B4-Ввод!B12-Ввод!B15/2-Расчеты!B6),0))</f>
        <v/>
      </c>
      <c r="Q94">
        <f>IF(B94="Y",B94&amp;C94,"")</f>
        <v/>
      </c>
    </row>
    <row r="95">
      <c r="D95" s="5" t="n"/>
      <c r="J95">
        <f>IF(C95="BUY",Ввод!B13,Ввод!B14)</f>
        <v/>
      </c>
      <c r="K95">
        <f>IF(C95="BUY",J95-E95,E95-J95)</f>
        <v/>
      </c>
      <c r="L95">
        <f>IF(B95="Y",K95*D95*Ввод!B6+H95+I95,0)</f>
        <v/>
      </c>
      <c r="M95">
        <f>IF(B95="Y",D95*Ввод!B6*J95/Ввод!B7,0)</f>
        <v/>
      </c>
      <c r="N95" s="5">
        <f>IF(B95="Y",ROUND(MIN(D95*Ввод!B19,D95*0.5),2),0)</f>
        <v/>
      </c>
      <c r="O95">
        <f>IF(B95&lt;&gt;"Y","НЕТ",IF(AND(Расчеты!B11="ДА",ABS(K95)&gt;=Ввод!B18),"ЧАСТИЧНО ЗАКРЫТЬ","ДЕРЖАТЬ"))</f>
        <v/>
      </c>
      <c r="P95">
        <f>IF(B95&lt;&gt;"Y",0,IFERROR((Ввод!B12-Расчеты!B3-Ввод!B15/2+Расчеты!B6)/(Расчеты!B4-Ввод!B12-Ввод!B15/2-Расчеты!B6),0))</f>
        <v/>
      </c>
      <c r="Q95">
        <f>IF(B95="Y",B95&amp;C95,"")</f>
        <v/>
      </c>
    </row>
    <row r="96">
      <c r="D96" s="5" t="n"/>
      <c r="J96">
        <f>IF(C96="BUY",Ввод!B13,Ввод!B14)</f>
        <v/>
      </c>
      <c r="K96">
        <f>IF(C96="BUY",J96-E96,E96-J96)</f>
        <v/>
      </c>
      <c r="L96">
        <f>IF(B96="Y",K96*D96*Ввод!B6+H96+I96,0)</f>
        <v/>
      </c>
      <c r="M96">
        <f>IF(B96="Y",D96*Ввод!B6*J96/Ввод!B7,0)</f>
        <v/>
      </c>
      <c r="N96" s="5">
        <f>IF(B96="Y",ROUND(MIN(D96*Ввод!B19,D96*0.5),2),0)</f>
        <v/>
      </c>
      <c r="O96">
        <f>IF(B96&lt;&gt;"Y","НЕТ",IF(AND(Расчеты!B11="ДА",ABS(K96)&gt;=Ввод!B18),"ЧАСТИЧНО ЗАКРЫТЬ","ДЕРЖАТЬ"))</f>
        <v/>
      </c>
      <c r="P96">
        <f>IF(B96&lt;&gt;"Y",0,IFERROR((Ввод!B12-Расчеты!B3-Ввод!B15/2+Расчеты!B6)/(Расчеты!B4-Ввод!B12-Ввод!B15/2-Расчеты!B6),0))</f>
        <v/>
      </c>
      <c r="Q96">
        <f>IF(B96="Y",B96&amp;C96,"")</f>
        <v/>
      </c>
    </row>
    <row r="97">
      <c r="D97" s="5" t="n"/>
      <c r="J97">
        <f>IF(C97="BUY",Ввод!B13,Ввод!B14)</f>
        <v/>
      </c>
      <c r="K97">
        <f>IF(C97="BUY",J97-E97,E97-J97)</f>
        <v/>
      </c>
      <c r="L97">
        <f>IF(B97="Y",K97*D97*Ввод!B6+H97+I97,0)</f>
        <v/>
      </c>
      <c r="M97">
        <f>IF(B97="Y",D97*Ввод!B6*J97/Ввод!B7,0)</f>
        <v/>
      </c>
      <c r="N97" s="5">
        <f>IF(B97="Y",ROUND(MIN(D97*Ввод!B19,D97*0.5),2),0)</f>
        <v/>
      </c>
      <c r="O97">
        <f>IF(B97&lt;&gt;"Y","НЕТ",IF(AND(Расчеты!B11="ДА",ABS(K97)&gt;=Ввод!B18),"ЧАСТИЧНО ЗАКРЫТЬ","ДЕРЖАТЬ"))</f>
        <v/>
      </c>
      <c r="P97">
        <f>IF(B97&lt;&gt;"Y",0,IFERROR((Ввод!B12-Расчеты!B3-Ввод!B15/2+Расчеты!B6)/(Расчеты!B4-Ввод!B12-Ввод!B15/2-Расчеты!B6),0))</f>
        <v/>
      </c>
      <c r="Q97">
        <f>IF(B97="Y",B97&amp;C97,"")</f>
        <v/>
      </c>
    </row>
    <row r="98">
      <c r="D98" s="5" t="n"/>
      <c r="J98">
        <f>IF(C98="BUY",Ввод!B13,Ввод!B14)</f>
        <v/>
      </c>
      <c r="K98">
        <f>IF(C98="BUY",J98-E98,E98-J98)</f>
        <v/>
      </c>
      <c r="L98">
        <f>IF(B98="Y",K98*D98*Ввод!B6+H98+I98,0)</f>
        <v/>
      </c>
      <c r="M98">
        <f>IF(B98="Y",D98*Ввод!B6*J98/Ввод!B7,0)</f>
        <v/>
      </c>
      <c r="N98" s="5">
        <f>IF(B98="Y",ROUND(MIN(D98*Ввод!B19,D98*0.5),2),0)</f>
        <v/>
      </c>
      <c r="O98">
        <f>IF(B98&lt;&gt;"Y","НЕТ",IF(AND(Расчеты!B11="ДА",ABS(K98)&gt;=Ввод!B18),"ЧАСТИЧНО ЗАКРЫТЬ","ДЕРЖАТЬ"))</f>
        <v/>
      </c>
      <c r="P98">
        <f>IF(B98&lt;&gt;"Y",0,IFERROR((Ввод!B12-Расчеты!B3-Ввод!B15/2+Расчеты!B6)/(Расчеты!B4-Ввод!B12-Ввод!B15/2-Расчеты!B6),0))</f>
        <v/>
      </c>
      <c r="Q98">
        <f>IF(B98="Y",B98&amp;C98,"")</f>
        <v/>
      </c>
    </row>
    <row r="99">
      <c r="D99" s="5" t="n"/>
      <c r="J99">
        <f>IF(C99="BUY",Ввод!B13,Ввод!B14)</f>
        <v/>
      </c>
      <c r="K99">
        <f>IF(C99="BUY",J99-E99,E99-J99)</f>
        <v/>
      </c>
      <c r="L99">
        <f>IF(B99="Y",K99*D99*Ввод!B6+H99+I99,0)</f>
        <v/>
      </c>
      <c r="M99">
        <f>IF(B99="Y",D99*Ввод!B6*J99/Ввод!B7,0)</f>
        <v/>
      </c>
      <c r="N99" s="5">
        <f>IF(B99="Y",ROUND(MIN(D99*Ввод!B19,D99*0.5),2),0)</f>
        <v/>
      </c>
      <c r="O99">
        <f>IF(B99&lt;&gt;"Y","НЕТ",IF(AND(Расчеты!B11="ДА",ABS(K99)&gt;=Ввод!B18),"ЧАСТИЧНО ЗАКРЫТЬ","ДЕРЖАТЬ"))</f>
        <v/>
      </c>
      <c r="P99">
        <f>IF(B99&lt;&gt;"Y",0,IFERROR((Ввод!B12-Расчеты!B3-Ввод!B15/2+Расчеты!B6)/(Расчеты!B4-Ввод!B12-Ввод!B15/2-Расчеты!B6),0))</f>
        <v/>
      </c>
      <c r="Q99">
        <f>IF(B99="Y",B99&amp;C99,"")</f>
        <v/>
      </c>
    </row>
    <row r="100">
      <c r="D100" s="5" t="n"/>
      <c r="J100">
        <f>IF(C100="BUY",Ввод!B13,Ввод!B14)</f>
        <v/>
      </c>
      <c r="K100">
        <f>IF(C100="BUY",J100-E100,E100-J100)</f>
        <v/>
      </c>
      <c r="L100">
        <f>IF(B100="Y",K100*D100*Ввод!B6+H100+I100,0)</f>
        <v/>
      </c>
      <c r="M100">
        <f>IF(B100="Y",D100*Ввод!B6*J100/Ввод!B7,0)</f>
        <v/>
      </c>
      <c r="N100" s="5">
        <f>IF(B100="Y",ROUND(MIN(D100*Ввод!B19,D100*0.5),2),0)</f>
        <v/>
      </c>
      <c r="O100">
        <f>IF(B100&lt;&gt;"Y","НЕТ",IF(AND(Расчеты!B11="ДА",ABS(K100)&gt;=Ввод!B18),"ЧАСТИЧНО ЗАКРЫТЬ","ДЕРЖАТЬ"))</f>
        <v/>
      </c>
      <c r="P100">
        <f>IF(B100&lt;&gt;"Y",0,IFERROR((Ввод!B12-Расчеты!B3-Ввод!B15/2+Расчеты!B6)/(Расчеты!B4-Ввод!B12-Ввод!B15/2-Расчеты!B6),0))</f>
        <v/>
      </c>
      <c r="Q100">
        <f>IF(B100="Y",B100&amp;C100,"")</f>
        <v/>
      </c>
    </row>
    <row r="101">
      <c r="D101" s="5" t="n"/>
      <c r="J101">
        <f>IF(C101="BUY",Ввод!B13,Ввод!B14)</f>
        <v/>
      </c>
      <c r="K101">
        <f>IF(C101="BUY",J101-E101,E101-J101)</f>
        <v/>
      </c>
      <c r="L101">
        <f>IF(B101="Y",K101*D101*Ввод!B6+H101+I101,0)</f>
        <v/>
      </c>
      <c r="M101">
        <f>IF(B101="Y",D101*Ввод!B6*J101/Ввод!B7,0)</f>
        <v/>
      </c>
      <c r="N101" s="5">
        <f>IF(B101="Y",ROUND(MIN(D101*Ввод!B19,D101*0.5),2),0)</f>
        <v/>
      </c>
      <c r="O101">
        <f>IF(B101&lt;&gt;"Y","НЕТ",IF(AND(Расчеты!B11="ДА",ABS(K101)&gt;=Ввод!B18),"ЧАСТИЧНО ЗАКРЫТЬ","ДЕРЖАТЬ"))</f>
        <v/>
      </c>
      <c r="P101">
        <f>IF(B101&lt;&gt;"Y",0,IFERROR((Ввод!B12-Расчеты!B3-Ввод!B15/2+Расчеты!B6)/(Расчеты!B4-Ввод!B12-Ввод!B15/2-Расчеты!B6),0))</f>
        <v/>
      </c>
      <c r="Q101">
        <f>IF(B101="Y",B101&amp;C101,"")</f>
        <v/>
      </c>
    </row>
    <row r="102">
      <c r="D102" s="5" t="n"/>
      <c r="J102">
        <f>IF(C102="BUY",Ввод!B13,Ввод!B14)</f>
        <v/>
      </c>
      <c r="K102">
        <f>IF(C102="BUY",J102-E102,E102-J102)</f>
        <v/>
      </c>
      <c r="L102">
        <f>IF(B102="Y",K102*D102*Ввод!B6+H102+I102,0)</f>
        <v/>
      </c>
      <c r="M102">
        <f>IF(B102="Y",D102*Ввод!B6*J102/Ввод!B7,0)</f>
        <v/>
      </c>
      <c r="N102" s="5">
        <f>IF(B102="Y",ROUND(MIN(D102*Ввод!B19,D102*0.5),2),0)</f>
        <v/>
      </c>
      <c r="O102">
        <f>IF(B102&lt;&gt;"Y","НЕТ",IF(AND(Расчеты!B11="ДА",ABS(K102)&gt;=Ввод!B18),"ЧАСТИЧНО ЗАКРЫТЬ","ДЕРЖАТЬ"))</f>
        <v/>
      </c>
      <c r="P102">
        <f>IF(B102&lt;&gt;"Y",0,IFERROR((Ввод!B12-Расчеты!B3-Ввод!B15/2+Расчеты!B6)/(Расчеты!B4-Ввод!B12-Ввод!B15/2-Расчеты!B6),0))</f>
        <v/>
      </c>
      <c r="Q102">
        <f>IF(B102="Y",B102&amp;C102,"")</f>
        <v/>
      </c>
    </row>
    <row r="103">
      <c r="D103" s="5" t="n"/>
      <c r="J103">
        <f>IF(C103="BUY",Ввод!B13,Ввод!B14)</f>
        <v/>
      </c>
      <c r="K103">
        <f>IF(C103="BUY",J103-E103,E103-J103)</f>
        <v/>
      </c>
      <c r="L103">
        <f>IF(B103="Y",K103*D103*Ввод!B6+H103+I103,0)</f>
        <v/>
      </c>
      <c r="M103">
        <f>IF(B103="Y",D103*Ввод!B6*J103/Ввод!B7,0)</f>
        <v/>
      </c>
      <c r="N103" s="5">
        <f>IF(B103="Y",ROUND(MIN(D103*Ввод!B19,D103*0.5),2),0)</f>
        <v/>
      </c>
      <c r="O103">
        <f>IF(B103&lt;&gt;"Y","НЕТ",IF(AND(Расчеты!B11="ДА",ABS(K103)&gt;=Ввод!B18),"ЧАСТИЧНО ЗАКРЫТЬ","ДЕРЖАТЬ"))</f>
        <v/>
      </c>
      <c r="P103">
        <f>IF(B103&lt;&gt;"Y",0,IFERROR((Ввод!B12-Расчеты!B3-Ввод!B15/2+Расчеты!B6)/(Расчеты!B4-Ввод!B12-Ввод!B15/2-Расчеты!B6),0))</f>
        <v/>
      </c>
      <c r="Q103">
        <f>IF(B103="Y",B103&amp;C103,"")</f>
        <v/>
      </c>
    </row>
    <row r="104">
      <c r="D104" s="5" t="n"/>
      <c r="J104">
        <f>IF(C104="BUY",Ввод!B13,Ввод!B14)</f>
        <v/>
      </c>
      <c r="K104">
        <f>IF(C104="BUY",J104-E104,E104-J104)</f>
        <v/>
      </c>
      <c r="L104">
        <f>IF(B104="Y",K104*D104*Ввод!B6+H104+I104,0)</f>
        <v/>
      </c>
      <c r="M104">
        <f>IF(B104="Y",D104*Ввод!B6*J104/Ввод!B7,0)</f>
        <v/>
      </c>
      <c r="N104" s="5">
        <f>IF(B104="Y",ROUND(MIN(D104*Ввод!B19,D104*0.5),2),0)</f>
        <v/>
      </c>
      <c r="O104">
        <f>IF(B104&lt;&gt;"Y","НЕТ",IF(AND(Расчеты!B11="ДА",ABS(K104)&gt;=Ввод!B18),"ЧАСТИЧНО ЗАКРЫТЬ","ДЕРЖАТЬ"))</f>
        <v/>
      </c>
      <c r="P104">
        <f>IF(B104&lt;&gt;"Y",0,IFERROR((Ввод!B12-Расчеты!B3-Ввод!B15/2+Расчеты!B6)/(Расчеты!B4-Ввод!B12-Ввод!B15/2-Расчеты!B6),0))</f>
        <v/>
      </c>
      <c r="Q104">
        <f>IF(B104="Y",B104&amp;C104,"")</f>
        <v/>
      </c>
    </row>
    <row r="105">
      <c r="D105" s="5" t="n"/>
      <c r="J105">
        <f>IF(C105="BUY",Ввод!B13,Ввод!B14)</f>
        <v/>
      </c>
      <c r="K105">
        <f>IF(C105="BUY",J105-E105,E105-J105)</f>
        <v/>
      </c>
      <c r="L105">
        <f>IF(B105="Y",K105*D105*Ввод!B6+H105+I105,0)</f>
        <v/>
      </c>
      <c r="M105">
        <f>IF(B105="Y",D105*Ввод!B6*J105/Ввод!B7,0)</f>
        <v/>
      </c>
      <c r="N105" s="5">
        <f>IF(B105="Y",ROUND(MIN(D105*Ввод!B19,D105*0.5),2),0)</f>
        <v/>
      </c>
      <c r="O105">
        <f>IF(B105&lt;&gt;"Y","НЕТ",IF(AND(Расчеты!B11="ДА",ABS(K105)&gt;=Ввод!B18),"ЧАСТИЧНО ЗАКРЫТЬ","ДЕРЖАТЬ"))</f>
        <v/>
      </c>
      <c r="P105">
        <f>IF(B105&lt;&gt;"Y",0,IFERROR((Ввод!B12-Расчеты!B3-Ввод!B15/2+Расчеты!B6)/(Расчеты!B4-Ввод!B12-Ввод!B15/2-Расчеты!B6),0))</f>
        <v/>
      </c>
      <c r="Q105">
        <f>IF(B105="Y",B105&amp;C105,"")</f>
        <v/>
      </c>
    </row>
    <row r="106">
      <c r="D106" s="5" t="n"/>
      <c r="J106">
        <f>IF(C106="BUY",Ввод!B13,Ввод!B14)</f>
        <v/>
      </c>
      <c r="K106">
        <f>IF(C106="BUY",J106-E106,E106-J106)</f>
        <v/>
      </c>
      <c r="L106">
        <f>IF(B106="Y",K106*D106*Ввод!B6+H106+I106,0)</f>
        <v/>
      </c>
      <c r="M106">
        <f>IF(B106="Y",D106*Ввод!B6*J106/Ввод!B7,0)</f>
        <v/>
      </c>
      <c r="N106" s="5">
        <f>IF(B106="Y",ROUND(MIN(D106*Ввод!B19,D106*0.5),2),0)</f>
        <v/>
      </c>
      <c r="O106">
        <f>IF(B106&lt;&gt;"Y","НЕТ",IF(AND(Расчеты!B11="ДА",ABS(K106)&gt;=Ввод!B18),"ЧАСТИЧНО ЗАКРЫТЬ","ДЕРЖАТЬ"))</f>
        <v/>
      </c>
      <c r="P106">
        <f>IF(B106&lt;&gt;"Y",0,IFERROR((Ввод!B12-Расчеты!B3-Ввод!B15/2+Расчеты!B6)/(Расчеты!B4-Ввод!B12-Ввод!B15/2-Расчеты!B6),0))</f>
        <v/>
      </c>
      <c r="Q106">
        <f>IF(B106="Y",B106&amp;C106,"")</f>
        <v/>
      </c>
    </row>
    <row r="107">
      <c r="D107" s="5" t="n"/>
      <c r="J107">
        <f>IF(C107="BUY",Ввод!B13,Ввод!B14)</f>
        <v/>
      </c>
      <c r="K107">
        <f>IF(C107="BUY",J107-E107,E107-J107)</f>
        <v/>
      </c>
      <c r="L107">
        <f>IF(B107="Y",K107*D107*Ввод!B6+H107+I107,0)</f>
        <v/>
      </c>
      <c r="M107">
        <f>IF(B107="Y",D107*Ввод!B6*J107/Ввод!B7,0)</f>
        <v/>
      </c>
      <c r="N107" s="5">
        <f>IF(B107="Y",ROUND(MIN(D107*Ввод!B19,D107*0.5),2),0)</f>
        <v/>
      </c>
      <c r="O107">
        <f>IF(B107&lt;&gt;"Y","НЕТ",IF(AND(Расчеты!B11="ДА",ABS(K107)&gt;=Ввод!B18),"ЧАСТИЧНО ЗАКРЫТЬ","ДЕРЖАТЬ"))</f>
        <v/>
      </c>
      <c r="P107">
        <f>IF(B107&lt;&gt;"Y",0,IFERROR((Ввод!B12-Расчеты!B3-Ввод!B15/2+Расчеты!B6)/(Расчеты!B4-Ввод!B12-Ввод!B15/2-Расчеты!B6),0))</f>
        <v/>
      </c>
      <c r="Q107">
        <f>IF(B107="Y",B107&amp;C107,"")</f>
        <v/>
      </c>
    </row>
    <row r="108">
      <c r="D108" s="5" t="n"/>
      <c r="J108">
        <f>IF(C108="BUY",Ввод!B13,Ввод!B14)</f>
        <v/>
      </c>
      <c r="K108">
        <f>IF(C108="BUY",J108-E108,E108-J108)</f>
        <v/>
      </c>
      <c r="L108">
        <f>IF(B108="Y",K108*D108*Ввод!B6+H108+I108,0)</f>
        <v/>
      </c>
      <c r="M108">
        <f>IF(B108="Y",D108*Ввод!B6*J108/Ввод!B7,0)</f>
        <v/>
      </c>
      <c r="N108" s="5">
        <f>IF(B108="Y",ROUND(MIN(D108*Ввод!B19,D108*0.5),2),0)</f>
        <v/>
      </c>
      <c r="O108">
        <f>IF(B108&lt;&gt;"Y","НЕТ",IF(AND(Расчеты!B11="ДА",ABS(K108)&gt;=Ввод!B18),"ЧАСТИЧНО ЗАКРЫТЬ","ДЕРЖАТЬ"))</f>
        <v/>
      </c>
      <c r="P108">
        <f>IF(B108&lt;&gt;"Y",0,IFERROR((Ввод!B12-Расчеты!B3-Ввод!B15/2+Расчеты!B6)/(Расчеты!B4-Ввод!B12-Ввод!B15/2-Расчеты!B6),0))</f>
        <v/>
      </c>
      <c r="Q108">
        <f>IF(B108="Y",B108&amp;C108,"")</f>
        <v/>
      </c>
    </row>
    <row r="109">
      <c r="D109" s="5" t="n"/>
      <c r="J109">
        <f>IF(C109="BUY",Ввод!B13,Ввод!B14)</f>
        <v/>
      </c>
      <c r="K109">
        <f>IF(C109="BUY",J109-E109,E109-J109)</f>
        <v/>
      </c>
      <c r="L109">
        <f>IF(B109="Y",K109*D109*Ввод!B6+H109+I109,0)</f>
        <v/>
      </c>
      <c r="M109">
        <f>IF(B109="Y",D109*Ввод!B6*J109/Ввод!B7,0)</f>
        <v/>
      </c>
      <c r="N109" s="5">
        <f>IF(B109="Y",ROUND(MIN(D109*Ввод!B19,D109*0.5),2),0)</f>
        <v/>
      </c>
      <c r="O109">
        <f>IF(B109&lt;&gt;"Y","НЕТ",IF(AND(Расчеты!B11="ДА",ABS(K109)&gt;=Ввод!B18),"ЧАСТИЧНО ЗАКРЫТЬ","ДЕРЖАТЬ"))</f>
        <v/>
      </c>
      <c r="P109">
        <f>IF(B109&lt;&gt;"Y",0,IFERROR((Ввод!B12-Расчеты!B3-Ввод!B15/2+Расчеты!B6)/(Расчеты!B4-Ввод!B12-Ввод!B15/2-Расчеты!B6),0))</f>
        <v/>
      </c>
      <c r="Q109">
        <f>IF(B109="Y",B109&amp;C109,"")</f>
        <v/>
      </c>
    </row>
    <row r="110">
      <c r="D110" s="5" t="n"/>
      <c r="J110">
        <f>IF(C110="BUY",Ввод!B13,Ввод!B14)</f>
        <v/>
      </c>
      <c r="K110">
        <f>IF(C110="BUY",J110-E110,E110-J110)</f>
        <v/>
      </c>
      <c r="L110">
        <f>IF(B110="Y",K110*D110*Ввод!B6+H110+I110,0)</f>
        <v/>
      </c>
      <c r="M110">
        <f>IF(B110="Y",D110*Ввод!B6*J110/Ввод!B7,0)</f>
        <v/>
      </c>
      <c r="N110" s="5">
        <f>IF(B110="Y",ROUND(MIN(D110*Ввод!B19,D110*0.5),2),0)</f>
        <v/>
      </c>
      <c r="O110">
        <f>IF(B110&lt;&gt;"Y","НЕТ",IF(AND(Расчеты!B11="ДА",ABS(K110)&gt;=Ввод!B18),"ЧАСТИЧНО ЗАКРЫТЬ","ДЕРЖАТЬ"))</f>
        <v/>
      </c>
      <c r="P110">
        <f>IF(B110&lt;&gt;"Y",0,IFERROR((Ввод!B12-Расчеты!B3-Ввод!B15/2+Расчеты!B6)/(Расчеты!B4-Ввод!B12-Ввод!B15/2-Расчеты!B6),0))</f>
        <v/>
      </c>
      <c r="Q110">
        <f>IF(B110="Y",B110&amp;C110,"")</f>
        <v/>
      </c>
    </row>
    <row r="111">
      <c r="D111" s="5" t="n"/>
      <c r="J111">
        <f>IF(C111="BUY",Ввод!B13,Ввод!B14)</f>
        <v/>
      </c>
      <c r="K111">
        <f>IF(C111="BUY",J111-E111,E111-J111)</f>
        <v/>
      </c>
      <c r="L111">
        <f>IF(B111="Y",K111*D111*Ввод!B6+H111+I111,0)</f>
        <v/>
      </c>
      <c r="M111">
        <f>IF(B111="Y",D111*Ввод!B6*J111/Ввод!B7,0)</f>
        <v/>
      </c>
      <c r="N111" s="5">
        <f>IF(B111="Y",ROUND(MIN(D111*Ввод!B19,D111*0.5),2),0)</f>
        <v/>
      </c>
      <c r="O111">
        <f>IF(B111&lt;&gt;"Y","НЕТ",IF(AND(Расчеты!B11="ДА",ABS(K111)&gt;=Ввод!B18),"ЧАСТИЧНО ЗАКРЫТЬ","ДЕРЖАТЬ"))</f>
        <v/>
      </c>
      <c r="P111">
        <f>IF(B111&lt;&gt;"Y",0,IFERROR((Ввод!B12-Расчеты!B3-Ввод!B15/2+Расчеты!B6)/(Расчеты!B4-Ввод!B12-Ввод!B15/2-Расчеты!B6),0))</f>
        <v/>
      </c>
      <c r="Q111">
        <f>IF(B111="Y",B111&amp;C111,"")</f>
        <v/>
      </c>
    </row>
    <row r="112">
      <c r="D112" s="5" t="n"/>
      <c r="J112">
        <f>IF(C112="BUY",Ввод!B13,Ввод!B14)</f>
        <v/>
      </c>
      <c r="K112">
        <f>IF(C112="BUY",J112-E112,E112-J112)</f>
        <v/>
      </c>
      <c r="L112">
        <f>IF(B112="Y",K112*D112*Ввод!B6+H112+I112,0)</f>
        <v/>
      </c>
      <c r="M112">
        <f>IF(B112="Y",D112*Ввод!B6*J112/Ввод!B7,0)</f>
        <v/>
      </c>
      <c r="N112" s="5">
        <f>IF(B112="Y",ROUND(MIN(D112*Ввод!B19,D112*0.5),2),0)</f>
        <v/>
      </c>
      <c r="O112">
        <f>IF(B112&lt;&gt;"Y","НЕТ",IF(AND(Расчеты!B11="ДА",ABS(K112)&gt;=Ввод!B18),"ЧАСТИЧНО ЗАКРЫТЬ","ДЕРЖАТЬ"))</f>
        <v/>
      </c>
      <c r="P112">
        <f>IF(B112&lt;&gt;"Y",0,IFERROR((Ввод!B12-Расчеты!B3-Ввод!B15/2+Расчеты!B6)/(Расчеты!B4-Ввод!B12-Ввод!B15/2-Расчеты!B6),0))</f>
        <v/>
      </c>
      <c r="Q112">
        <f>IF(B112="Y",B112&amp;C112,"")</f>
        <v/>
      </c>
    </row>
    <row r="113">
      <c r="D113" s="5" t="n"/>
      <c r="J113">
        <f>IF(C113="BUY",Ввод!B13,Ввод!B14)</f>
        <v/>
      </c>
      <c r="K113">
        <f>IF(C113="BUY",J113-E113,E113-J113)</f>
        <v/>
      </c>
      <c r="L113">
        <f>IF(B113="Y",K113*D113*Ввод!B6+H113+I113,0)</f>
        <v/>
      </c>
      <c r="M113">
        <f>IF(B113="Y",D113*Ввод!B6*J113/Ввод!B7,0)</f>
        <v/>
      </c>
      <c r="N113" s="5">
        <f>IF(B113="Y",ROUND(MIN(D113*Ввод!B19,D113*0.5),2),0)</f>
        <v/>
      </c>
      <c r="O113">
        <f>IF(B113&lt;&gt;"Y","НЕТ",IF(AND(Расчеты!B11="ДА",ABS(K113)&gt;=Ввод!B18),"ЧАСТИЧНО ЗАКРЫТЬ","ДЕРЖАТЬ"))</f>
        <v/>
      </c>
      <c r="P113">
        <f>IF(B113&lt;&gt;"Y",0,IFERROR((Ввод!B12-Расчеты!B3-Ввод!B15/2+Расчеты!B6)/(Расчеты!B4-Ввод!B12-Ввод!B15/2-Расчеты!B6),0))</f>
        <v/>
      </c>
      <c r="Q113">
        <f>IF(B113="Y",B113&amp;C113,"")</f>
        <v/>
      </c>
    </row>
    <row r="114">
      <c r="D114" s="5" t="n"/>
      <c r="J114">
        <f>IF(C114="BUY",Ввод!B13,Ввод!B14)</f>
        <v/>
      </c>
      <c r="K114">
        <f>IF(C114="BUY",J114-E114,E114-J114)</f>
        <v/>
      </c>
      <c r="L114">
        <f>IF(B114="Y",K114*D114*Ввод!B6+H114+I114,0)</f>
        <v/>
      </c>
      <c r="M114">
        <f>IF(B114="Y",D114*Ввод!B6*J114/Ввод!B7,0)</f>
        <v/>
      </c>
      <c r="N114" s="5">
        <f>IF(B114="Y",ROUND(MIN(D114*Ввод!B19,D114*0.5),2),0)</f>
        <v/>
      </c>
      <c r="O114">
        <f>IF(B114&lt;&gt;"Y","НЕТ",IF(AND(Расчеты!B11="ДА",ABS(K114)&gt;=Ввод!B18),"ЧАСТИЧНО ЗАКРЫТЬ","ДЕРЖАТЬ"))</f>
        <v/>
      </c>
      <c r="P114">
        <f>IF(B114&lt;&gt;"Y",0,IFERROR((Ввод!B12-Расчеты!B3-Ввод!B15/2+Расчеты!B6)/(Расчеты!B4-Ввод!B12-Ввод!B15/2-Расчеты!B6),0))</f>
        <v/>
      </c>
      <c r="Q114">
        <f>IF(B114="Y",B114&amp;C114,"")</f>
        <v/>
      </c>
    </row>
    <row r="115">
      <c r="D115" s="5" t="n"/>
      <c r="J115">
        <f>IF(C115="BUY",Ввод!B13,Ввод!B14)</f>
        <v/>
      </c>
      <c r="K115">
        <f>IF(C115="BUY",J115-E115,E115-J115)</f>
        <v/>
      </c>
      <c r="L115">
        <f>IF(B115="Y",K115*D115*Ввод!B6+H115+I115,0)</f>
        <v/>
      </c>
      <c r="M115">
        <f>IF(B115="Y",D115*Ввод!B6*J115/Ввод!B7,0)</f>
        <v/>
      </c>
      <c r="N115" s="5">
        <f>IF(B115="Y",ROUND(MIN(D115*Ввод!B19,D115*0.5),2),0)</f>
        <v/>
      </c>
      <c r="O115">
        <f>IF(B115&lt;&gt;"Y","НЕТ",IF(AND(Расчеты!B11="ДА",ABS(K115)&gt;=Ввод!B18),"ЧАСТИЧНО ЗАКРЫТЬ","ДЕРЖАТЬ"))</f>
        <v/>
      </c>
      <c r="P115">
        <f>IF(B115&lt;&gt;"Y",0,IFERROR((Ввод!B12-Расчеты!B3-Ввод!B15/2+Расчеты!B6)/(Расчеты!B4-Ввод!B12-Ввод!B15/2-Расчеты!B6),0))</f>
        <v/>
      </c>
      <c r="Q115">
        <f>IF(B115="Y",B115&amp;C115,"")</f>
        <v/>
      </c>
    </row>
    <row r="116">
      <c r="D116" s="5" t="n"/>
      <c r="J116">
        <f>IF(C116="BUY",Ввод!B13,Ввод!B14)</f>
        <v/>
      </c>
      <c r="K116">
        <f>IF(C116="BUY",J116-E116,E116-J116)</f>
        <v/>
      </c>
      <c r="L116">
        <f>IF(B116="Y",K116*D116*Ввод!B6+H116+I116,0)</f>
        <v/>
      </c>
      <c r="M116">
        <f>IF(B116="Y",D116*Ввод!B6*J116/Ввод!B7,0)</f>
        <v/>
      </c>
      <c r="N116" s="5">
        <f>IF(B116="Y",ROUND(MIN(D116*Ввод!B19,D116*0.5),2),0)</f>
        <v/>
      </c>
      <c r="O116">
        <f>IF(B116&lt;&gt;"Y","НЕТ",IF(AND(Расчеты!B11="ДА",ABS(K116)&gt;=Ввод!B18),"ЧАСТИЧНО ЗАКРЫТЬ","ДЕРЖАТЬ"))</f>
        <v/>
      </c>
      <c r="P116">
        <f>IF(B116&lt;&gt;"Y",0,IFERROR((Ввод!B12-Расчеты!B3-Ввод!B15/2+Расчеты!B6)/(Расчеты!B4-Ввод!B12-Ввод!B15/2-Расчеты!B6),0))</f>
        <v/>
      </c>
      <c r="Q116">
        <f>IF(B116="Y",B116&amp;C116,"")</f>
        <v/>
      </c>
    </row>
    <row r="117">
      <c r="D117" s="5" t="n"/>
      <c r="J117">
        <f>IF(C117="BUY",Ввод!B13,Ввод!B14)</f>
        <v/>
      </c>
      <c r="K117">
        <f>IF(C117="BUY",J117-E117,E117-J117)</f>
        <v/>
      </c>
      <c r="L117">
        <f>IF(B117="Y",K117*D117*Ввод!B6+H117+I117,0)</f>
        <v/>
      </c>
      <c r="M117">
        <f>IF(B117="Y",D117*Ввод!B6*J117/Ввод!B7,0)</f>
        <v/>
      </c>
      <c r="N117" s="5">
        <f>IF(B117="Y",ROUND(MIN(D117*Ввод!B19,D117*0.5),2),0)</f>
        <v/>
      </c>
      <c r="O117">
        <f>IF(B117&lt;&gt;"Y","НЕТ",IF(AND(Расчеты!B11="ДА",ABS(K117)&gt;=Ввод!B18),"ЧАСТИЧНО ЗАКРЫТЬ","ДЕРЖАТЬ"))</f>
        <v/>
      </c>
      <c r="P117">
        <f>IF(B117&lt;&gt;"Y",0,IFERROR((Ввод!B12-Расчеты!B3-Ввод!B15/2+Расчеты!B6)/(Расчеты!B4-Ввод!B12-Ввод!B15/2-Расчеты!B6),0))</f>
        <v/>
      </c>
      <c r="Q117">
        <f>IF(B117="Y",B117&amp;C117,"")</f>
        <v/>
      </c>
    </row>
    <row r="118">
      <c r="D118" s="5" t="n"/>
      <c r="J118">
        <f>IF(C118="BUY",Ввод!B13,Ввод!B14)</f>
        <v/>
      </c>
      <c r="K118">
        <f>IF(C118="BUY",J118-E118,E118-J118)</f>
        <v/>
      </c>
      <c r="L118">
        <f>IF(B118="Y",K118*D118*Ввод!B6+H118+I118,0)</f>
        <v/>
      </c>
      <c r="M118">
        <f>IF(B118="Y",D118*Ввод!B6*J118/Ввод!B7,0)</f>
        <v/>
      </c>
      <c r="N118" s="5">
        <f>IF(B118="Y",ROUND(MIN(D118*Ввод!B19,D118*0.5),2),0)</f>
        <v/>
      </c>
      <c r="O118">
        <f>IF(B118&lt;&gt;"Y","НЕТ",IF(AND(Расчеты!B11="ДА",ABS(K118)&gt;=Ввод!B18),"ЧАСТИЧНО ЗАКРЫТЬ","ДЕРЖАТЬ"))</f>
        <v/>
      </c>
      <c r="P118">
        <f>IF(B118&lt;&gt;"Y",0,IFERROR((Ввод!B12-Расчеты!B3-Ввод!B15/2+Расчеты!B6)/(Расчеты!B4-Ввод!B12-Ввод!B15/2-Расчеты!B6),0))</f>
        <v/>
      </c>
      <c r="Q118">
        <f>IF(B118="Y",B118&amp;C118,"")</f>
        <v/>
      </c>
    </row>
    <row r="119">
      <c r="D119" s="5" t="n"/>
      <c r="J119">
        <f>IF(C119="BUY",Ввод!B13,Ввод!B14)</f>
        <v/>
      </c>
      <c r="K119">
        <f>IF(C119="BUY",J119-E119,E119-J119)</f>
        <v/>
      </c>
      <c r="L119">
        <f>IF(B119="Y",K119*D119*Ввод!B6+H119+I119,0)</f>
        <v/>
      </c>
      <c r="M119">
        <f>IF(B119="Y",D119*Ввод!B6*J119/Ввод!B7,0)</f>
        <v/>
      </c>
      <c r="N119" s="5">
        <f>IF(B119="Y",ROUND(MIN(D119*Ввод!B19,D119*0.5),2),0)</f>
        <v/>
      </c>
      <c r="O119">
        <f>IF(B119&lt;&gt;"Y","НЕТ",IF(AND(Расчеты!B11="ДА",ABS(K119)&gt;=Ввод!B18),"ЧАСТИЧНО ЗАКРЫТЬ","ДЕРЖАТЬ"))</f>
        <v/>
      </c>
      <c r="P119">
        <f>IF(B119&lt;&gt;"Y",0,IFERROR((Ввод!B12-Расчеты!B3-Ввод!B15/2+Расчеты!B6)/(Расчеты!B4-Ввод!B12-Ввод!B15/2-Расчеты!B6),0))</f>
        <v/>
      </c>
      <c r="Q119">
        <f>IF(B119="Y",B119&amp;C119,"")</f>
        <v/>
      </c>
    </row>
    <row r="120">
      <c r="D120" s="5" t="n"/>
      <c r="J120">
        <f>IF(C120="BUY",Ввод!B13,Ввод!B14)</f>
        <v/>
      </c>
      <c r="K120">
        <f>IF(C120="BUY",J120-E120,E120-J120)</f>
        <v/>
      </c>
      <c r="L120">
        <f>IF(B120="Y",K120*D120*Ввод!B6+H120+I120,0)</f>
        <v/>
      </c>
      <c r="M120">
        <f>IF(B120="Y",D120*Ввод!B6*J120/Ввод!B7,0)</f>
        <v/>
      </c>
      <c r="N120" s="5">
        <f>IF(B120="Y",ROUND(MIN(D120*Ввод!B19,D120*0.5),2),0)</f>
        <v/>
      </c>
      <c r="O120">
        <f>IF(B120&lt;&gt;"Y","НЕТ",IF(AND(Расчеты!B11="ДА",ABS(K120)&gt;=Ввод!B18),"ЧАСТИЧНО ЗАКРЫТЬ","ДЕРЖАТЬ"))</f>
        <v/>
      </c>
      <c r="P120">
        <f>IF(B120&lt;&gt;"Y",0,IFERROR((Ввод!B12-Расчеты!B3-Ввод!B15/2+Расчеты!B6)/(Расчеты!B4-Ввод!B12-Ввод!B15/2-Расчеты!B6),0))</f>
        <v/>
      </c>
      <c r="Q120">
        <f>IF(B120="Y",B120&amp;C120,"")</f>
        <v/>
      </c>
    </row>
    <row r="121">
      <c r="D121" s="5" t="n"/>
      <c r="J121">
        <f>IF(C121="BUY",Ввод!B13,Ввод!B14)</f>
        <v/>
      </c>
      <c r="K121">
        <f>IF(C121="BUY",J121-E121,E121-J121)</f>
        <v/>
      </c>
      <c r="L121">
        <f>IF(B121="Y",K121*D121*Ввод!B6+H121+I121,0)</f>
        <v/>
      </c>
      <c r="M121">
        <f>IF(B121="Y",D121*Ввод!B6*J121/Ввод!B7,0)</f>
        <v/>
      </c>
      <c r="N121" s="5">
        <f>IF(B121="Y",ROUND(MIN(D121*Ввод!B19,D121*0.5),2),0)</f>
        <v/>
      </c>
      <c r="O121">
        <f>IF(B121&lt;&gt;"Y","НЕТ",IF(AND(Расчеты!B11="ДА",ABS(K121)&gt;=Ввод!B18),"ЧАСТИЧНО ЗАКРЫТЬ","ДЕРЖАТЬ"))</f>
        <v/>
      </c>
      <c r="P121">
        <f>IF(B121&lt;&gt;"Y",0,IFERROR((Ввод!B12-Расчеты!B3-Ввод!B15/2+Расчеты!B6)/(Расчеты!B4-Ввод!B12-Ввод!B15/2-Расчеты!B6),0))</f>
        <v/>
      </c>
      <c r="Q121">
        <f>IF(B121="Y",B121&amp;C121,"")</f>
        <v/>
      </c>
    </row>
    <row r="122">
      <c r="D122" s="5" t="n"/>
      <c r="J122">
        <f>IF(C122="BUY",Ввод!B13,Ввод!B14)</f>
        <v/>
      </c>
      <c r="K122">
        <f>IF(C122="BUY",J122-E122,E122-J122)</f>
        <v/>
      </c>
      <c r="L122">
        <f>IF(B122="Y",K122*D122*Ввод!B6+H122+I122,0)</f>
        <v/>
      </c>
      <c r="M122">
        <f>IF(B122="Y",D122*Ввод!B6*J122/Ввод!B7,0)</f>
        <v/>
      </c>
      <c r="N122" s="5">
        <f>IF(B122="Y",ROUND(MIN(D122*Ввод!B19,D122*0.5),2),0)</f>
        <v/>
      </c>
      <c r="O122">
        <f>IF(B122&lt;&gt;"Y","НЕТ",IF(AND(Расчеты!B11="ДА",ABS(K122)&gt;=Ввод!B18),"ЧАСТИЧНО ЗАКРЫТЬ","ДЕРЖАТЬ"))</f>
        <v/>
      </c>
      <c r="P122">
        <f>IF(B122&lt;&gt;"Y",0,IFERROR((Ввод!B12-Расчеты!B3-Ввод!B15/2+Расчеты!B6)/(Расчеты!B4-Ввод!B12-Ввод!B15/2-Расчеты!B6),0))</f>
        <v/>
      </c>
      <c r="Q122">
        <f>IF(B122="Y",B122&amp;C122,"")</f>
        <v/>
      </c>
    </row>
    <row r="123">
      <c r="D123" s="5" t="n"/>
      <c r="J123">
        <f>IF(C123="BUY",Ввод!B13,Ввод!B14)</f>
        <v/>
      </c>
      <c r="K123">
        <f>IF(C123="BUY",J123-E123,E123-J123)</f>
        <v/>
      </c>
      <c r="L123">
        <f>IF(B123="Y",K123*D123*Ввод!B6+H123+I123,0)</f>
        <v/>
      </c>
      <c r="M123">
        <f>IF(B123="Y",D123*Ввод!B6*J123/Ввод!B7,0)</f>
        <v/>
      </c>
      <c r="N123" s="5">
        <f>IF(B123="Y",ROUND(MIN(D123*Ввод!B19,D123*0.5),2),0)</f>
        <v/>
      </c>
      <c r="O123">
        <f>IF(B123&lt;&gt;"Y","НЕТ",IF(AND(Расчеты!B11="ДА",ABS(K123)&gt;=Ввод!B18),"ЧАСТИЧНО ЗАКРЫТЬ","ДЕРЖАТЬ"))</f>
        <v/>
      </c>
      <c r="P123">
        <f>IF(B123&lt;&gt;"Y",0,IFERROR((Ввод!B12-Расчеты!B3-Ввод!B15/2+Расчеты!B6)/(Расчеты!B4-Ввод!B12-Ввод!B15/2-Расчеты!B6),0))</f>
        <v/>
      </c>
      <c r="Q123">
        <f>IF(B123="Y",B123&amp;C123,"")</f>
        <v/>
      </c>
    </row>
    <row r="124">
      <c r="D124" s="5" t="n"/>
      <c r="J124">
        <f>IF(C124="BUY",Ввод!B13,Ввод!B14)</f>
        <v/>
      </c>
      <c r="K124">
        <f>IF(C124="BUY",J124-E124,E124-J124)</f>
        <v/>
      </c>
      <c r="L124">
        <f>IF(B124="Y",K124*D124*Ввод!B6+H124+I124,0)</f>
        <v/>
      </c>
      <c r="M124">
        <f>IF(B124="Y",D124*Ввод!B6*J124/Ввод!B7,0)</f>
        <v/>
      </c>
      <c r="N124" s="5">
        <f>IF(B124="Y",ROUND(MIN(D124*Ввод!B19,D124*0.5),2),0)</f>
        <v/>
      </c>
      <c r="O124">
        <f>IF(B124&lt;&gt;"Y","НЕТ",IF(AND(Расчеты!B11="ДА",ABS(K124)&gt;=Ввод!B18),"ЧАСТИЧНО ЗАКРЫТЬ","ДЕРЖАТЬ"))</f>
        <v/>
      </c>
      <c r="P124">
        <f>IF(B124&lt;&gt;"Y",0,IFERROR((Ввод!B12-Расчеты!B3-Ввод!B15/2+Расчеты!B6)/(Расчеты!B4-Ввод!B12-Ввод!B15/2-Расчеты!B6),0))</f>
        <v/>
      </c>
      <c r="Q124">
        <f>IF(B124="Y",B124&amp;C124,"")</f>
        <v/>
      </c>
    </row>
    <row r="125">
      <c r="D125" s="5" t="n"/>
      <c r="J125">
        <f>IF(C125="BUY",Ввод!B13,Ввод!B14)</f>
        <v/>
      </c>
      <c r="K125">
        <f>IF(C125="BUY",J125-E125,E125-J125)</f>
        <v/>
      </c>
      <c r="L125">
        <f>IF(B125="Y",K125*D125*Ввод!B6+H125+I125,0)</f>
        <v/>
      </c>
      <c r="M125">
        <f>IF(B125="Y",D125*Ввод!B6*J125/Ввод!B7,0)</f>
        <v/>
      </c>
      <c r="N125" s="5">
        <f>IF(B125="Y",ROUND(MIN(D125*Ввод!B19,D125*0.5),2),0)</f>
        <v/>
      </c>
      <c r="O125">
        <f>IF(B125&lt;&gt;"Y","НЕТ",IF(AND(Расчеты!B11="ДА",ABS(K125)&gt;=Ввод!B18),"ЧАСТИЧНО ЗАКРЫТЬ","ДЕРЖАТЬ"))</f>
        <v/>
      </c>
      <c r="P125">
        <f>IF(B125&lt;&gt;"Y",0,IFERROR((Ввод!B12-Расчеты!B3-Ввод!B15/2+Расчеты!B6)/(Расчеты!B4-Ввод!B12-Ввод!B15/2-Расчеты!B6),0))</f>
        <v/>
      </c>
      <c r="Q125">
        <f>IF(B125="Y",B125&amp;C125,"")</f>
        <v/>
      </c>
    </row>
    <row r="126">
      <c r="D126" s="5" t="n"/>
      <c r="J126">
        <f>IF(C126="BUY",Ввод!B13,Ввод!B14)</f>
        <v/>
      </c>
      <c r="K126">
        <f>IF(C126="BUY",J126-E126,E126-J126)</f>
        <v/>
      </c>
      <c r="L126">
        <f>IF(B126="Y",K126*D126*Ввод!B6+H126+I126,0)</f>
        <v/>
      </c>
      <c r="M126">
        <f>IF(B126="Y",D126*Ввод!B6*J126/Ввод!B7,0)</f>
        <v/>
      </c>
      <c r="N126" s="5">
        <f>IF(B126="Y",ROUND(MIN(D126*Ввод!B19,D126*0.5),2),0)</f>
        <v/>
      </c>
      <c r="O126">
        <f>IF(B126&lt;&gt;"Y","НЕТ",IF(AND(Расчеты!B11="ДА",ABS(K126)&gt;=Ввод!B18),"ЧАСТИЧНО ЗАКРЫТЬ","ДЕРЖАТЬ"))</f>
        <v/>
      </c>
      <c r="P126">
        <f>IF(B126&lt;&gt;"Y",0,IFERROR((Ввод!B12-Расчеты!B3-Ввод!B15/2+Расчеты!B6)/(Расчеты!B4-Ввод!B12-Ввод!B15/2-Расчеты!B6),0))</f>
        <v/>
      </c>
      <c r="Q126">
        <f>IF(B126="Y",B126&amp;C126,"")</f>
        <v/>
      </c>
    </row>
    <row r="127">
      <c r="D127" s="5" t="n"/>
      <c r="J127">
        <f>IF(C127="BUY",Ввод!B13,Ввод!B14)</f>
        <v/>
      </c>
      <c r="K127">
        <f>IF(C127="BUY",J127-E127,E127-J127)</f>
        <v/>
      </c>
      <c r="L127">
        <f>IF(B127="Y",K127*D127*Ввод!B6+H127+I127,0)</f>
        <v/>
      </c>
      <c r="M127">
        <f>IF(B127="Y",D127*Ввод!B6*J127/Ввод!B7,0)</f>
        <v/>
      </c>
      <c r="N127" s="5">
        <f>IF(B127="Y",ROUND(MIN(D127*Ввод!B19,D127*0.5),2),0)</f>
        <v/>
      </c>
      <c r="O127">
        <f>IF(B127&lt;&gt;"Y","НЕТ",IF(AND(Расчеты!B11="ДА",ABS(K127)&gt;=Ввод!B18),"ЧАСТИЧНО ЗАКРЫТЬ","ДЕРЖАТЬ"))</f>
        <v/>
      </c>
      <c r="P127">
        <f>IF(B127&lt;&gt;"Y",0,IFERROR((Ввод!B12-Расчеты!B3-Ввод!B15/2+Расчеты!B6)/(Расчеты!B4-Ввод!B12-Ввод!B15/2-Расчеты!B6),0))</f>
        <v/>
      </c>
      <c r="Q127">
        <f>IF(B127="Y",B127&amp;C127,"")</f>
        <v/>
      </c>
    </row>
    <row r="128">
      <c r="D128" s="5" t="n"/>
      <c r="J128">
        <f>IF(C128="BUY",Ввод!B13,Ввод!B14)</f>
        <v/>
      </c>
      <c r="K128">
        <f>IF(C128="BUY",J128-E128,E128-J128)</f>
        <v/>
      </c>
      <c r="L128">
        <f>IF(B128="Y",K128*D128*Ввод!B6+H128+I128,0)</f>
        <v/>
      </c>
      <c r="M128">
        <f>IF(B128="Y",D128*Ввод!B6*J128/Ввод!B7,0)</f>
        <v/>
      </c>
      <c r="N128" s="5">
        <f>IF(B128="Y",ROUND(MIN(D128*Ввод!B19,D128*0.5),2),0)</f>
        <v/>
      </c>
      <c r="O128">
        <f>IF(B128&lt;&gt;"Y","НЕТ",IF(AND(Расчеты!B11="ДА",ABS(K128)&gt;=Ввод!B18),"ЧАСТИЧНО ЗАКРЫТЬ","ДЕРЖАТЬ"))</f>
        <v/>
      </c>
      <c r="P128">
        <f>IF(B128&lt;&gt;"Y",0,IFERROR((Ввод!B12-Расчеты!B3-Ввод!B15/2+Расчеты!B6)/(Расчеты!B4-Ввод!B12-Ввод!B15/2-Расчеты!B6),0))</f>
        <v/>
      </c>
      <c r="Q128">
        <f>IF(B128="Y",B128&amp;C128,"")</f>
        <v/>
      </c>
    </row>
    <row r="129">
      <c r="D129" s="5" t="n"/>
      <c r="J129">
        <f>IF(C129="BUY",Ввод!B13,Ввод!B14)</f>
        <v/>
      </c>
      <c r="K129">
        <f>IF(C129="BUY",J129-E129,E129-J129)</f>
        <v/>
      </c>
      <c r="L129">
        <f>IF(B129="Y",K129*D129*Ввод!B6+H129+I129,0)</f>
        <v/>
      </c>
      <c r="M129">
        <f>IF(B129="Y",D129*Ввод!B6*J129/Ввод!B7,0)</f>
        <v/>
      </c>
      <c r="N129" s="5">
        <f>IF(B129="Y",ROUND(MIN(D129*Ввод!B19,D129*0.5),2),0)</f>
        <v/>
      </c>
      <c r="O129">
        <f>IF(B129&lt;&gt;"Y","НЕТ",IF(AND(Расчеты!B11="ДА",ABS(K129)&gt;=Ввод!B18),"ЧАСТИЧНО ЗАКРЫТЬ","ДЕРЖАТЬ"))</f>
        <v/>
      </c>
      <c r="P129">
        <f>IF(B129&lt;&gt;"Y",0,IFERROR((Ввод!B12-Расчеты!B3-Ввод!B15/2+Расчеты!B6)/(Расчеты!B4-Ввод!B12-Ввод!B15/2-Расчеты!B6),0))</f>
        <v/>
      </c>
      <c r="Q129">
        <f>IF(B129="Y",B129&amp;C129,"")</f>
        <v/>
      </c>
    </row>
    <row r="130">
      <c r="D130" s="5" t="n"/>
      <c r="J130">
        <f>IF(C130="BUY",Ввод!B13,Ввод!B14)</f>
        <v/>
      </c>
      <c r="K130">
        <f>IF(C130="BUY",J130-E130,E130-J130)</f>
        <v/>
      </c>
      <c r="L130">
        <f>IF(B130="Y",K130*D130*Ввод!B6+H130+I130,0)</f>
        <v/>
      </c>
      <c r="M130">
        <f>IF(B130="Y",D130*Ввод!B6*J130/Ввод!B7,0)</f>
        <v/>
      </c>
      <c r="N130" s="5">
        <f>IF(B130="Y",ROUND(MIN(D130*Ввод!B19,D130*0.5),2),0)</f>
        <v/>
      </c>
      <c r="O130">
        <f>IF(B130&lt;&gt;"Y","НЕТ",IF(AND(Расчеты!B11="ДА",ABS(K130)&gt;=Ввод!B18),"ЧАСТИЧНО ЗАКРЫТЬ","ДЕРЖАТЬ"))</f>
        <v/>
      </c>
      <c r="P130">
        <f>IF(B130&lt;&gt;"Y",0,IFERROR((Ввод!B12-Расчеты!B3-Ввод!B15/2+Расчеты!B6)/(Расчеты!B4-Ввод!B12-Ввод!B15/2-Расчеты!B6),0))</f>
        <v/>
      </c>
      <c r="Q130">
        <f>IF(B130="Y",B130&amp;C130,"")</f>
        <v/>
      </c>
    </row>
    <row r="131">
      <c r="D131" s="5" t="n"/>
      <c r="J131">
        <f>IF(C131="BUY",Ввод!B13,Ввод!B14)</f>
        <v/>
      </c>
      <c r="K131">
        <f>IF(C131="BUY",J131-E131,E131-J131)</f>
        <v/>
      </c>
      <c r="L131">
        <f>IF(B131="Y",K131*D131*Ввод!B6+H131+I131,0)</f>
        <v/>
      </c>
      <c r="M131">
        <f>IF(B131="Y",D131*Ввод!B6*J131/Ввод!B7,0)</f>
        <v/>
      </c>
      <c r="N131" s="5">
        <f>IF(B131="Y",ROUND(MIN(D131*Ввод!B19,D131*0.5),2),0)</f>
        <v/>
      </c>
      <c r="O131">
        <f>IF(B131&lt;&gt;"Y","НЕТ",IF(AND(Расчеты!B11="ДА",ABS(K131)&gt;=Ввод!B18),"ЧАСТИЧНО ЗАКРЫТЬ","ДЕРЖАТЬ"))</f>
        <v/>
      </c>
      <c r="P131">
        <f>IF(B131&lt;&gt;"Y",0,IFERROR((Ввод!B12-Расчеты!B3-Ввод!B15/2+Расчеты!B6)/(Расчеты!B4-Ввод!B12-Ввод!B15/2-Расчеты!B6),0))</f>
        <v/>
      </c>
      <c r="Q131">
        <f>IF(B131="Y",B131&amp;C131,"")</f>
        <v/>
      </c>
    </row>
    <row r="132">
      <c r="D132" s="5" t="n"/>
      <c r="J132">
        <f>IF(C132="BUY",Ввод!B13,Ввод!B14)</f>
        <v/>
      </c>
      <c r="K132">
        <f>IF(C132="BUY",J132-E132,E132-J132)</f>
        <v/>
      </c>
      <c r="L132">
        <f>IF(B132="Y",K132*D132*Ввод!B6+H132+I132,0)</f>
        <v/>
      </c>
      <c r="M132">
        <f>IF(B132="Y",D132*Ввод!B6*J132/Ввод!B7,0)</f>
        <v/>
      </c>
      <c r="N132" s="5">
        <f>IF(B132="Y",ROUND(MIN(D132*Ввод!B19,D132*0.5),2),0)</f>
        <v/>
      </c>
      <c r="O132">
        <f>IF(B132&lt;&gt;"Y","НЕТ",IF(AND(Расчеты!B11="ДА",ABS(K132)&gt;=Ввод!B18),"ЧАСТИЧНО ЗАКРЫТЬ","ДЕРЖАТЬ"))</f>
        <v/>
      </c>
      <c r="P132">
        <f>IF(B132&lt;&gt;"Y",0,IFERROR((Ввод!B12-Расчеты!B3-Ввод!B15/2+Расчеты!B6)/(Расчеты!B4-Ввод!B12-Ввод!B15/2-Расчеты!B6),0))</f>
        <v/>
      </c>
      <c r="Q132">
        <f>IF(B132="Y",B132&amp;C132,"")</f>
        <v/>
      </c>
    </row>
    <row r="133">
      <c r="D133" s="5" t="n"/>
      <c r="J133">
        <f>IF(C133="BUY",Ввод!B13,Ввод!B14)</f>
        <v/>
      </c>
      <c r="K133">
        <f>IF(C133="BUY",J133-E133,E133-J133)</f>
        <v/>
      </c>
      <c r="L133">
        <f>IF(B133="Y",K133*D133*Ввод!B6+H133+I133,0)</f>
        <v/>
      </c>
      <c r="M133">
        <f>IF(B133="Y",D133*Ввод!B6*J133/Ввод!B7,0)</f>
        <v/>
      </c>
      <c r="N133" s="5">
        <f>IF(B133="Y",ROUND(MIN(D133*Ввод!B19,D133*0.5),2),0)</f>
        <v/>
      </c>
      <c r="O133">
        <f>IF(B133&lt;&gt;"Y","НЕТ",IF(AND(Расчеты!B11="ДА",ABS(K133)&gt;=Ввод!B18),"ЧАСТИЧНО ЗАКРЫТЬ","ДЕРЖАТЬ"))</f>
        <v/>
      </c>
      <c r="P133">
        <f>IF(B133&lt;&gt;"Y",0,IFERROR((Ввод!B12-Расчеты!B3-Ввод!B15/2+Расчеты!B6)/(Расчеты!B4-Ввод!B12-Ввод!B15/2-Расчеты!B6),0))</f>
        <v/>
      </c>
      <c r="Q133">
        <f>IF(B133="Y",B133&amp;C133,"")</f>
        <v/>
      </c>
    </row>
    <row r="134">
      <c r="D134" s="5" t="n"/>
      <c r="J134">
        <f>IF(C134="BUY",Ввод!B13,Ввод!B14)</f>
        <v/>
      </c>
      <c r="K134">
        <f>IF(C134="BUY",J134-E134,E134-J134)</f>
        <v/>
      </c>
      <c r="L134">
        <f>IF(B134="Y",K134*D134*Ввод!B6+H134+I134,0)</f>
        <v/>
      </c>
      <c r="M134">
        <f>IF(B134="Y",D134*Ввод!B6*J134/Ввод!B7,0)</f>
        <v/>
      </c>
      <c r="N134" s="5">
        <f>IF(B134="Y",ROUND(MIN(D134*Ввод!B19,D134*0.5),2),0)</f>
        <v/>
      </c>
      <c r="O134">
        <f>IF(B134&lt;&gt;"Y","НЕТ",IF(AND(Расчеты!B11="ДА",ABS(K134)&gt;=Ввод!B18),"ЧАСТИЧНО ЗАКРЫТЬ","ДЕРЖАТЬ"))</f>
        <v/>
      </c>
      <c r="P134">
        <f>IF(B134&lt;&gt;"Y",0,IFERROR((Ввод!B12-Расчеты!B3-Ввод!B15/2+Расчеты!B6)/(Расчеты!B4-Ввод!B12-Ввод!B15/2-Расчеты!B6),0))</f>
        <v/>
      </c>
      <c r="Q134">
        <f>IF(B134="Y",B134&amp;C134,"")</f>
        <v/>
      </c>
    </row>
    <row r="135">
      <c r="D135" s="5" t="n"/>
      <c r="J135">
        <f>IF(C135="BUY",Ввод!B13,Ввод!B14)</f>
        <v/>
      </c>
      <c r="K135">
        <f>IF(C135="BUY",J135-E135,E135-J135)</f>
        <v/>
      </c>
      <c r="L135">
        <f>IF(B135="Y",K135*D135*Ввод!B6+H135+I135,0)</f>
        <v/>
      </c>
      <c r="M135">
        <f>IF(B135="Y",D135*Ввод!B6*J135/Ввод!B7,0)</f>
        <v/>
      </c>
      <c r="N135" s="5">
        <f>IF(B135="Y",ROUND(MIN(D135*Ввод!B19,D135*0.5),2),0)</f>
        <v/>
      </c>
      <c r="O135">
        <f>IF(B135&lt;&gt;"Y","НЕТ",IF(AND(Расчеты!B11="ДА",ABS(K135)&gt;=Ввод!B18),"ЧАСТИЧНО ЗАКРЫТЬ","ДЕРЖАТЬ"))</f>
        <v/>
      </c>
      <c r="P135">
        <f>IF(B135&lt;&gt;"Y",0,IFERROR((Ввод!B12-Расчеты!B3-Ввод!B15/2+Расчеты!B6)/(Расчеты!B4-Ввод!B12-Ввод!B15/2-Расчеты!B6),0))</f>
        <v/>
      </c>
      <c r="Q135">
        <f>IF(B135="Y",B135&amp;C135,"")</f>
        <v/>
      </c>
    </row>
    <row r="136">
      <c r="D136" s="5" t="n"/>
      <c r="J136">
        <f>IF(C136="BUY",Ввод!B13,Ввод!B14)</f>
        <v/>
      </c>
      <c r="K136">
        <f>IF(C136="BUY",J136-E136,E136-J136)</f>
        <v/>
      </c>
      <c r="L136">
        <f>IF(B136="Y",K136*D136*Ввод!B6+H136+I136,0)</f>
        <v/>
      </c>
      <c r="M136">
        <f>IF(B136="Y",D136*Ввод!B6*J136/Ввод!B7,0)</f>
        <v/>
      </c>
      <c r="N136" s="5">
        <f>IF(B136="Y",ROUND(MIN(D136*Ввод!B19,D136*0.5),2),0)</f>
        <v/>
      </c>
      <c r="O136">
        <f>IF(B136&lt;&gt;"Y","НЕТ",IF(AND(Расчеты!B11="ДА",ABS(K136)&gt;=Ввод!B18),"ЧАСТИЧНО ЗАКРЫТЬ","ДЕРЖАТЬ"))</f>
        <v/>
      </c>
      <c r="P136">
        <f>IF(B136&lt;&gt;"Y",0,IFERROR((Ввод!B12-Расчеты!B3-Ввод!B15/2+Расчеты!B6)/(Расчеты!B4-Ввод!B12-Ввод!B15/2-Расчеты!B6),0))</f>
        <v/>
      </c>
      <c r="Q136">
        <f>IF(B136="Y",B136&amp;C136,"")</f>
        <v/>
      </c>
    </row>
    <row r="137">
      <c r="D137" s="5" t="n"/>
      <c r="J137">
        <f>IF(C137="BUY",Ввод!B13,Ввод!B14)</f>
        <v/>
      </c>
      <c r="K137">
        <f>IF(C137="BUY",J137-E137,E137-J137)</f>
        <v/>
      </c>
      <c r="L137">
        <f>IF(B137="Y",K137*D137*Ввод!B6+H137+I137,0)</f>
        <v/>
      </c>
      <c r="M137">
        <f>IF(B137="Y",D137*Ввод!B6*J137/Ввод!B7,0)</f>
        <v/>
      </c>
      <c r="N137" s="5">
        <f>IF(B137="Y",ROUND(MIN(D137*Ввод!B19,D137*0.5),2),0)</f>
        <v/>
      </c>
      <c r="O137">
        <f>IF(B137&lt;&gt;"Y","НЕТ",IF(AND(Расчеты!B11="ДА",ABS(K137)&gt;=Ввод!B18),"ЧАСТИЧНО ЗАКРЫТЬ","ДЕРЖАТЬ"))</f>
        <v/>
      </c>
      <c r="P137">
        <f>IF(B137&lt;&gt;"Y",0,IFERROR((Ввод!B12-Расчеты!B3-Ввод!B15/2+Расчеты!B6)/(Расчеты!B4-Ввод!B12-Ввод!B15/2-Расчеты!B6),0))</f>
        <v/>
      </c>
      <c r="Q137">
        <f>IF(B137="Y",B137&amp;C137,"")</f>
        <v/>
      </c>
    </row>
    <row r="138">
      <c r="D138" s="5" t="n"/>
      <c r="J138">
        <f>IF(C138="BUY",Ввод!B13,Ввод!B14)</f>
        <v/>
      </c>
      <c r="K138">
        <f>IF(C138="BUY",J138-E138,E138-J138)</f>
        <v/>
      </c>
      <c r="L138">
        <f>IF(B138="Y",K138*D138*Ввод!B6+H138+I138,0)</f>
        <v/>
      </c>
      <c r="M138">
        <f>IF(B138="Y",D138*Ввод!B6*J138/Ввод!B7,0)</f>
        <v/>
      </c>
      <c r="N138" s="5">
        <f>IF(B138="Y",ROUND(MIN(D138*Ввод!B19,D138*0.5),2),0)</f>
        <v/>
      </c>
      <c r="O138">
        <f>IF(B138&lt;&gt;"Y","НЕТ",IF(AND(Расчеты!B11="ДА",ABS(K138)&gt;=Ввод!B18),"ЧАСТИЧНО ЗАКРЫТЬ","ДЕРЖАТЬ"))</f>
        <v/>
      </c>
      <c r="P138">
        <f>IF(B138&lt;&gt;"Y",0,IFERROR((Ввод!B12-Расчеты!B3-Ввод!B15/2+Расчеты!B6)/(Расчеты!B4-Ввод!B12-Ввод!B15/2-Расчеты!B6),0))</f>
        <v/>
      </c>
      <c r="Q138">
        <f>IF(B138="Y",B138&amp;C138,"")</f>
        <v/>
      </c>
    </row>
    <row r="139">
      <c r="D139" s="5" t="n"/>
      <c r="J139">
        <f>IF(C139="BUY",Ввод!B13,Ввод!B14)</f>
        <v/>
      </c>
      <c r="K139">
        <f>IF(C139="BUY",J139-E139,E139-J139)</f>
        <v/>
      </c>
      <c r="L139">
        <f>IF(B139="Y",K139*D139*Ввод!B6+H139+I139,0)</f>
        <v/>
      </c>
      <c r="M139">
        <f>IF(B139="Y",D139*Ввод!B6*J139/Ввод!B7,0)</f>
        <v/>
      </c>
      <c r="N139" s="5">
        <f>IF(B139="Y",ROUND(MIN(D139*Ввод!B19,D139*0.5),2),0)</f>
        <v/>
      </c>
      <c r="O139">
        <f>IF(B139&lt;&gt;"Y","НЕТ",IF(AND(Расчеты!B11="ДА",ABS(K139)&gt;=Ввод!B18),"ЧАСТИЧНО ЗАКРЫТЬ","ДЕРЖАТЬ"))</f>
        <v/>
      </c>
      <c r="P139">
        <f>IF(B139&lt;&gt;"Y",0,IFERROR((Ввод!B12-Расчеты!B3-Ввод!B15/2+Расчеты!B6)/(Расчеты!B4-Ввод!B12-Ввод!B15/2-Расчеты!B6),0))</f>
        <v/>
      </c>
      <c r="Q139">
        <f>IF(B139="Y",B139&amp;C139,"")</f>
        <v/>
      </c>
    </row>
    <row r="140">
      <c r="D140" s="5" t="n"/>
      <c r="J140">
        <f>IF(C140="BUY",Ввод!B13,Ввод!B14)</f>
        <v/>
      </c>
      <c r="K140">
        <f>IF(C140="BUY",J140-E140,E140-J140)</f>
        <v/>
      </c>
      <c r="L140">
        <f>IF(B140="Y",K140*D140*Ввод!B6+H140+I140,0)</f>
        <v/>
      </c>
      <c r="M140">
        <f>IF(B140="Y",D140*Ввод!B6*J140/Ввод!B7,0)</f>
        <v/>
      </c>
      <c r="N140" s="5">
        <f>IF(B140="Y",ROUND(MIN(D140*Ввод!B19,D140*0.5),2),0)</f>
        <v/>
      </c>
      <c r="O140">
        <f>IF(B140&lt;&gt;"Y","НЕТ",IF(AND(Расчеты!B11="ДА",ABS(K140)&gt;=Ввод!B18),"ЧАСТИЧНО ЗАКРЫТЬ","ДЕРЖАТЬ"))</f>
        <v/>
      </c>
      <c r="P140">
        <f>IF(B140&lt;&gt;"Y",0,IFERROR((Ввод!B12-Расчеты!B3-Ввод!B15/2+Расчеты!B6)/(Расчеты!B4-Ввод!B12-Ввод!B15/2-Расчеты!B6),0))</f>
        <v/>
      </c>
      <c r="Q140">
        <f>IF(B140="Y",B140&amp;C140,"")</f>
        <v/>
      </c>
    </row>
    <row r="141">
      <c r="D141" s="5" t="n"/>
      <c r="J141">
        <f>IF(C141="BUY",Ввод!B13,Ввод!B14)</f>
        <v/>
      </c>
      <c r="K141">
        <f>IF(C141="BUY",J141-E141,E141-J141)</f>
        <v/>
      </c>
      <c r="L141">
        <f>IF(B141="Y",K141*D141*Ввод!B6+H141+I141,0)</f>
        <v/>
      </c>
      <c r="M141">
        <f>IF(B141="Y",D141*Ввод!B6*J141/Ввод!B7,0)</f>
        <v/>
      </c>
      <c r="N141" s="5">
        <f>IF(B141="Y",ROUND(MIN(D141*Ввод!B19,D141*0.5),2),0)</f>
        <v/>
      </c>
      <c r="O141">
        <f>IF(B141&lt;&gt;"Y","НЕТ",IF(AND(Расчеты!B11="ДА",ABS(K141)&gt;=Ввод!B18),"ЧАСТИЧНО ЗАКРЫТЬ","ДЕРЖАТЬ"))</f>
        <v/>
      </c>
      <c r="P141">
        <f>IF(B141&lt;&gt;"Y",0,IFERROR((Ввод!B12-Расчеты!B3-Ввод!B15/2+Расчеты!B6)/(Расчеты!B4-Ввод!B12-Ввод!B15/2-Расчеты!B6),0))</f>
        <v/>
      </c>
      <c r="Q141">
        <f>IF(B141="Y",B141&amp;C141,"")</f>
        <v/>
      </c>
    </row>
    <row r="142">
      <c r="D142" s="5" t="n"/>
      <c r="J142">
        <f>IF(C142="BUY",Ввод!B13,Ввод!B14)</f>
        <v/>
      </c>
      <c r="K142">
        <f>IF(C142="BUY",J142-E142,E142-J142)</f>
        <v/>
      </c>
      <c r="L142">
        <f>IF(B142="Y",K142*D142*Ввод!B6+H142+I142,0)</f>
        <v/>
      </c>
      <c r="M142">
        <f>IF(B142="Y",D142*Ввод!B6*J142/Ввод!B7,0)</f>
        <v/>
      </c>
      <c r="N142" s="5">
        <f>IF(B142="Y",ROUND(MIN(D142*Ввод!B19,D142*0.5),2),0)</f>
        <v/>
      </c>
      <c r="O142">
        <f>IF(B142&lt;&gt;"Y","НЕТ",IF(AND(Расчеты!B11="ДА",ABS(K142)&gt;=Ввод!B18),"ЧАСТИЧНО ЗАКРЫТЬ","ДЕРЖАТЬ"))</f>
        <v/>
      </c>
      <c r="P142">
        <f>IF(B142&lt;&gt;"Y",0,IFERROR((Ввод!B12-Расчеты!B3-Ввод!B15/2+Расчеты!B6)/(Расчеты!B4-Ввод!B12-Ввод!B15/2-Расчеты!B6),0))</f>
        <v/>
      </c>
      <c r="Q142">
        <f>IF(B142="Y",B142&amp;C142,"")</f>
        <v/>
      </c>
    </row>
    <row r="143">
      <c r="D143" s="5" t="n"/>
      <c r="J143">
        <f>IF(C143="BUY",Ввод!B13,Ввод!B14)</f>
        <v/>
      </c>
      <c r="K143">
        <f>IF(C143="BUY",J143-E143,E143-J143)</f>
        <v/>
      </c>
      <c r="L143">
        <f>IF(B143="Y",K143*D143*Ввод!B6+H143+I143,0)</f>
        <v/>
      </c>
      <c r="M143">
        <f>IF(B143="Y",D143*Ввод!B6*J143/Ввод!B7,0)</f>
        <v/>
      </c>
      <c r="N143" s="5">
        <f>IF(B143="Y",ROUND(MIN(D143*Ввод!B19,D143*0.5),2),0)</f>
        <v/>
      </c>
      <c r="O143">
        <f>IF(B143&lt;&gt;"Y","НЕТ",IF(AND(Расчеты!B11="ДА",ABS(K143)&gt;=Ввод!B18),"ЧАСТИЧНО ЗАКРЫТЬ","ДЕРЖАТЬ"))</f>
        <v/>
      </c>
      <c r="P143">
        <f>IF(B143&lt;&gt;"Y",0,IFERROR((Ввод!B12-Расчеты!B3-Ввод!B15/2+Расчеты!B6)/(Расчеты!B4-Ввод!B12-Ввод!B15/2-Расчеты!B6),0))</f>
        <v/>
      </c>
      <c r="Q143">
        <f>IF(B143="Y",B143&amp;C143,"")</f>
        <v/>
      </c>
    </row>
    <row r="144">
      <c r="D144" s="5" t="n"/>
      <c r="J144">
        <f>IF(C144="BUY",Ввод!B13,Ввод!B14)</f>
        <v/>
      </c>
      <c r="K144">
        <f>IF(C144="BUY",J144-E144,E144-J144)</f>
        <v/>
      </c>
      <c r="L144">
        <f>IF(B144="Y",K144*D144*Ввод!B6+H144+I144,0)</f>
        <v/>
      </c>
      <c r="M144">
        <f>IF(B144="Y",D144*Ввод!B6*J144/Ввод!B7,0)</f>
        <v/>
      </c>
      <c r="N144" s="5">
        <f>IF(B144="Y",ROUND(MIN(D144*Ввод!B19,D144*0.5),2),0)</f>
        <v/>
      </c>
      <c r="O144">
        <f>IF(B144&lt;&gt;"Y","НЕТ",IF(AND(Расчеты!B11="ДА",ABS(K144)&gt;=Ввод!B18),"ЧАСТИЧНО ЗАКРЫТЬ","ДЕРЖАТЬ"))</f>
        <v/>
      </c>
      <c r="P144">
        <f>IF(B144&lt;&gt;"Y",0,IFERROR((Ввод!B12-Расчеты!B3-Ввод!B15/2+Расчеты!B6)/(Расчеты!B4-Ввод!B12-Ввод!B15/2-Расчеты!B6),0))</f>
        <v/>
      </c>
      <c r="Q144">
        <f>IF(B144="Y",B144&amp;C144,"")</f>
        <v/>
      </c>
    </row>
    <row r="145">
      <c r="D145" s="5" t="n"/>
      <c r="J145">
        <f>IF(C145="BUY",Ввод!B13,Ввод!B14)</f>
        <v/>
      </c>
      <c r="K145">
        <f>IF(C145="BUY",J145-E145,E145-J145)</f>
        <v/>
      </c>
      <c r="L145">
        <f>IF(B145="Y",K145*D145*Ввод!B6+H145+I145,0)</f>
        <v/>
      </c>
      <c r="M145">
        <f>IF(B145="Y",D145*Ввод!B6*J145/Ввод!B7,0)</f>
        <v/>
      </c>
      <c r="N145" s="5">
        <f>IF(B145="Y",ROUND(MIN(D145*Ввод!B19,D145*0.5),2),0)</f>
        <v/>
      </c>
      <c r="O145">
        <f>IF(B145&lt;&gt;"Y","НЕТ",IF(AND(Расчеты!B11="ДА",ABS(K145)&gt;=Ввод!B18),"ЧАСТИЧНО ЗАКРЫТЬ","ДЕРЖАТЬ"))</f>
        <v/>
      </c>
      <c r="P145">
        <f>IF(B145&lt;&gt;"Y",0,IFERROR((Ввод!B12-Расчеты!B3-Ввод!B15/2+Расчеты!B6)/(Расчеты!B4-Ввод!B12-Ввод!B15/2-Расчеты!B6),0))</f>
        <v/>
      </c>
      <c r="Q145">
        <f>IF(B145="Y",B145&amp;C145,"")</f>
        <v/>
      </c>
    </row>
    <row r="146">
      <c r="D146" s="5" t="n"/>
      <c r="J146">
        <f>IF(C146="BUY",Ввод!B13,Ввод!B14)</f>
        <v/>
      </c>
      <c r="K146">
        <f>IF(C146="BUY",J146-E146,E146-J146)</f>
        <v/>
      </c>
      <c r="L146">
        <f>IF(B146="Y",K146*D146*Ввод!B6+H146+I146,0)</f>
        <v/>
      </c>
      <c r="M146">
        <f>IF(B146="Y",D146*Ввод!B6*J146/Ввод!B7,0)</f>
        <v/>
      </c>
      <c r="N146" s="5">
        <f>IF(B146="Y",ROUND(MIN(D146*Ввод!B19,D146*0.5),2),0)</f>
        <v/>
      </c>
      <c r="O146">
        <f>IF(B146&lt;&gt;"Y","НЕТ",IF(AND(Расчеты!B11="ДА",ABS(K146)&gt;=Ввод!B18),"ЧАСТИЧНО ЗАКРЫТЬ","ДЕРЖАТЬ"))</f>
        <v/>
      </c>
      <c r="P146">
        <f>IF(B146&lt;&gt;"Y",0,IFERROR((Ввод!B12-Расчеты!B3-Ввод!B15/2+Расчеты!B6)/(Расчеты!B4-Ввод!B12-Ввод!B15/2-Расчеты!B6),0))</f>
        <v/>
      </c>
      <c r="Q146">
        <f>IF(B146="Y",B146&amp;C146,"")</f>
        <v/>
      </c>
    </row>
    <row r="147">
      <c r="D147" s="5" t="n"/>
      <c r="J147">
        <f>IF(C147="BUY",Ввод!B13,Ввод!B14)</f>
        <v/>
      </c>
      <c r="K147">
        <f>IF(C147="BUY",J147-E147,E147-J147)</f>
        <v/>
      </c>
      <c r="L147">
        <f>IF(B147="Y",K147*D147*Ввод!B6+H147+I147,0)</f>
        <v/>
      </c>
      <c r="M147">
        <f>IF(B147="Y",D147*Ввод!B6*J147/Ввод!B7,0)</f>
        <v/>
      </c>
      <c r="N147" s="5">
        <f>IF(B147="Y",ROUND(MIN(D147*Ввод!B19,D147*0.5),2),0)</f>
        <v/>
      </c>
      <c r="O147">
        <f>IF(B147&lt;&gt;"Y","НЕТ",IF(AND(Расчеты!B11="ДА",ABS(K147)&gt;=Ввод!B18),"ЧАСТИЧНО ЗАКРЫТЬ","ДЕРЖАТЬ"))</f>
        <v/>
      </c>
      <c r="P147">
        <f>IF(B147&lt;&gt;"Y",0,IFERROR((Ввод!B12-Расчеты!B3-Ввод!B15/2+Расчеты!B6)/(Расчеты!B4-Ввод!B12-Ввод!B15/2-Расчеты!B6),0))</f>
        <v/>
      </c>
      <c r="Q147">
        <f>IF(B147="Y",B147&amp;C147,"")</f>
        <v/>
      </c>
    </row>
    <row r="148">
      <c r="D148" s="5" t="n"/>
      <c r="J148">
        <f>IF(C148="BUY",Ввод!B13,Ввод!B14)</f>
        <v/>
      </c>
      <c r="K148">
        <f>IF(C148="BUY",J148-E148,E148-J148)</f>
        <v/>
      </c>
      <c r="L148">
        <f>IF(B148="Y",K148*D148*Ввод!B6+H148+I148,0)</f>
        <v/>
      </c>
      <c r="M148">
        <f>IF(B148="Y",D148*Ввод!B6*J148/Ввод!B7,0)</f>
        <v/>
      </c>
      <c r="N148" s="5">
        <f>IF(B148="Y",ROUND(MIN(D148*Ввод!B19,D148*0.5),2),0)</f>
        <v/>
      </c>
      <c r="O148">
        <f>IF(B148&lt;&gt;"Y","НЕТ",IF(AND(Расчеты!B11="ДА",ABS(K148)&gt;=Ввод!B18),"ЧАСТИЧНО ЗАКРЫТЬ","ДЕРЖАТЬ"))</f>
        <v/>
      </c>
      <c r="P148">
        <f>IF(B148&lt;&gt;"Y",0,IFERROR((Ввод!B12-Расчеты!B3-Ввод!B15/2+Расчеты!B6)/(Расчеты!B4-Ввод!B12-Ввод!B15/2-Расчеты!B6),0))</f>
        <v/>
      </c>
      <c r="Q148">
        <f>IF(B148="Y",B148&amp;C148,"")</f>
        <v/>
      </c>
    </row>
    <row r="149">
      <c r="D149" s="5" t="n"/>
      <c r="J149">
        <f>IF(C149="BUY",Ввод!B13,Ввод!B14)</f>
        <v/>
      </c>
      <c r="K149">
        <f>IF(C149="BUY",J149-E149,E149-J149)</f>
        <v/>
      </c>
      <c r="L149">
        <f>IF(B149="Y",K149*D149*Ввод!B6+H149+I149,0)</f>
        <v/>
      </c>
      <c r="M149">
        <f>IF(B149="Y",D149*Ввод!B6*J149/Ввод!B7,0)</f>
        <v/>
      </c>
      <c r="N149" s="5">
        <f>IF(B149="Y",ROUND(MIN(D149*Ввод!B19,D149*0.5),2),0)</f>
        <v/>
      </c>
      <c r="O149">
        <f>IF(B149&lt;&gt;"Y","НЕТ",IF(AND(Расчеты!B11="ДА",ABS(K149)&gt;=Ввод!B18),"ЧАСТИЧНО ЗАКРЫТЬ","ДЕРЖАТЬ"))</f>
        <v/>
      </c>
      <c r="P149">
        <f>IF(B149&lt;&gt;"Y",0,IFERROR((Ввод!B12-Расчеты!B3-Ввод!B15/2+Расчеты!B6)/(Расчеты!B4-Ввод!B12-Ввод!B15/2-Расчеты!B6),0))</f>
        <v/>
      </c>
      <c r="Q149">
        <f>IF(B149="Y",B149&amp;C149,"")</f>
        <v/>
      </c>
    </row>
    <row r="150">
      <c r="D150" s="5" t="n"/>
      <c r="J150">
        <f>IF(C150="BUY",Ввод!B13,Ввод!B14)</f>
        <v/>
      </c>
      <c r="K150">
        <f>IF(C150="BUY",J150-E150,E150-J150)</f>
        <v/>
      </c>
      <c r="L150">
        <f>IF(B150="Y",K150*D150*Ввод!B6+H150+I150,0)</f>
        <v/>
      </c>
      <c r="M150">
        <f>IF(B150="Y",D150*Ввод!B6*J150/Ввод!B7,0)</f>
        <v/>
      </c>
      <c r="N150" s="5">
        <f>IF(B150="Y",ROUND(MIN(D150*Ввод!B19,D150*0.5),2),0)</f>
        <v/>
      </c>
      <c r="O150">
        <f>IF(B150&lt;&gt;"Y","НЕТ",IF(AND(Расчеты!B11="ДА",ABS(K150)&gt;=Ввод!B18),"ЧАСТИЧНО ЗАКРЫТЬ","ДЕРЖАТЬ"))</f>
        <v/>
      </c>
      <c r="P150">
        <f>IF(B150&lt;&gt;"Y",0,IFERROR((Ввод!B12-Расчеты!B3-Ввод!B15/2+Расчеты!B6)/(Расчеты!B4-Ввод!B12-Ввод!B15/2-Расчеты!B6),0))</f>
        <v/>
      </c>
      <c r="Q150">
        <f>IF(B150="Y",B150&amp;C150,"")</f>
        <v/>
      </c>
    </row>
    <row r="151">
      <c r="D151" s="5" t="n"/>
      <c r="J151">
        <f>IF(C151="BUY",Ввод!B13,Ввод!B14)</f>
        <v/>
      </c>
      <c r="K151">
        <f>IF(C151="BUY",J151-E151,E151-J151)</f>
        <v/>
      </c>
      <c r="L151">
        <f>IF(B151="Y",K151*D151*Ввод!B6+H151+I151,0)</f>
        <v/>
      </c>
      <c r="M151">
        <f>IF(B151="Y",D151*Ввод!B6*J151/Ввод!B7,0)</f>
        <v/>
      </c>
      <c r="N151" s="5">
        <f>IF(B151="Y",ROUND(MIN(D151*Ввод!B19,D151*0.5),2),0)</f>
        <v/>
      </c>
      <c r="O151">
        <f>IF(B151&lt;&gt;"Y","НЕТ",IF(AND(Расчеты!B11="ДА",ABS(K151)&gt;=Ввод!B18),"ЧАСТИЧНО ЗАКРЫТЬ","ДЕРЖАТЬ"))</f>
        <v/>
      </c>
      <c r="P151">
        <f>IF(B151&lt;&gt;"Y",0,IFERROR((Ввод!B12-Расчеты!B3-Ввод!B15/2+Расчеты!B6)/(Расчеты!B4-Ввод!B12-Ввод!B15/2-Расчеты!B6),0))</f>
        <v/>
      </c>
      <c r="Q151">
        <f>IF(B151="Y",B151&amp;C151,"")</f>
        <v/>
      </c>
    </row>
    <row r="152">
      <c r="D152" s="5" t="n"/>
      <c r="J152">
        <f>IF(C152="BUY",Ввод!B13,Ввод!B14)</f>
        <v/>
      </c>
      <c r="K152">
        <f>IF(C152="BUY",J152-E152,E152-J152)</f>
        <v/>
      </c>
      <c r="L152">
        <f>IF(B152="Y",K152*D152*Ввод!B6+H152+I152,0)</f>
        <v/>
      </c>
      <c r="M152">
        <f>IF(B152="Y",D152*Ввод!B6*J152/Ввод!B7,0)</f>
        <v/>
      </c>
      <c r="N152" s="5">
        <f>IF(B152="Y",ROUND(MIN(D152*Ввод!B19,D152*0.5),2),0)</f>
        <v/>
      </c>
      <c r="O152">
        <f>IF(B152&lt;&gt;"Y","НЕТ",IF(AND(Расчеты!B11="ДА",ABS(K152)&gt;=Ввод!B18),"ЧАСТИЧНО ЗАКРЫТЬ","ДЕРЖАТЬ"))</f>
        <v/>
      </c>
      <c r="P152">
        <f>IF(B152&lt;&gt;"Y",0,IFERROR((Ввод!B12-Расчеты!B3-Ввод!B15/2+Расчеты!B6)/(Расчеты!B4-Ввод!B12-Ввод!B15/2-Расчеты!B6),0))</f>
        <v/>
      </c>
      <c r="Q152">
        <f>IF(B152="Y",B152&amp;C152,"")</f>
        <v/>
      </c>
    </row>
    <row r="153">
      <c r="D153" s="5" t="n"/>
      <c r="J153">
        <f>IF(C153="BUY",Ввод!B13,Ввод!B14)</f>
        <v/>
      </c>
      <c r="K153">
        <f>IF(C153="BUY",J153-E153,E153-J153)</f>
        <v/>
      </c>
      <c r="L153">
        <f>IF(B153="Y",K153*D153*Ввод!B6+H153+I153,0)</f>
        <v/>
      </c>
      <c r="M153">
        <f>IF(B153="Y",D153*Ввод!B6*J153/Ввод!B7,0)</f>
        <v/>
      </c>
      <c r="N153" s="5">
        <f>IF(B153="Y",ROUND(MIN(D153*Ввод!B19,D153*0.5),2),0)</f>
        <v/>
      </c>
      <c r="O153">
        <f>IF(B153&lt;&gt;"Y","НЕТ",IF(AND(Расчеты!B11="ДА",ABS(K153)&gt;=Ввод!B18),"ЧАСТИЧНО ЗАКРЫТЬ","ДЕРЖАТЬ"))</f>
        <v/>
      </c>
      <c r="P153">
        <f>IF(B153&lt;&gt;"Y",0,IFERROR((Ввод!B12-Расчеты!B3-Ввод!B15/2+Расчеты!B6)/(Расчеты!B4-Ввод!B12-Ввод!B15/2-Расчеты!B6),0))</f>
        <v/>
      </c>
      <c r="Q153">
        <f>IF(B153="Y",B153&amp;C153,"")</f>
        <v/>
      </c>
    </row>
    <row r="154">
      <c r="D154" s="5" t="n"/>
      <c r="J154">
        <f>IF(C154="BUY",Ввод!B13,Ввод!B14)</f>
        <v/>
      </c>
      <c r="K154">
        <f>IF(C154="BUY",J154-E154,E154-J154)</f>
        <v/>
      </c>
      <c r="L154">
        <f>IF(B154="Y",K154*D154*Ввод!B6+H154+I154,0)</f>
        <v/>
      </c>
      <c r="M154">
        <f>IF(B154="Y",D154*Ввод!B6*J154/Ввод!B7,0)</f>
        <v/>
      </c>
      <c r="N154" s="5">
        <f>IF(B154="Y",ROUND(MIN(D154*Ввод!B19,D154*0.5),2),0)</f>
        <v/>
      </c>
      <c r="O154">
        <f>IF(B154&lt;&gt;"Y","НЕТ",IF(AND(Расчеты!B11="ДА",ABS(K154)&gt;=Ввод!B18),"ЧАСТИЧНО ЗАКРЫТЬ","ДЕРЖАТЬ"))</f>
        <v/>
      </c>
      <c r="P154">
        <f>IF(B154&lt;&gt;"Y",0,IFERROR((Ввод!B12-Расчеты!B3-Ввод!B15/2+Расчеты!B6)/(Расчеты!B4-Ввод!B12-Ввод!B15/2-Расчеты!B6),0))</f>
        <v/>
      </c>
      <c r="Q154">
        <f>IF(B154="Y",B154&amp;C154,"")</f>
        <v/>
      </c>
    </row>
    <row r="155">
      <c r="D155" s="5" t="n"/>
      <c r="J155">
        <f>IF(C155="BUY",Ввод!B13,Ввод!B14)</f>
        <v/>
      </c>
      <c r="K155">
        <f>IF(C155="BUY",J155-E155,E155-J155)</f>
        <v/>
      </c>
      <c r="L155">
        <f>IF(B155="Y",K155*D155*Ввод!B6+H155+I155,0)</f>
        <v/>
      </c>
      <c r="M155">
        <f>IF(B155="Y",D155*Ввод!B6*J155/Ввод!B7,0)</f>
        <v/>
      </c>
      <c r="N155" s="5">
        <f>IF(B155="Y",ROUND(MIN(D155*Ввод!B19,D155*0.5),2),0)</f>
        <v/>
      </c>
      <c r="O155">
        <f>IF(B155&lt;&gt;"Y","НЕТ",IF(AND(Расчеты!B11="ДА",ABS(K155)&gt;=Ввод!B18),"ЧАСТИЧНО ЗАКРЫТЬ","ДЕРЖАТЬ"))</f>
        <v/>
      </c>
      <c r="P155">
        <f>IF(B155&lt;&gt;"Y",0,IFERROR((Ввод!B12-Расчеты!B3-Ввод!B15/2+Расчеты!B6)/(Расчеты!B4-Ввод!B12-Ввод!B15/2-Расчеты!B6),0))</f>
        <v/>
      </c>
      <c r="Q155">
        <f>IF(B155="Y",B155&amp;C155,"")</f>
        <v/>
      </c>
    </row>
    <row r="156">
      <c r="D156" s="5" t="n"/>
      <c r="J156">
        <f>IF(C156="BUY",Ввод!B13,Ввод!B14)</f>
        <v/>
      </c>
      <c r="K156">
        <f>IF(C156="BUY",J156-E156,E156-J156)</f>
        <v/>
      </c>
      <c r="L156">
        <f>IF(B156="Y",K156*D156*Ввод!B6+H156+I156,0)</f>
        <v/>
      </c>
      <c r="M156">
        <f>IF(B156="Y",D156*Ввод!B6*J156/Ввод!B7,0)</f>
        <v/>
      </c>
      <c r="N156" s="5">
        <f>IF(B156="Y",ROUND(MIN(D156*Ввод!B19,D156*0.5),2),0)</f>
        <v/>
      </c>
      <c r="O156">
        <f>IF(B156&lt;&gt;"Y","НЕТ",IF(AND(Расчеты!B11="ДА",ABS(K156)&gt;=Ввод!B18),"ЧАСТИЧНО ЗАКРЫТЬ","ДЕРЖАТЬ"))</f>
        <v/>
      </c>
      <c r="P156">
        <f>IF(B156&lt;&gt;"Y",0,IFERROR((Ввод!B12-Расчеты!B3-Ввод!B15/2+Расчеты!B6)/(Расчеты!B4-Ввод!B12-Ввод!B15/2-Расчеты!B6),0))</f>
        <v/>
      </c>
      <c r="Q156">
        <f>IF(B156="Y",B156&amp;C156,"")</f>
        <v/>
      </c>
    </row>
    <row r="157">
      <c r="D157" s="5" t="n"/>
      <c r="J157">
        <f>IF(C157="BUY",Ввод!B13,Ввод!B14)</f>
        <v/>
      </c>
      <c r="K157">
        <f>IF(C157="BUY",J157-E157,E157-J157)</f>
        <v/>
      </c>
      <c r="L157">
        <f>IF(B157="Y",K157*D157*Ввод!B6+H157+I157,0)</f>
        <v/>
      </c>
      <c r="M157">
        <f>IF(B157="Y",D157*Ввод!B6*J157/Ввод!B7,0)</f>
        <v/>
      </c>
      <c r="N157" s="5">
        <f>IF(B157="Y",ROUND(MIN(D157*Ввод!B19,D157*0.5),2),0)</f>
        <v/>
      </c>
      <c r="O157">
        <f>IF(B157&lt;&gt;"Y","НЕТ",IF(AND(Расчеты!B11="ДА",ABS(K157)&gt;=Ввод!B18),"ЧАСТИЧНО ЗАКРЫТЬ","ДЕРЖАТЬ"))</f>
        <v/>
      </c>
      <c r="P157">
        <f>IF(B157&lt;&gt;"Y",0,IFERROR((Ввод!B12-Расчеты!B3-Ввод!B15/2+Расчеты!B6)/(Расчеты!B4-Ввод!B12-Ввод!B15/2-Расчеты!B6),0))</f>
        <v/>
      </c>
      <c r="Q157">
        <f>IF(B157="Y",B157&amp;C157,"")</f>
        <v/>
      </c>
    </row>
    <row r="158">
      <c r="D158" s="5" t="n"/>
      <c r="J158">
        <f>IF(C158="BUY",Ввод!B13,Ввод!B14)</f>
        <v/>
      </c>
      <c r="K158">
        <f>IF(C158="BUY",J158-E158,E158-J158)</f>
        <v/>
      </c>
      <c r="L158">
        <f>IF(B158="Y",K158*D158*Ввод!B6+H158+I158,0)</f>
        <v/>
      </c>
      <c r="M158">
        <f>IF(B158="Y",D158*Ввод!B6*J158/Ввод!B7,0)</f>
        <v/>
      </c>
      <c r="N158" s="5">
        <f>IF(B158="Y",ROUND(MIN(D158*Ввод!B19,D158*0.5),2),0)</f>
        <v/>
      </c>
      <c r="O158">
        <f>IF(B158&lt;&gt;"Y","НЕТ",IF(AND(Расчеты!B11="ДА",ABS(K158)&gt;=Ввод!B18),"ЧАСТИЧНО ЗАКРЫТЬ","ДЕРЖАТЬ"))</f>
        <v/>
      </c>
      <c r="P158">
        <f>IF(B158&lt;&gt;"Y",0,IFERROR((Ввод!B12-Расчеты!B3-Ввод!B15/2+Расчеты!B6)/(Расчеты!B4-Ввод!B12-Ввод!B15/2-Расчеты!B6),0))</f>
        <v/>
      </c>
      <c r="Q158">
        <f>IF(B158="Y",B158&amp;C158,"")</f>
        <v/>
      </c>
    </row>
    <row r="159">
      <c r="D159" s="5" t="n"/>
      <c r="J159">
        <f>IF(C159="BUY",Ввод!B13,Ввод!B14)</f>
        <v/>
      </c>
      <c r="K159">
        <f>IF(C159="BUY",J159-E159,E159-J159)</f>
        <v/>
      </c>
      <c r="L159">
        <f>IF(B159="Y",K159*D159*Ввод!B6+H159+I159,0)</f>
        <v/>
      </c>
      <c r="M159">
        <f>IF(B159="Y",D159*Ввод!B6*J159/Ввод!B7,0)</f>
        <v/>
      </c>
      <c r="N159" s="5">
        <f>IF(B159="Y",ROUND(MIN(D159*Ввод!B19,D159*0.5),2),0)</f>
        <v/>
      </c>
      <c r="O159">
        <f>IF(B159&lt;&gt;"Y","НЕТ",IF(AND(Расчеты!B11="ДА",ABS(K159)&gt;=Ввод!B18),"ЧАСТИЧНО ЗАКРЫТЬ","ДЕРЖАТЬ"))</f>
        <v/>
      </c>
      <c r="P159">
        <f>IF(B159&lt;&gt;"Y",0,IFERROR((Ввод!B12-Расчеты!B3-Ввод!B15/2+Расчеты!B6)/(Расчеты!B4-Ввод!B12-Ввод!B15/2-Расчеты!B6),0))</f>
        <v/>
      </c>
      <c r="Q159">
        <f>IF(B159="Y",B159&amp;C159,"")</f>
        <v/>
      </c>
    </row>
    <row r="160">
      <c r="D160" s="5" t="n"/>
      <c r="J160">
        <f>IF(C160="BUY",Ввод!B13,Ввод!B14)</f>
        <v/>
      </c>
      <c r="K160">
        <f>IF(C160="BUY",J160-E160,E160-J160)</f>
        <v/>
      </c>
      <c r="L160">
        <f>IF(B160="Y",K160*D160*Ввод!B6+H160+I160,0)</f>
        <v/>
      </c>
      <c r="M160">
        <f>IF(B160="Y",D160*Ввод!B6*J160/Ввод!B7,0)</f>
        <v/>
      </c>
      <c r="N160" s="5">
        <f>IF(B160="Y",ROUND(MIN(D160*Ввод!B19,D160*0.5),2),0)</f>
        <v/>
      </c>
      <c r="O160">
        <f>IF(B160&lt;&gt;"Y","НЕТ",IF(AND(Расчеты!B11="ДА",ABS(K160)&gt;=Ввод!B18),"ЧАСТИЧНО ЗАКРЫТЬ","ДЕРЖАТЬ"))</f>
        <v/>
      </c>
      <c r="P160">
        <f>IF(B160&lt;&gt;"Y",0,IFERROR((Ввод!B12-Расчеты!B3-Ввод!B15/2+Расчеты!B6)/(Расчеты!B4-Ввод!B12-Ввод!B15/2-Расчеты!B6),0))</f>
        <v/>
      </c>
      <c r="Q160">
        <f>IF(B160="Y",B160&amp;C160,"")</f>
        <v/>
      </c>
    </row>
    <row r="161">
      <c r="D161" s="5" t="n"/>
      <c r="J161">
        <f>IF(C161="BUY",Ввод!B13,Ввод!B14)</f>
        <v/>
      </c>
      <c r="K161">
        <f>IF(C161="BUY",J161-E161,E161-J161)</f>
        <v/>
      </c>
      <c r="L161">
        <f>IF(B161="Y",K161*D161*Ввод!B6+H161+I161,0)</f>
        <v/>
      </c>
      <c r="M161">
        <f>IF(B161="Y",D161*Ввод!B6*J161/Ввод!B7,0)</f>
        <v/>
      </c>
      <c r="N161" s="5">
        <f>IF(B161="Y",ROUND(MIN(D161*Ввод!B19,D161*0.5),2),0)</f>
        <v/>
      </c>
      <c r="O161">
        <f>IF(B161&lt;&gt;"Y","НЕТ",IF(AND(Расчеты!B11="ДА",ABS(K161)&gt;=Ввод!B18),"ЧАСТИЧНО ЗАКРЫТЬ","ДЕРЖАТЬ"))</f>
        <v/>
      </c>
      <c r="P161">
        <f>IF(B161&lt;&gt;"Y",0,IFERROR((Ввод!B12-Расчеты!B3-Ввод!B15/2+Расчеты!B6)/(Расчеты!B4-Ввод!B12-Ввод!B15/2-Расчеты!B6),0))</f>
        <v/>
      </c>
      <c r="Q161">
        <f>IF(B161="Y",B161&amp;C161,"")</f>
        <v/>
      </c>
    </row>
    <row r="162">
      <c r="D162" s="5" t="n"/>
      <c r="J162">
        <f>IF(C162="BUY",Ввод!B13,Ввод!B14)</f>
        <v/>
      </c>
      <c r="K162">
        <f>IF(C162="BUY",J162-E162,E162-J162)</f>
        <v/>
      </c>
      <c r="L162">
        <f>IF(B162="Y",K162*D162*Ввод!B6+H162+I162,0)</f>
        <v/>
      </c>
      <c r="M162">
        <f>IF(B162="Y",D162*Ввод!B6*J162/Ввод!B7,0)</f>
        <v/>
      </c>
      <c r="N162" s="5">
        <f>IF(B162="Y",ROUND(MIN(D162*Ввод!B19,D162*0.5),2),0)</f>
        <v/>
      </c>
      <c r="O162">
        <f>IF(B162&lt;&gt;"Y","НЕТ",IF(AND(Расчеты!B11="ДА",ABS(K162)&gt;=Ввод!B18),"ЧАСТИЧНО ЗАКРЫТЬ","ДЕРЖАТЬ"))</f>
        <v/>
      </c>
      <c r="P162">
        <f>IF(B162&lt;&gt;"Y",0,IFERROR((Ввод!B12-Расчеты!B3-Ввод!B15/2+Расчеты!B6)/(Расчеты!B4-Ввод!B12-Ввод!B15/2-Расчеты!B6),0))</f>
        <v/>
      </c>
      <c r="Q162">
        <f>IF(B162="Y",B162&amp;C162,"")</f>
        <v/>
      </c>
    </row>
    <row r="163">
      <c r="D163" s="5" t="n"/>
      <c r="J163">
        <f>IF(C163="BUY",Ввод!B13,Ввод!B14)</f>
        <v/>
      </c>
      <c r="K163">
        <f>IF(C163="BUY",J163-E163,E163-J163)</f>
        <v/>
      </c>
      <c r="L163">
        <f>IF(B163="Y",K163*D163*Ввод!B6+H163+I163,0)</f>
        <v/>
      </c>
      <c r="M163">
        <f>IF(B163="Y",D163*Ввод!B6*J163/Ввод!B7,0)</f>
        <v/>
      </c>
      <c r="N163" s="5">
        <f>IF(B163="Y",ROUND(MIN(D163*Ввод!B19,D163*0.5),2),0)</f>
        <v/>
      </c>
      <c r="O163">
        <f>IF(B163&lt;&gt;"Y","НЕТ",IF(AND(Расчеты!B11="ДА",ABS(K163)&gt;=Ввод!B18),"ЧАСТИЧНО ЗАКРЫТЬ","ДЕРЖАТЬ"))</f>
        <v/>
      </c>
      <c r="P163">
        <f>IF(B163&lt;&gt;"Y",0,IFERROR((Ввод!B12-Расчеты!B3-Ввод!B15/2+Расчеты!B6)/(Расчеты!B4-Ввод!B12-Ввод!B15/2-Расчеты!B6),0))</f>
        <v/>
      </c>
      <c r="Q163">
        <f>IF(B163="Y",B163&amp;C163,"")</f>
        <v/>
      </c>
    </row>
    <row r="164">
      <c r="D164" s="5" t="n"/>
      <c r="J164">
        <f>IF(C164="BUY",Ввод!B13,Ввод!B14)</f>
        <v/>
      </c>
      <c r="K164">
        <f>IF(C164="BUY",J164-E164,E164-J164)</f>
        <v/>
      </c>
      <c r="L164">
        <f>IF(B164="Y",K164*D164*Ввод!B6+H164+I164,0)</f>
        <v/>
      </c>
      <c r="M164">
        <f>IF(B164="Y",D164*Ввод!B6*J164/Ввод!B7,0)</f>
        <v/>
      </c>
      <c r="N164" s="5">
        <f>IF(B164="Y",ROUND(MIN(D164*Ввод!B19,D164*0.5),2),0)</f>
        <v/>
      </c>
      <c r="O164">
        <f>IF(B164&lt;&gt;"Y","НЕТ",IF(AND(Расчеты!B11="ДА",ABS(K164)&gt;=Ввод!B18),"ЧАСТИЧНО ЗАКРЫТЬ","ДЕРЖАТЬ"))</f>
        <v/>
      </c>
      <c r="P164">
        <f>IF(B164&lt;&gt;"Y",0,IFERROR((Ввод!B12-Расчеты!B3-Ввод!B15/2+Расчеты!B6)/(Расчеты!B4-Ввод!B12-Ввод!B15/2-Расчеты!B6),0))</f>
        <v/>
      </c>
      <c r="Q164">
        <f>IF(B164="Y",B164&amp;C164,"")</f>
        <v/>
      </c>
    </row>
    <row r="165">
      <c r="D165" s="5" t="n"/>
      <c r="J165">
        <f>IF(C165="BUY",Ввод!B13,Ввод!B14)</f>
        <v/>
      </c>
      <c r="K165">
        <f>IF(C165="BUY",J165-E165,E165-J165)</f>
        <v/>
      </c>
      <c r="L165">
        <f>IF(B165="Y",K165*D165*Ввод!B6+H165+I165,0)</f>
        <v/>
      </c>
      <c r="M165">
        <f>IF(B165="Y",D165*Ввод!B6*J165/Ввод!B7,0)</f>
        <v/>
      </c>
      <c r="N165" s="5">
        <f>IF(B165="Y",ROUND(MIN(D165*Ввод!B19,D165*0.5),2),0)</f>
        <v/>
      </c>
      <c r="O165">
        <f>IF(B165&lt;&gt;"Y","НЕТ",IF(AND(Расчеты!B11="ДА",ABS(K165)&gt;=Ввод!B18),"ЧАСТИЧНО ЗАКРЫТЬ","ДЕРЖАТЬ"))</f>
        <v/>
      </c>
      <c r="P165">
        <f>IF(B165&lt;&gt;"Y",0,IFERROR((Ввод!B12-Расчеты!B3-Ввод!B15/2+Расчеты!B6)/(Расчеты!B4-Ввод!B12-Ввод!B15/2-Расчеты!B6),0))</f>
        <v/>
      </c>
      <c r="Q165">
        <f>IF(B165="Y",B165&amp;C165,"")</f>
        <v/>
      </c>
    </row>
    <row r="166">
      <c r="D166" s="5" t="n"/>
      <c r="J166">
        <f>IF(C166="BUY",Ввод!B13,Ввод!B14)</f>
        <v/>
      </c>
      <c r="K166">
        <f>IF(C166="BUY",J166-E166,E166-J166)</f>
        <v/>
      </c>
      <c r="L166">
        <f>IF(B166="Y",K166*D166*Ввод!B6+H166+I166,0)</f>
        <v/>
      </c>
      <c r="M166">
        <f>IF(B166="Y",D166*Ввод!B6*J166/Ввод!B7,0)</f>
        <v/>
      </c>
      <c r="N166" s="5">
        <f>IF(B166="Y",ROUND(MIN(D166*Ввод!B19,D166*0.5),2),0)</f>
        <v/>
      </c>
      <c r="O166">
        <f>IF(B166&lt;&gt;"Y","НЕТ",IF(AND(Расчеты!B11="ДА",ABS(K166)&gt;=Ввод!B18),"ЧАСТИЧНО ЗАКРЫТЬ","ДЕРЖАТЬ"))</f>
        <v/>
      </c>
      <c r="P166">
        <f>IF(B166&lt;&gt;"Y",0,IFERROR((Ввод!B12-Расчеты!B3-Ввод!B15/2+Расчеты!B6)/(Расчеты!B4-Ввод!B12-Ввод!B15/2-Расчеты!B6),0))</f>
        <v/>
      </c>
      <c r="Q166">
        <f>IF(B166="Y",B166&amp;C166,"")</f>
        <v/>
      </c>
    </row>
    <row r="167">
      <c r="D167" s="5" t="n"/>
      <c r="J167">
        <f>IF(C167="BUY",Ввод!B13,Ввод!B14)</f>
        <v/>
      </c>
      <c r="K167">
        <f>IF(C167="BUY",J167-E167,E167-J167)</f>
        <v/>
      </c>
      <c r="L167">
        <f>IF(B167="Y",K167*D167*Ввод!B6+H167+I167,0)</f>
        <v/>
      </c>
      <c r="M167">
        <f>IF(B167="Y",D167*Ввод!B6*J167/Ввод!B7,0)</f>
        <v/>
      </c>
      <c r="N167" s="5">
        <f>IF(B167="Y",ROUND(MIN(D167*Ввод!B19,D167*0.5),2),0)</f>
        <v/>
      </c>
      <c r="O167">
        <f>IF(B167&lt;&gt;"Y","НЕТ",IF(AND(Расчеты!B11="ДА",ABS(K167)&gt;=Ввод!B18),"ЧАСТИЧНО ЗАКРЫТЬ","ДЕРЖАТЬ"))</f>
        <v/>
      </c>
      <c r="P167">
        <f>IF(B167&lt;&gt;"Y",0,IFERROR((Ввод!B12-Расчеты!B3-Ввод!B15/2+Расчеты!B6)/(Расчеты!B4-Ввод!B12-Ввод!B15/2-Расчеты!B6),0))</f>
        <v/>
      </c>
      <c r="Q167">
        <f>IF(B167="Y",B167&amp;C167,"")</f>
        <v/>
      </c>
    </row>
    <row r="168">
      <c r="D168" s="5" t="n"/>
      <c r="J168">
        <f>IF(C168="BUY",Ввод!B13,Ввод!B14)</f>
        <v/>
      </c>
      <c r="K168">
        <f>IF(C168="BUY",J168-E168,E168-J168)</f>
        <v/>
      </c>
      <c r="L168">
        <f>IF(B168="Y",K168*D168*Ввод!B6+H168+I168,0)</f>
        <v/>
      </c>
      <c r="M168">
        <f>IF(B168="Y",D168*Ввод!B6*J168/Ввод!B7,0)</f>
        <v/>
      </c>
      <c r="N168" s="5">
        <f>IF(B168="Y",ROUND(MIN(D168*Ввод!B19,D168*0.5),2),0)</f>
        <v/>
      </c>
      <c r="O168">
        <f>IF(B168&lt;&gt;"Y","НЕТ",IF(AND(Расчеты!B11="ДА",ABS(K168)&gt;=Ввод!B18),"ЧАСТИЧНО ЗАКРЫТЬ","ДЕРЖАТЬ"))</f>
        <v/>
      </c>
      <c r="P168">
        <f>IF(B168&lt;&gt;"Y",0,IFERROR((Ввод!B12-Расчеты!B3-Ввод!B15/2+Расчеты!B6)/(Расчеты!B4-Ввод!B12-Ввод!B15/2-Расчеты!B6),0))</f>
        <v/>
      </c>
      <c r="Q168">
        <f>IF(B168="Y",B168&amp;C168,"")</f>
        <v/>
      </c>
    </row>
    <row r="169">
      <c r="D169" s="5" t="n"/>
      <c r="J169">
        <f>IF(C169="BUY",Ввод!B13,Ввод!B14)</f>
        <v/>
      </c>
      <c r="K169">
        <f>IF(C169="BUY",J169-E169,E169-J169)</f>
        <v/>
      </c>
      <c r="L169">
        <f>IF(B169="Y",K169*D169*Ввод!B6+H169+I169,0)</f>
        <v/>
      </c>
      <c r="M169">
        <f>IF(B169="Y",D169*Ввод!B6*J169/Ввод!B7,0)</f>
        <v/>
      </c>
      <c r="N169" s="5">
        <f>IF(B169="Y",ROUND(MIN(D169*Ввод!B19,D169*0.5),2),0)</f>
        <v/>
      </c>
      <c r="O169">
        <f>IF(B169&lt;&gt;"Y","НЕТ",IF(AND(Расчеты!B11="ДА",ABS(K169)&gt;=Ввод!B18),"ЧАСТИЧНО ЗАКРЫТЬ","ДЕРЖАТЬ"))</f>
        <v/>
      </c>
      <c r="P169">
        <f>IF(B169&lt;&gt;"Y",0,IFERROR((Ввод!B12-Расчеты!B3-Ввод!B15/2+Расчеты!B6)/(Расчеты!B4-Ввод!B12-Ввод!B15/2-Расчеты!B6),0))</f>
        <v/>
      </c>
      <c r="Q169">
        <f>IF(B169="Y",B169&amp;C169,"")</f>
        <v/>
      </c>
    </row>
    <row r="170">
      <c r="D170" s="5" t="n"/>
      <c r="J170">
        <f>IF(C170="BUY",Ввод!B13,Ввод!B14)</f>
        <v/>
      </c>
      <c r="K170">
        <f>IF(C170="BUY",J170-E170,E170-J170)</f>
        <v/>
      </c>
      <c r="L170">
        <f>IF(B170="Y",K170*D170*Ввод!B6+H170+I170,0)</f>
        <v/>
      </c>
      <c r="M170">
        <f>IF(B170="Y",D170*Ввод!B6*J170/Ввод!B7,0)</f>
        <v/>
      </c>
      <c r="N170" s="5">
        <f>IF(B170="Y",ROUND(MIN(D170*Ввод!B19,D170*0.5),2),0)</f>
        <v/>
      </c>
      <c r="O170">
        <f>IF(B170&lt;&gt;"Y","НЕТ",IF(AND(Расчеты!B11="ДА",ABS(K170)&gt;=Ввод!B18),"ЧАСТИЧНО ЗАКРЫТЬ","ДЕРЖАТЬ"))</f>
        <v/>
      </c>
      <c r="P170">
        <f>IF(B170&lt;&gt;"Y",0,IFERROR((Ввод!B12-Расчеты!B3-Ввод!B15/2+Расчеты!B6)/(Расчеты!B4-Ввод!B12-Ввод!B15/2-Расчеты!B6),0))</f>
        <v/>
      </c>
      <c r="Q170">
        <f>IF(B170="Y",B170&amp;C170,"")</f>
        <v/>
      </c>
    </row>
    <row r="171">
      <c r="D171" s="5" t="n"/>
      <c r="J171">
        <f>IF(C171="BUY",Ввод!B13,Ввод!B14)</f>
        <v/>
      </c>
      <c r="K171">
        <f>IF(C171="BUY",J171-E171,E171-J171)</f>
        <v/>
      </c>
      <c r="L171">
        <f>IF(B171="Y",K171*D171*Ввод!B6+H171+I171,0)</f>
        <v/>
      </c>
      <c r="M171">
        <f>IF(B171="Y",D171*Ввод!B6*J171/Ввод!B7,0)</f>
        <v/>
      </c>
      <c r="N171" s="5">
        <f>IF(B171="Y",ROUND(MIN(D171*Ввод!B19,D171*0.5),2),0)</f>
        <v/>
      </c>
      <c r="O171">
        <f>IF(B171&lt;&gt;"Y","НЕТ",IF(AND(Расчеты!B11="ДА",ABS(K171)&gt;=Ввод!B18),"ЧАСТИЧНО ЗАКРЫТЬ","ДЕРЖАТЬ"))</f>
        <v/>
      </c>
      <c r="P171">
        <f>IF(B171&lt;&gt;"Y",0,IFERROR((Ввод!B12-Расчеты!B3-Ввод!B15/2+Расчеты!B6)/(Расчеты!B4-Ввод!B12-Ввод!B15/2-Расчеты!B6),0))</f>
        <v/>
      </c>
      <c r="Q171">
        <f>IF(B171="Y",B171&amp;C171,"")</f>
        <v/>
      </c>
    </row>
    <row r="172">
      <c r="D172" s="5" t="n"/>
      <c r="J172">
        <f>IF(C172="BUY",Ввод!B13,Ввод!B14)</f>
        <v/>
      </c>
      <c r="K172">
        <f>IF(C172="BUY",J172-E172,E172-J172)</f>
        <v/>
      </c>
      <c r="L172">
        <f>IF(B172="Y",K172*D172*Ввод!B6+H172+I172,0)</f>
        <v/>
      </c>
      <c r="M172">
        <f>IF(B172="Y",D172*Ввод!B6*J172/Ввод!B7,0)</f>
        <v/>
      </c>
      <c r="N172" s="5">
        <f>IF(B172="Y",ROUND(MIN(D172*Ввод!B19,D172*0.5),2),0)</f>
        <v/>
      </c>
      <c r="O172">
        <f>IF(B172&lt;&gt;"Y","НЕТ",IF(AND(Расчеты!B11="ДА",ABS(K172)&gt;=Ввод!B18),"ЧАСТИЧНО ЗАКРЫТЬ","ДЕРЖАТЬ"))</f>
        <v/>
      </c>
      <c r="P172">
        <f>IF(B172&lt;&gt;"Y",0,IFERROR((Ввод!B12-Расчеты!B3-Ввод!B15/2+Расчеты!B6)/(Расчеты!B4-Ввод!B12-Ввод!B15/2-Расчеты!B6),0))</f>
        <v/>
      </c>
      <c r="Q172">
        <f>IF(B172="Y",B172&amp;C172,"")</f>
        <v/>
      </c>
    </row>
    <row r="173">
      <c r="D173" s="5" t="n"/>
      <c r="J173">
        <f>IF(C173="BUY",Ввод!B13,Ввод!B14)</f>
        <v/>
      </c>
      <c r="K173">
        <f>IF(C173="BUY",J173-E173,E173-J173)</f>
        <v/>
      </c>
      <c r="L173">
        <f>IF(B173="Y",K173*D173*Ввод!B6+H173+I173,0)</f>
        <v/>
      </c>
      <c r="M173">
        <f>IF(B173="Y",D173*Ввод!B6*J173/Ввод!B7,0)</f>
        <v/>
      </c>
      <c r="N173" s="5">
        <f>IF(B173="Y",ROUND(MIN(D173*Ввод!B19,D173*0.5),2),0)</f>
        <v/>
      </c>
      <c r="O173">
        <f>IF(B173&lt;&gt;"Y","НЕТ",IF(AND(Расчеты!B11="ДА",ABS(K173)&gt;=Ввод!B18),"ЧАСТИЧНО ЗАКРЫТЬ","ДЕРЖАТЬ"))</f>
        <v/>
      </c>
      <c r="P173">
        <f>IF(B173&lt;&gt;"Y",0,IFERROR((Ввод!B12-Расчеты!B3-Ввод!B15/2+Расчеты!B6)/(Расчеты!B4-Ввод!B12-Ввод!B15/2-Расчеты!B6),0))</f>
        <v/>
      </c>
      <c r="Q173">
        <f>IF(B173="Y",B173&amp;C173,"")</f>
        <v/>
      </c>
    </row>
    <row r="174">
      <c r="D174" s="5" t="n"/>
      <c r="J174">
        <f>IF(C174="BUY",Ввод!B13,Ввод!B14)</f>
        <v/>
      </c>
      <c r="K174">
        <f>IF(C174="BUY",J174-E174,E174-J174)</f>
        <v/>
      </c>
      <c r="L174">
        <f>IF(B174="Y",K174*D174*Ввод!B6+H174+I174,0)</f>
        <v/>
      </c>
      <c r="M174">
        <f>IF(B174="Y",D174*Ввод!B6*J174/Ввод!B7,0)</f>
        <v/>
      </c>
      <c r="N174" s="5">
        <f>IF(B174="Y",ROUND(MIN(D174*Ввод!B19,D174*0.5),2),0)</f>
        <v/>
      </c>
      <c r="O174">
        <f>IF(B174&lt;&gt;"Y","НЕТ",IF(AND(Расчеты!B11="ДА",ABS(K174)&gt;=Ввод!B18),"ЧАСТИЧНО ЗАКРЫТЬ","ДЕРЖАТЬ"))</f>
        <v/>
      </c>
      <c r="P174">
        <f>IF(B174&lt;&gt;"Y",0,IFERROR((Ввод!B12-Расчеты!B3-Ввод!B15/2+Расчеты!B6)/(Расчеты!B4-Ввод!B12-Ввод!B15/2-Расчеты!B6),0))</f>
        <v/>
      </c>
      <c r="Q174">
        <f>IF(B174="Y",B174&amp;C174,"")</f>
        <v/>
      </c>
    </row>
    <row r="175">
      <c r="D175" s="5" t="n"/>
      <c r="J175">
        <f>IF(C175="BUY",Ввод!B13,Ввод!B14)</f>
        <v/>
      </c>
      <c r="K175">
        <f>IF(C175="BUY",J175-E175,E175-J175)</f>
        <v/>
      </c>
      <c r="L175">
        <f>IF(B175="Y",K175*D175*Ввод!B6+H175+I175,0)</f>
        <v/>
      </c>
      <c r="M175">
        <f>IF(B175="Y",D175*Ввод!B6*J175/Ввод!B7,0)</f>
        <v/>
      </c>
      <c r="N175" s="5">
        <f>IF(B175="Y",ROUND(MIN(D175*Ввод!B19,D175*0.5),2),0)</f>
        <v/>
      </c>
      <c r="O175">
        <f>IF(B175&lt;&gt;"Y","НЕТ",IF(AND(Расчеты!B11="ДА",ABS(K175)&gt;=Ввод!B18),"ЧАСТИЧНО ЗАКРЫТЬ","ДЕРЖАТЬ"))</f>
        <v/>
      </c>
      <c r="P175">
        <f>IF(B175&lt;&gt;"Y",0,IFERROR((Ввод!B12-Расчеты!B3-Ввод!B15/2+Расчеты!B6)/(Расчеты!B4-Ввод!B12-Ввод!B15/2-Расчеты!B6),0))</f>
        <v/>
      </c>
      <c r="Q175">
        <f>IF(B175="Y",B175&amp;C175,"")</f>
        <v/>
      </c>
    </row>
    <row r="176">
      <c r="D176" s="5" t="n"/>
      <c r="J176">
        <f>IF(C176="BUY",Ввод!B13,Ввод!B14)</f>
        <v/>
      </c>
      <c r="K176">
        <f>IF(C176="BUY",J176-E176,E176-J176)</f>
        <v/>
      </c>
      <c r="L176">
        <f>IF(B176="Y",K176*D176*Ввод!B6+H176+I176,0)</f>
        <v/>
      </c>
      <c r="M176">
        <f>IF(B176="Y",D176*Ввод!B6*J176/Ввод!B7,0)</f>
        <v/>
      </c>
      <c r="N176" s="5">
        <f>IF(B176="Y",ROUND(MIN(D176*Ввод!B19,D176*0.5),2),0)</f>
        <v/>
      </c>
      <c r="O176">
        <f>IF(B176&lt;&gt;"Y","НЕТ",IF(AND(Расчеты!B11="ДА",ABS(K176)&gt;=Ввод!B18),"ЧАСТИЧНО ЗАКРЫТЬ","ДЕРЖАТЬ"))</f>
        <v/>
      </c>
      <c r="P176">
        <f>IF(B176&lt;&gt;"Y",0,IFERROR((Ввод!B12-Расчеты!B3-Ввод!B15/2+Расчеты!B6)/(Расчеты!B4-Ввод!B12-Ввод!B15/2-Расчеты!B6),0))</f>
        <v/>
      </c>
      <c r="Q176">
        <f>IF(B176="Y",B176&amp;C176,"")</f>
        <v/>
      </c>
    </row>
    <row r="177">
      <c r="D177" s="5" t="n"/>
      <c r="J177">
        <f>IF(C177="BUY",Ввод!B13,Ввод!B14)</f>
        <v/>
      </c>
      <c r="K177">
        <f>IF(C177="BUY",J177-E177,E177-J177)</f>
        <v/>
      </c>
      <c r="L177">
        <f>IF(B177="Y",K177*D177*Ввод!B6+H177+I177,0)</f>
        <v/>
      </c>
      <c r="M177">
        <f>IF(B177="Y",D177*Ввод!B6*J177/Ввод!B7,0)</f>
        <v/>
      </c>
      <c r="N177" s="5">
        <f>IF(B177="Y",ROUND(MIN(D177*Ввод!B19,D177*0.5),2),0)</f>
        <v/>
      </c>
      <c r="O177">
        <f>IF(B177&lt;&gt;"Y","НЕТ",IF(AND(Расчеты!B11="ДА",ABS(K177)&gt;=Ввод!B18),"ЧАСТИЧНО ЗАКРЫТЬ","ДЕРЖАТЬ"))</f>
        <v/>
      </c>
      <c r="P177">
        <f>IF(B177&lt;&gt;"Y",0,IFERROR((Ввод!B12-Расчеты!B3-Ввод!B15/2+Расчеты!B6)/(Расчеты!B4-Ввод!B12-Ввод!B15/2-Расчеты!B6),0))</f>
        <v/>
      </c>
      <c r="Q177">
        <f>IF(B177="Y",B177&amp;C177,"")</f>
        <v/>
      </c>
    </row>
    <row r="178">
      <c r="D178" s="5" t="n"/>
      <c r="J178">
        <f>IF(C178="BUY",Ввод!B13,Ввод!B14)</f>
        <v/>
      </c>
      <c r="K178">
        <f>IF(C178="BUY",J178-E178,E178-J178)</f>
        <v/>
      </c>
      <c r="L178">
        <f>IF(B178="Y",K178*D178*Ввод!B6+H178+I178,0)</f>
        <v/>
      </c>
      <c r="M178">
        <f>IF(B178="Y",D178*Ввод!B6*J178/Ввод!B7,0)</f>
        <v/>
      </c>
      <c r="N178" s="5">
        <f>IF(B178="Y",ROUND(MIN(D178*Ввод!B19,D178*0.5),2),0)</f>
        <v/>
      </c>
      <c r="O178">
        <f>IF(B178&lt;&gt;"Y","НЕТ",IF(AND(Расчеты!B11="ДА",ABS(K178)&gt;=Ввод!B18),"ЧАСТИЧНО ЗАКРЫТЬ","ДЕРЖАТЬ"))</f>
        <v/>
      </c>
      <c r="P178">
        <f>IF(B178&lt;&gt;"Y",0,IFERROR((Ввод!B12-Расчеты!B3-Ввод!B15/2+Расчеты!B6)/(Расчеты!B4-Ввод!B12-Ввод!B15/2-Расчеты!B6),0))</f>
        <v/>
      </c>
      <c r="Q178">
        <f>IF(B178="Y",B178&amp;C178,"")</f>
        <v/>
      </c>
    </row>
    <row r="179">
      <c r="D179" s="5" t="n"/>
      <c r="J179">
        <f>IF(C179="BUY",Ввод!B13,Ввод!B14)</f>
        <v/>
      </c>
      <c r="K179">
        <f>IF(C179="BUY",J179-E179,E179-J179)</f>
        <v/>
      </c>
      <c r="L179">
        <f>IF(B179="Y",K179*D179*Ввод!B6+H179+I179,0)</f>
        <v/>
      </c>
      <c r="M179">
        <f>IF(B179="Y",D179*Ввод!B6*J179/Ввод!B7,0)</f>
        <v/>
      </c>
      <c r="N179" s="5">
        <f>IF(B179="Y",ROUND(MIN(D179*Ввод!B19,D179*0.5),2),0)</f>
        <v/>
      </c>
      <c r="O179">
        <f>IF(B179&lt;&gt;"Y","НЕТ",IF(AND(Расчеты!B11="ДА",ABS(K179)&gt;=Ввод!B18),"ЧАСТИЧНО ЗАКРЫТЬ","ДЕРЖАТЬ"))</f>
        <v/>
      </c>
      <c r="P179">
        <f>IF(B179&lt;&gt;"Y",0,IFERROR((Ввод!B12-Расчеты!B3-Ввод!B15/2+Расчеты!B6)/(Расчеты!B4-Ввод!B12-Ввод!B15/2-Расчеты!B6),0))</f>
        <v/>
      </c>
      <c r="Q179">
        <f>IF(B179="Y",B179&amp;C179,"")</f>
        <v/>
      </c>
    </row>
    <row r="180">
      <c r="D180" s="5" t="n"/>
      <c r="J180">
        <f>IF(C180="BUY",Ввод!B13,Ввод!B14)</f>
        <v/>
      </c>
      <c r="K180">
        <f>IF(C180="BUY",J180-E180,E180-J180)</f>
        <v/>
      </c>
      <c r="L180">
        <f>IF(B180="Y",K180*D180*Ввод!B6+H180+I180,0)</f>
        <v/>
      </c>
      <c r="M180">
        <f>IF(B180="Y",D180*Ввод!B6*J180/Ввод!B7,0)</f>
        <v/>
      </c>
      <c r="N180" s="5">
        <f>IF(B180="Y",ROUND(MIN(D180*Ввод!B19,D180*0.5),2),0)</f>
        <v/>
      </c>
      <c r="O180">
        <f>IF(B180&lt;&gt;"Y","НЕТ",IF(AND(Расчеты!B11="ДА",ABS(K180)&gt;=Ввод!B18),"ЧАСТИЧНО ЗАКРЫТЬ","ДЕРЖАТЬ"))</f>
        <v/>
      </c>
      <c r="P180">
        <f>IF(B180&lt;&gt;"Y",0,IFERROR((Ввод!B12-Расчеты!B3-Ввод!B15/2+Расчеты!B6)/(Расчеты!B4-Ввод!B12-Ввод!B15/2-Расчеты!B6),0))</f>
        <v/>
      </c>
      <c r="Q180">
        <f>IF(B180="Y",B180&amp;C180,"")</f>
        <v/>
      </c>
    </row>
    <row r="181">
      <c r="D181" s="5" t="n"/>
      <c r="J181">
        <f>IF(C181="BUY",Ввод!B13,Ввод!B14)</f>
        <v/>
      </c>
      <c r="K181">
        <f>IF(C181="BUY",J181-E181,E181-J181)</f>
        <v/>
      </c>
      <c r="L181">
        <f>IF(B181="Y",K181*D181*Ввод!B6+H181+I181,0)</f>
        <v/>
      </c>
      <c r="M181">
        <f>IF(B181="Y",D181*Ввод!B6*J181/Ввод!B7,0)</f>
        <v/>
      </c>
      <c r="N181" s="5">
        <f>IF(B181="Y",ROUND(MIN(D181*Ввод!B19,D181*0.5),2),0)</f>
        <v/>
      </c>
      <c r="O181">
        <f>IF(B181&lt;&gt;"Y","НЕТ",IF(AND(Расчеты!B11="ДА",ABS(K181)&gt;=Ввод!B18),"ЧАСТИЧНО ЗАКРЫТЬ","ДЕРЖАТЬ"))</f>
        <v/>
      </c>
      <c r="P181">
        <f>IF(B181&lt;&gt;"Y",0,IFERROR((Ввод!B12-Расчеты!B3-Ввод!B15/2+Расчеты!B6)/(Расчеты!B4-Ввод!B12-Ввод!B15/2-Расчеты!B6),0))</f>
        <v/>
      </c>
      <c r="Q181">
        <f>IF(B181="Y",B181&amp;C181,"")</f>
        <v/>
      </c>
    </row>
    <row r="182">
      <c r="D182" s="5" t="n"/>
      <c r="J182">
        <f>IF(C182="BUY",Ввод!B13,Ввод!B14)</f>
        <v/>
      </c>
      <c r="K182">
        <f>IF(C182="BUY",J182-E182,E182-J182)</f>
        <v/>
      </c>
      <c r="L182">
        <f>IF(B182="Y",K182*D182*Ввод!B6+H182+I182,0)</f>
        <v/>
      </c>
      <c r="M182">
        <f>IF(B182="Y",D182*Ввод!B6*J182/Ввод!B7,0)</f>
        <v/>
      </c>
      <c r="N182" s="5">
        <f>IF(B182="Y",ROUND(MIN(D182*Ввод!B19,D182*0.5),2),0)</f>
        <v/>
      </c>
      <c r="O182">
        <f>IF(B182&lt;&gt;"Y","НЕТ",IF(AND(Расчеты!B11="ДА",ABS(K182)&gt;=Ввод!B18),"ЧАСТИЧНО ЗАКРЫТЬ","ДЕРЖАТЬ"))</f>
        <v/>
      </c>
      <c r="P182">
        <f>IF(B182&lt;&gt;"Y",0,IFERROR((Ввод!B12-Расчеты!B3-Ввод!B15/2+Расчеты!B6)/(Расчеты!B4-Ввод!B12-Ввод!B15/2-Расчеты!B6),0))</f>
        <v/>
      </c>
      <c r="Q182">
        <f>IF(B182="Y",B182&amp;C182,"")</f>
        <v/>
      </c>
    </row>
    <row r="183">
      <c r="D183" s="5" t="n"/>
      <c r="J183">
        <f>IF(C183="BUY",Ввод!B13,Ввод!B14)</f>
        <v/>
      </c>
      <c r="K183">
        <f>IF(C183="BUY",J183-E183,E183-J183)</f>
        <v/>
      </c>
      <c r="L183">
        <f>IF(B183="Y",K183*D183*Ввод!B6+H183+I183,0)</f>
        <v/>
      </c>
      <c r="M183">
        <f>IF(B183="Y",D183*Ввод!B6*J183/Ввод!B7,0)</f>
        <v/>
      </c>
      <c r="N183" s="5">
        <f>IF(B183="Y",ROUND(MIN(D183*Ввод!B19,D183*0.5),2),0)</f>
        <v/>
      </c>
      <c r="O183">
        <f>IF(B183&lt;&gt;"Y","НЕТ",IF(AND(Расчеты!B11="ДА",ABS(K183)&gt;=Ввод!B18),"ЧАСТИЧНО ЗАКРЫТЬ","ДЕРЖАТЬ"))</f>
        <v/>
      </c>
      <c r="P183">
        <f>IF(B183&lt;&gt;"Y",0,IFERROR((Ввод!B12-Расчеты!B3-Ввод!B15/2+Расчеты!B6)/(Расчеты!B4-Ввод!B12-Ввод!B15/2-Расчеты!B6),0))</f>
        <v/>
      </c>
      <c r="Q183">
        <f>IF(B183="Y",B183&amp;C183,"")</f>
        <v/>
      </c>
    </row>
    <row r="184">
      <c r="D184" s="5" t="n"/>
      <c r="J184">
        <f>IF(C184="BUY",Ввод!B13,Ввод!B14)</f>
        <v/>
      </c>
      <c r="K184">
        <f>IF(C184="BUY",J184-E184,E184-J184)</f>
        <v/>
      </c>
      <c r="L184">
        <f>IF(B184="Y",K184*D184*Ввод!B6+H184+I184,0)</f>
        <v/>
      </c>
      <c r="M184">
        <f>IF(B184="Y",D184*Ввод!B6*J184/Ввод!B7,0)</f>
        <v/>
      </c>
      <c r="N184" s="5">
        <f>IF(B184="Y",ROUND(MIN(D184*Ввод!B19,D184*0.5),2),0)</f>
        <v/>
      </c>
      <c r="O184">
        <f>IF(B184&lt;&gt;"Y","НЕТ",IF(AND(Расчеты!B11="ДА",ABS(K184)&gt;=Ввод!B18),"ЧАСТИЧНО ЗАКРЫТЬ","ДЕРЖАТЬ"))</f>
        <v/>
      </c>
      <c r="P184">
        <f>IF(B184&lt;&gt;"Y",0,IFERROR((Ввод!B12-Расчеты!B3-Ввод!B15/2+Расчеты!B6)/(Расчеты!B4-Ввод!B12-Ввод!B15/2-Расчеты!B6),0))</f>
        <v/>
      </c>
      <c r="Q184">
        <f>IF(B184="Y",B184&amp;C184,"")</f>
        <v/>
      </c>
    </row>
    <row r="185">
      <c r="D185" s="5" t="n"/>
      <c r="J185">
        <f>IF(C185="BUY",Ввод!B13,Ввод!B14)</f>
        <v/>
      </c>
      <c r="K185">
        <f>IF(C185="BUY",J185-E185,E185-J185)</f>
        <v/>
      </c>
      <c r="L185">
        <f>IF(B185="Y",K185*D185*Ввод!B6+H185+I185,0)</f>
        <v/>
      </c>
      <c r="M185">
        <f>IF(B185="Y",D185*Ввод!B6*J185/Ввод!B7,0)</f>
        <v/>
      </c>
      <c r="N185" s="5">
        <f>IF(B185="Y",ROUND(MIN(D185*Ввод!B19,D185*0.5),2),0)</f>
        <v/>
      </c>
      <c r="O185">
        <f>IF(B185&lt;&gt;"Y","НЕТ",IF(AND(Расчеты!B11="ДА",ABS(K185)&gt;=Ввод!B18),"ЧАСТИЧНО ЗАКРЫТЬ","ДЕРЖАТЬ"))</f>
        <v/>
      </c>
      <c r="P185">
        <f>IF(B185&lt;&gt;"Y",0,IFERROR((Ввод!B12-Расчеты!B3-Ввод!B15/2+Расчеты!B6)/(Расчеты!B4-Ввод!B12-Ввод!B15/2-Расчеты!B6),0))</f>
        <v/>
      </c>
      <c r="Q185">
        <f>IF(B185="Y",B185&amp;C185,"")</f>
        <v/>
      </c>
    </row>
    <row r="186">
      <c r="D186" s="5" t="n"/>
      <c r="J186">
        <f>IF(C186="BUY",Ввод!B13,Ввод!B14)</f>
        <v/>
      </c>
      <c r="K186">
        <f>IF(C186="BUY",J186-E186,E186-J186)</f>
        <v/>
      </c>
      <c r="L186">
        <f>IF(B186="Y",K186*D186*Ввод!B6+H186+I186,0)</f>
        <v/>
      </c>
      <c r="M186">
        <f>IF(B186="Y",D186*Ввод!B6*J186/Ввод!B7,0)</f>
        <v/>
      </c>
      <c r="N186" s="5">
        <f>IF(B186="Y",ROUND(MIN(D186*Ввод!B19,D186*0.5),2),0)</f>
        <v/>
      </c>
      <c r="O186">
        <f>IF(B186&lt;&gt;"Y","НЕТ",IF(AND(Расчеты!B11="ДА",ABS(K186)&gt;=Ввод!B18),"ЧАСТИЧНО ЗАКРЫТЬ","ДЕРЖАТЬ"))</f>
        <v/>
      </c>
      <c r="P186">
        <f>IF(B186&lt;&gt;"Y",0,IFERROR((Ввод!B12-Расчеты!B3-Ввод!B15/2+Расчеты!B6)/(Расчеты!B4-Ввод!B12-Ввод!B15/2-Расчеты!B6),0))</f>
        <v/>
      </c>
      <c r="Q186">
        <f>IF(B186="Y",B186&amp;C186,"")</f>
        <v/>
      </c>
    </row>
    <row r="187">
      <c r="D187" s="5" t="n"/>
      <c r="J187">
        <f>IF(C187="BUY",Ввод!B13,Ввод!B14)</f>
        <v/>
      </c>
      <c r="K187">
        <f>IF(C187="BUY",J187-E187,E187-J187)</f>
        <v/>
      </c>
      <c r="L187">
        <f>IF(B187="Y",K187*D187*Ввод!B6+H187+I187,0)</f>
        <v/>
      </c>
      <c r="M187">
        <f>IF(B187="Y",D187*Ввод!B6*J187/Ввод!B7,0)</f>
        <v/>
      </c>
      <c r="N187" s="5">
        <f>IF(B187="Y",ROUND(MIN(D187*Ввод!B19,D187*0.5),2),0)</f>
        <v/>
      </c>
      <c r="O187">
        <f>IF(B187&lt;&gt;"Y","НЕТ",IF(AND(Расчеты!B11="ДА",ABS(K187)&gt;=Ввод!B18),"ЧАСТИЧНО ЗАКРЫТЬ","ДЕРЖАТЬ"))</f>
        <v/>
      </c>
      <c r="P187">
        <f>IF(B187&lt;&gt;"Y",0,IFERROR((Ввод!B12-Расчеты!B3-Ввод!B15/2+Расчеты!B6)/(Расчеты!B4-Ввод!B12-Ввод!B15/2-Расчеты!B6),0))</f>
        <v/>
      </c>
      <c r="Q187">
        <f>IF(B187="Y",B187&amp;C187,"")</f>
        <v/>
      </c>
    </row>
    <row r="188">
      <c r="D188" s="5" t="n"/>
      <c r="J188">
        <f>IF(C188="BUY",Ввод!B13,Ввод!B14)</f>
        <v/>
      </c>
      <c r="K188">
        <f>IF(C188="BUY",J188-E188,E188-J188)</f>
        <v/>
      </c>
      <c r="L188">
        <f>IF(B188="Y",K188*D188*Ввод!B6+H188+I188,0)</f>
        <v/>
      </c>
      <c r="M188">
        <f>IF(B188="Y",D188*Ввод!B6*J188/Ввод!B7,0)</f>
        <v/>
      </c>
      <c r="N188" s="5">
        <f>IF(B188="Y",ROUND(MIN(D188*Ввод!B19,D188*0.5),2),0)</f>
        <v/>
      </c>
      <c r="O188">
        <f>IF(B188&lt;&gt;"Y","НЕТ",IF(AND(Расчеты!B11="ДА",ABS(K188)&gt;=Ввод!B18),"ЧАСТИЧНО ЗАКРЫТЬ","ДЕРЖАТЬ"))</f>
        <v/>
      </c>
      <c r="P188">
        <f>IF(B188&lt;&gt;"Y",0,IFERROR((Ввод!B12-Расчеты!B3-Ввод!B15/2+Расчеты!B6)/(Расчеты!B4-Ввод!B12-Ввод!B15/2-Расчеты!B6),0))</f>
        <v/>
      </c>
      <c r="Q188">
        <f>IF(B188="Y",B188&amp;C188,"")</f>
        <v/>
      </c>
    </row>
    <row r="189">
      <c r="D189" s="5" t="n"/>
      <c r="J189">
        <f>IF(C189="BUY",Ввод!B13,Ввод!B14)</f>
        <v/>
      </c>
      <c r="K189">
        <f>IF(C189="BUY",J189-E189,E189-J189)</f>
        <v/>
      </c>
      <c r="L189">
        <f>IF(B189="Y",K189*D189*Ввод!B6+H189+I189,0)</f>
        <v/>
      </c>
      <c r="M189">
        <f>IF(B189="Y",D189*Ввод!B6*J189/Ввод!B7,0)</f>
        <v/>
      </c>
      <c r="N189" s="5">
        <f>IF(B189="Y",ROUND(MIN(D189*Ввод!B19,D189*0.5),2),0)</f>
        <v/>
      </c>
      <c r="O189">
        <f>IF(B189&lt;&gt;"Y","НЕТ",IF(AND(Расчеты!B11="ДА",ABS(K189)&gt;=Ввод!B18),"ЧАСТИЧНО ЗАКРЫТЬ","ДЕРЖАТЬ"))</f>
        <v/>
      </c>
      <c r="P189">
        <f>IF(B189&lt;&gt;"Y",0,IFERROR((Ввод!B12-Расчеты!B3-Ввод!B15/2+Расчеты!B6)/(Расчеты!B4-Ввод!B12-Ввод!B15/2-Расчеты!B6),0))</f>
        <v/>
      </c>
      <c r="Q189">
        <f>IF(B189="Y",B189&amp;C189,"")</f>
        <v/>
      </c>
    </row>
    <row r="190">
      <c r="D190" s="5" t="n"/>
      <c r="J190">
        <f>IF(C190="BUY",Ввод!B13,Ввод!B14)</f>
        <v/>
      </c>
      <c r="K190">
        <f>IF(C190="BUY",J190-E190,E190-J190)</f>
        <v/>
      </c>
      <c r="L190">
        <f>IF(B190="Y",K190*D190*Ввод!B6+H190+I190,0)</f>
        <v/>
      </c>
      <c r="M190">
        <f>IF(B190="Y",D190*Ввод!B6*J190/Ввод!B7,0)</f>
        <v/>
      </c>
      <c r="N190" s="5">
        <f>IF(B190="Y",ROUND(MIN(D190*Ввод!B19,D190*0.5),2),0)</f>
        <v/>
      </c>
      <c r="O190">
        <f>IF(B190&lt;&gt;"Y","НЕТ",IF(AND(Расчеты!B11="ДА",ABS(K190)&gt;=Ввод!B18),"ЧАСТИЧНО ЗАКРЫТЬ","ДЕРЖАТЬ"))</f>
        <v/>
      </c>
      <c r="P190">
        <f>IF(B190&lt;&gt;"Y",0,IFERROR((Ввод!B12-Расчеты!B3-Ввод!B15/2+Расчеты!B6)/(Расчеты!B4-Ввод!B12-Ввод!B15/2-Расчеты!B6),0))</f>
        <v/>
      </c>
      <c r="Q190">
        <f>IF(B190="Y",B190&amp;C190,"")</f>
        <v/>
      </c>
    </row>
    <row r="191">
      <c r="D191" s="5" t="n"/>
      <c r="J191">
        <f>IF(C191="BUY",Ввод!B13,Ввод!B14)</f>
        <v/>
      </c>
      <c r="K191">
        <f>IF(C191="BUY",J191-E191,E191-J191)</f>
        <v/>
      </c>
      <c r="L191">
        <f>IF(B191="Y",K191*D191*Ввод!B6+H191+I191,0)</f>
        <v/>
      </c>
      <c r="M191">
        <f>IF(B191="Y",D191*Ввод!B6*J191/Ввод!B7,0)</f>
        <v/>
      </c>
      <c r="N191" s="5">
        <f>IF(B191="Y",ROUND(MIN(D191*Ввод!B19,D191*0.5),2),0)</f>
        <v/>
      </c>
      <c r="O191">
        <f>IF(B191&lt;&gt;"Y","НЕТ",IF(AND(Расчеты!B11="ДА",ABS(K191)&gt;=Ввод!B18),"ЧАСТИЧНО ЗАКРЫТЬ","ДЕРЖАТЬ"))</f>
        <v/>
      </c>
      <c r="P191">
        <f>IF(B191&lt;&gt;"Y",0,IFERROR((Ввод!B12-Расчеты!B3-Ввод!B15/2+Расчеты!B6)/(Расчеты!B4-Ввод!B12-Ввод!B15/2-Расчеты!B6),0))</f>
        <v/>
      </c>
      <c r="Q191">
        <f>IF(B191="Y",B191&amp;C191,"")</f>
        <v/>
      </c>
    </row>
    <row r="192">
      <c r="D192" s="5" t="n"/>
      <c r="J192">
        <f>IF(C192="BUY",Ввод!B13,Ввод!B14)</f>
        <v/>
      </c>
      <c r="K192">
        <f>IF(C192="BUY",J192-E192,E192-J192)</f>
        <v/>
      </c>
      <c r="L192">
        <f>IF(B192="Y",K192*D192*Ввод!B6+H192+I192,0)</f>
        <v/>
      </c>
      <c r="M192">
        <f>IF(B192="Y",D192*Ввод!B6*J192/Ввод!B7,0)</f>
        <v/>
      </c>
      <c r="N192" s="5">
        <f>IF(B192="Y",ROUND(MIN(D192*Ввод!B19,D192*0.5),2),0)</f>
        <v/>
      </c>
      <c r="O192">
        <f>IF(B192&lt;&gt;"Y","НЕТ",IF(AND(Расчеты!B11="ДА",ABS(K192)&gt;=Ввод!B18),"ЧАСТИЧНО ЗАКРЫТЬ","ДЕРЖАТЬ"))</f>
        <v/>
      </c>
      <c r="P192">
        <f>IF(B192&lt;&gt;"Y",0,IFERROR((Ввод!B12-Расчеты!B3-Ввод!B15/2+Расчеты!B6)/(Расчеты!B4-Ввод!B12-Ввод!B15/2-Расчеты!B6),0))</f>
        <v/>
      </c>
      <c r="Q192">
        <f>IF(B192="Y",B192&amp;C192,"")</f>
        <v/>
      </c>
    </row>
    <row r="193">
      <c r="D193" s="5" t="n"/>
      <c r="J193">
        <f>IF(C193="BUY",Ввод!B13,Ввод!B14)</f>
        <v/>
      </c>
      <c r="K193">
        <f>IF(C193="BUY",J193-E193,E193-J193)</f>
        <v/>
      </c>
      <c r="L193">
        <f>IF(B193="Y",K193*D193*Ввод!B6+H193+I193,0)</f>
        <v/>
      </c>
      <c r="M193">
        <f>IF(B193="Y",D193*Ввод!B6*J193/Ввод!B7,0)</f>
        <v/>
      </c>
      <c r="N193" s="5">
        <f>IF(B193="Y",ROUND(MIN(D193*Ввод!B19,D193*0.5),2),0)</f>
        <v/>
      </c>
      <c r="O193">
        <f>IF(B193&lt;&gt;"Y","НЕТ",IF(AND(Расчеты!B11="ДА",ABS(K193)&gt;=Ввод!B18),"ЧАСТИЧНО ЗАКРЫТЬ","ДЕРЖАТЬ"))</f>
        <v/>
      </c>
      <c r="P193">
        <f>IF(B193&lt;&gt;"Y",0,IFERROR((Ввод!B12-Расчеты!B3-Ввод!B15/2+Расчеты!B6)/(Расчеты!B4-Ввод!B12-Ввод!B15/2-Расчеты!B6),0))</f>
        <v/>
      </c>
      <c r="Q193">
        <f>IF(B193="Y",B193&amp;C193,"")</f>
        <v/>
      </c>
    </row>
    <row r="194">
      <c r="D194" s="5" t="n"/>
      <c r="J194">
        <f>IF(C194="BUY",Ввод!B13,Ввод!B14)</f>
        <v/>
      </c>
      <c r="K194">
        <f>IF(C194="BUY",J194-E194,E194-J194)</f>
        <v/>
      </c>
      <c r="L194">
        <f>IF(B194="Y",K194*D194*Ввод!B6+H194+I194,0)</f>
        <v/>
      </c>
      <c r="M194">
        <f>IF(B194="Y",D194*Ввод!B6*J194/Ввод!B7,0)</f>
        <v/>
      </c>
      <c r="N194" s="5">
        <f>IF(B194="Y",ROUND(MIN(D194*Ввод!B19,D194*0.5),2),0)</f>
        <v/>
      </c>
      <c r="O194">
        <f>IF(B194&lt;&gt;"Y","НЕТ",IF(AND(Расчеты!B11="ДА",ABS(K194)&gt;=Ввод!B18),"ЧАСТИЧНО ЗАКРЫТЬ","ДЕРЖАТЬ"))</f>
        <v/>
      </c>
      <c r="P194">
        <f>IF(B194&lt;&gt;"Y",0,IFERROR((Ввод!B12-Расчеты!B3-Ввод!B15/2+Расчеты!B6)/(Расчеты!B4-Ввод!B12-Ввод!B15/2-Расчеты!B6),0))</f>
        <v/>
      </c>
      <c r="Q194">
        <f>IF(B194="Y",B194&amp;C194,"")</f>
        <v/>
      </c>
    </row>
    <row r="195">
      <c r="D195" s="5" t="n"/>
      <c r="J195">
        <f>IF(C195="BUY",Ввод!B13,Ввод!B14)</f>
        <v/>
      </c>
      <c r="K195">
        <f>IF(C195="BUY",J195-E195,E195-J195)</f>
        <v/>
      </c>
      <c r="L195">
        <f>IF(B195="Y",K195*D195*Ввод!B6+H195+I195,0)</f>
        <v/>
      </c>
      <c r="M195">
        <f>IF(B195="Y",D195*Ввод!B6*J195/Ввод!B7,0)</f>
        <v/>
      </c>
      <c r="N195" s="5">
        <f>IF(B195="Y",ROUND(MIN(D195*Ввод!B19,D195*0.5),2),0)</f>
        <v/>
      </c>
      <c r="O195">
        <f>IF(B195&lt;&gt;"Y","НЕТ",IF(AND(Расчеты!B11="ДА",ABS(K195)&gt;=Ввод!B18),"ЧАСТИЧНО ЗАКРЫТЬ","ДЕРЖАТЬ"))</f>
        <v/>
      </c>
      <c r="P195">
        <f>IF(B195&lt;&gt;"Y",0,IFERROR((Ввод!B12-Расчеты!B3-Ввод!B15/2+Расчеты!B6)/(Расчеты!B4-Ввод!B12-Ввод!B15/2-Расчеты!B6),0))</f>
        <v/>
      </c>
      <c r="Q195">
        <f>IF(B195="Y",B195&amp;C195,"")</f>
        <v/>
      </c>
    </row>
    <row r="196">
      <c r="D196" s="5" t="n"/>
      <c r="J196">
        <f>IF(C196="BUY",Ввод!B13,Ввод!B14)</f>
        <v/>
      </c>
      <c r="K196">
        <f>IF(C196="BUY",J196-E196,E196-J196)</f>
        <v/>
      </c>
      <c r="L196">
        <f>IF(B196="Y",K196*D196*Ввод!B6+H196+I196,0)</f>
        <v/>
      </c>
      <c r="M196">
        <f>IF(B196="Y",D196*Ввод!B6*J196/Ввод!B7,0)</f>
        <v/>
      </c>
      <c r="N196" s="5">
        <f>IF(B196="Y",ROUND(MIN(D196*Ввод!B19,D196*0.5),2),0)</f>
        <v/>
      </c>
      <c r="O196">
        <f>IF(B196&lt;&gt;"Y","НЕТ",IF(AND(Расчеты!B11="ДА",ABS(K196)&gt;=Ввод!B18),"ЧАСТИЧНО ЗАКРЫТЬ","ДЕРЖАТЬ"))</f>
        <v/>
      </c>
      <c r="P196">
        <f>IF(B196&lt;&gt;"Y",0,IFERROR((Ввод!B12-Расчеты!B3-Ввод!B15/2+Расчеты!B6)/(Расчеты!B4-Ввод!B12-Ввод!B15/2-Расчеты!B6),0))</f>
        <v/>
      </c>
      <c r="Q196">
        <f>IF(B196="Y",B196&amp;C196,"")</f>
        <v/>
      </c>
    </row>
    <row r="197">
      <c r="D197" s="5" t="n"/>
      <c r="J197">
        <f>IF(C197="BUY",Ввод!B13,Ввод!B14)</f>
        <v/>
      </c>
      <c r="K197">
        <f>IF(C197="BUY",J197-E197,E197-J197)</f>
        <v/>
      </c>
      <c r="L197">
        <f>IF(B197="Y",K197*D197*Ввод!B6+H197+I197,0)</f>
        <v/>
      </c>
      <c r="M197">
        <f>IF(B197="Y",D197*Ввод!B6*J197/Ввод!B7,0)</f>
        <v/>
      </c>
      <c r="N197" s="5">
        <f>IF(B197="Y",ROUND(MIN(D197*Ввод!B19,D197*0.5),2),0)</f>
        <v/>
      </c>
      <c r="O197">
        <f>IF(B197&lt;&gt;"Y","НЕТ",IF(AND(Расчеты!B11="ДА",ABS(K197)&gt;=Ввод!B18),"ЧАСТИЧНО ЗАКРЫТЬ","ДЕРЖАТЬ"))</f>
        <v/>
      </c>
      <c r="P197">
        <f>IF(B197&lt;&gt;"Y",0,IFERROR((Ввод!B12-Расчеты!B3-Ввод!B15/2+Расчеты!B6)/(Расчеты!B4-Ввод!B12-Ввод!B15/2-Расчеты!B6),0))</f>
        <v/>
      </c>
      <c r="Q197">
        <f>IF(B197="Y",B197&amp;C197,"")</f>
        <v/>
      </c>
    </row>
    <row r="198">
      <c r="D198" s="5" t="n"/>
      <c r="J198">
        <f>IF(C198="BUY",Ввод!B13,Ввод!B14)</f>
        <v/>
      </c>
      <c r="K198">
        <f>IF(C198="BUY",J198-E198,E198-J198)</f>
        <v/>
      </c>
      <c r="L198">
        <f>IF(B198="Y",K198*D198*Ввод!B6+H198+I198,0)</f>
        <v/>
      </c>
      <c r="M198">
        <f>IF(B198="Y",D198*Ввод!B6*J198/Ввод!B7,0)</f>
        <v/>
      </c>
      <c r="N198" s="5">
        <f>IF(B198="Y",ROUND(MIN(D198*Ввод!B19,D198*0.5),2),0)</f>
        <v/>
      </c>
      <c r="O198">
        <f>IF(B198&lt;&gt;"Y","НЕТ",IF(AND(Расчеты!B11="ДА",ABS(K198)&gt;=Ввод!B18),"ЧАСТИЧНО ЗАКРЫТЬ","ДЕРЖАТЬ"))</f>
        <v/>
      </c>
      <c r="P198">
        <f>IF(B198&lt;&gt;"Y",0,IFERROR((Ввод!B12-Расчеты!B3-Ввод!B15/2+Расчеты!B6)/(Расчеты!B4-Ввод!B12-Ввод!B15/2-Расчеты!B6),0))</f>
        <v/>
      </c>
      <c r="Q198">
        <f>IF(B198="Y",B198&amp;C198,"")</f>
        <v/>
      </c>
    </row>
    <row r="199">
      <c r="D199" s="5" t="n"/>
      <c r="J199">
        <f>IF(C199="BUY",Ввод!B13,Ввод!B14)</f>
        <v/>
      </c>
      <c r="K199">
        <f>IF(C199="BUY",J199-E199,E199-J199)</f>
        <v/>
      </c>
      <c r="L199">
        <f>IF(B199="Y",K199*D199*Ввод!B6+H199+I199,0)</f>
        <v/>
      </c>
      <c r="M199">
        <f>IF(B199="Y",D199*Ввод!B6*J199/Ввод!B7,0)</f>
        <v/>
      </c>
      <c r="N199" s="5">
        <f>IF(B199="Y",ROUND(MIN(D199*Ввод!B19,D199*0.5),2),0)</f>
        <v/>
      </c>
      <c r="O199">
        <f>IF(B199&lt;&gt;"Y","НЕТ",IF(AND(Расчеты!B11="ДА",ABS(K199)&gt;=Ввод!B18),"ЧАСТИЧНО ЗАКРЫТЬ","ДЕРЖАТЬ"))</f>
        <v/>
      </c>
      <c r="P199">
        <f>IF(B199&lt;&gt;"Y",0,IFERROR((Ввод!B12-Расчеты!B3-Ввод!B15/2+Расчеты!B6)/(Расчеты!B4-Ввод!B12-Ввод!B15/2-Расчеты!B6),0))</f>
        <v/>
      </c>
      <c r="Q199">
        <f>IF(B199="Y",B199&amp;C199,"")</f>
        <v/>
      </c>
    </row>
    <row r="200">
      <c r="D200" s="5" t="n"/>
      <c r="J200">
        <f>IF(C200="BUY",Ввод!B13,Ввод!B14)</f>
        <v/>
      </c>
      <c r="K200">
        <f>IF(C200="BUY",J200-E200,E200-J200)</f>
        <v/>
      </c>
      <c r="L200">
        <f>IF(B200="Y",K200*D200*Ввод!B6+H200+I200,0)</f>
        <v/>
      </c>
      <c r="M200">
        <f>IF(B200="Y",D200*Ввод!B6*J200/Ввод!B7,0)</f>
        <v/>
      </c>
      <c r="N200" s="5">
        <f>IF(B200="Y",ROUND(MIN(D200*Ввод!B19,D200*0.5),2),0)</f>
        <v/>
      </c>
      <c r="O200">
        <f>IF(B200&lt;&gt;"Y","НЕТ",IF(AND(Расчеты!B11="ДА",ABS(K200)&gt;=Ввод!B18),"ЧАСТИЧНО ЗАКРЫТЬ","ДЕРЖАТЬ"))</f>
        <v/>
      </c>
      <c r="P200">
        <f>IF(B200&lt;&gt;"Y",0,IFERROR((Ввод!B12-Расчеты!B3-Ввод!B15/2+Расчеты!B6)/(Расчеты!B4-Ввод!B12-Ввод!B15/2-Расчеты!B6),0))</f>
        <v/>
      </c>
      <c r="Q200">
        <f>IF(B200="Y",B200&amp;C200,"")</f>
        <v/>
      </c>
    </row>
    <row r="201">
      <c r="D201" s="5" t="n"/>
      <c r="J201">
        <f>IF(C201="BUY",Ввод!B13,Ввод!B14)</f>
        <v/>
      </c>
      <c r="K201">
        <f>IF(C201="BUY",J201-E201,E201-J201)</f>
        <v/>
      </c>
      <c r="L201">
        <f>IF(B201="Y",K201*D201*Ввод!B6+H201+I201,0)</f>
        <v/>
      </c>
      <c r="M201">
        <f>IF(B201="Y",D201*Ввод!B6*J201/Ввод!B7,0)</f>
        <v/>
      </c>
      <c r="N201" s="5">
        <f>IF(B201="Y",ROUND(MIN(D201*Ввод!B19,D201*0.5),2),0)</f>
        <v/>
      </c>
      <c r="O201">
        <f>IF(B201&lt;&gt;"Y","НЕТ",IF(AND(Расчеты!B11="ДА",ABS(K201)&gt;=Ввод!B18),"ЧАСТИЧНО ЗАКРЫТЬ","ДЕРЖАТЬ"))</f>
        <v/>
      </c>
      <c r="P201">
        <f>IF(B201&lt;&gt;"Y",0,IFERROR((Ввод!B12-Расчеты!B3-Ввод!B15/2+Расчеты!B6)/(Расчеты!B4-Ввод!B12-Ввод!B15/2-Расчеты!B6),0))</f>
        <v/>
      </c>
      <c r="Q201">
        <f>IF(B201="Y",B201&amp;C201,"")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>
      <c r="A1" s="2" t="inlineStr">
        <is>
          <t>Сумма BUY лотов</t>
        </is>
      </c>
      <c r="B1">
        <f>SUMIFS(Позиции!D2:D201,Позиции!C2:C201,"BUY",Позиции!B2:B201,"Y")</f>
        <v/>
      </c>
    </row>
    <row r="2">
      <c r="A2" s="2" t="inlineStr">
        <is>
          <t>Сумма SELL лотов</t>
        </is>
      </c>
      <c r="B2">
        <f>SUMIFS(Позиции!D2:D201,Позиции!C2:C201,"SELL",Позиции!B2:B201,"Y")</f>
        <v/>
      </c>
    </row>
    <row r="3">
      <c r="A3" s="2" t="inlineStr">
        <is>
          <t>Средняя цена BUY</t>
        </is>
      </c>
      <c r="B3">
        <f>IF(B1=0,0,SUMPRODUCT((Позиции!C2:C201="BUY")*(Позиции!B2:B201="Y")*Позиции!D2:D201*Позиции!E2:E201)/B1)</f>
        <v/>
      </c>
    </row>
    <row r="4">
      <c r="A4" s="2" t="inlineStr">
        <is>
          <t>Средняя цена SELL</t>
        </is>
      </c>
      <c r="B4">
        <f>IF(B2=0,0,SUMPRODUCT((Позиции!C2:C201="SELL")*(Позиции!B2:B201="Y")*Позиции!D2:D201*Позиции!E2:E201)/B2)</f>
        <v/>
      </c>
    </row>
    <row r="5">
      <c r="A5" s="2" t="inlineStr">
        <is>
          <t>P_avg</t>
        </is>
      </c>
      <c r="B5">
        <f>IF(B1+B2=0,0,(B1*B3+B2*B4)/(B1+B2))</f>
        <v/>
      </c>
    </row>
    <row r="6">
      <c r="A6" s="2" t="inlineStr">
        <is>
          <t>δ = S + α*ATR</t>
        </is>
      </c>
      <c r="B6">
        <f>Ввод!B15 + Ввод!B17*Ввод!B16</f>
        <v/>
      </c>
    </row>
    <row r="7">
      <c r="A7" s="2" t="inlineStr">
        <is>
          <t>Левая часть survival: δ*Ls</t>
        </is>
      </c>
      <c r="B7">
        <f>B6*B2</f>
        <v/>
      </c>
    </row>
    <row r="8">
      <c r="A8" s="2" t="inlineStr">
        <is>
          <t>Правая часть survival: Δ*Lb</t>
        </is>
      </c>
      <c r="B8">
        <f>Ввод!B18*B1</f>
        <v/>
      </c>
    </row>
    <row r="9">
      <c r="A9" s="2" t="inlineStr">
        <is>
          <t>Условие survival</t>
        </is>
      </c>
      <c r="B9">
        <f>IF(B7&gt;B8,"OK","FAIL")</f>
        <v/>
      </c>
    </row>
    <row r="10">
      <c r="A10" s="2" t="inlineStr">
        <is>
          <t>|P-P_avg|</t>
        </is>
      </c>
      <c r="B10">
        <f>ABS(Ввод!B12-B5)</f>
        <v/>
      </c>
    </row>
    <row r="11">
      <c r="A11" s="2" t="inlineStr">
        <is>
          <t>Триггер |P-P_avg|&gt;Δ</t>
        </is>
      </c>
      <c r="B11">
        <f>IF(B10&gt;Ввод!B18,"ДА","НЕТ")</f>
        <v/>
      </c>
    </row>
    <row r="12">
      <c r="A12" s="2" t="inlineStr">
        <is>
          <t>Общий плавающий P/L</t>
        </is>
      </c>
      <c r="B12">
        <f>SUM(Позиции!L2:L201)</f>
        <v/>
      </c>
    </row>
    <row r="13">
      <c r="A13" s="2" t="inlineStr">
        <is>
          <t>Общая маржа</t>
        </is>
      </c>
      <c r="B13">
        <f>SUM(Позиции!M2:M201)</f>
        <v/>
      </c>
    </row>
    <row r="14">
      <c r="A14" s="2" t="inlineStr">
        <is>
          <t>Нагрузка на депозит, %</t>
        </is>
      </c>
      <c r="B14">
        <f>IF(Ввод!B9=0,0,B13/Ввод!B9*100)</f>
        <v/>
      </c>
    </row>
    <row r="15">
      <c r="A15" s="2" t="inlineStr">
        <is>
          <t>Чистая экспозиция (BUY-SELL)</t>
        </is>
      </c>
      <c r="B15">
        <f>B1-B2</f>
        <v/>
      </c>
    </row>
    <row r="16">
      <c r="A16" s="2" t="inlineStr">
        <is>
          <t>Текущая просадка от баланса, %</t>
        </is>
      </c>
      <c r="B16">
        <f>IF(Ввод!B9=0,0,(B12/Ввод!B9)*100)</f>
        <v/>
      </c>
    </row>
    <row r="17">
      <c r="A17" s="2" t="inlineStr">
        <is>
          <t>ID первой активной BUY</t>
        </is>
      </c>
      <c r="B17">
        <f>IFERROR(INDEX(Позиции!A$2:A$201,MATCH("YBUY",Позиции!Q$2:Q$201,0)),"НЕТ")</f>
        <v/>
      </c>
    </row>
    <row r="18">
      <c r="A18" s="2" t="inlineStr">
        <is>
          <t>ID первой активной SELL</t>
        </is>
      </c>
      <c r="B18">
        <f>IFERROR(INDEX(Позиции!A$2:A$201,MATCH("YSELL",Позиции!Q$2:Q$201,0)),"НЕТ")</f>
        <v/>
      </c>
    </row>
    <row r="19">
      <c r="A19" s="2" t="inlineStr">
        <is>
          <t>Лот выбранной BUY</t>
        </is>
      </c>
      <c r="B19">
        <f>IFERROR(INDEX(Позиции!D$2:D$201,MATCH(B17,Позиции!A$2:A$201,0)),0)</f>
        <v/>
      </c>
    </row>
    <row r="20">
      <c r="A20" s="2" t="inlineStr">
        <is>
          <t>Лот выбранной SELL</t>
        </is>
      </c>
      <c r="B20">
        <f>IFERROR(INDEX(Позиции!D$2:D$201,MATCH(B18,Позиции!A$2:A$201,0)),0)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>
      <c r="A1" s="6" t="inlineStr">
        <is>
          <t>Сценарий</t>
        </is>
      </c>
      <c r="B1" s="6" t="inlineStr">
        <is>
          <t>Целевая цена</t>
        </is>
      </c>
      <c r="C1" s="6" t="inlineStr">
        <is>
          <t>ID Позиции</t>
        </is>
      </c>
      <c r="D1" s="6" t="inlineStr">
        <is>
          <t>Для BUY/SELL</t>
        </is>
      </c>
      <c r="E1" s="6" t="inlineStr">
        <is>
          <t>Направление шага</t>
        </is>
      </c>
      <c r="F1" s="6" t="inlineStr">
        <is>
          <t>Рекоменд. лот</t>
        </is>
      </c>
      <c r="G1" s="6" t="inlineStr">
        <is>
          <t>Действие</t>
        </is>
      </c>
      <c r="H1" s="6" t="inlineStr">
        <is>
          <t>Частично закрыть лот</t>
        </is>
      </c>
      <c r="I1" s="6" t="inlineStr">
        <is>
          <t>Полностью закрыть?</t>
        </is>
      </c>
      <c r="J1" s="6" t="inlineStr">
        <is>
          <t>Причина</t>
        </is>
      </c>
    </row>
    <row r="2">
      <c r="A2" t="inlineStr">
        <is>
          <t>Цена вверх на Δ</t>
        </is>
      </c>
      <c r="B2">
        <f>Ввод!B12+Ввод!B18</f>
        <v/>
      </c>
      <c r="C2">
        <f>IF(D2="BUY (Рекомендации для выбранной BUY)",Расчеты!B17,Расчеты!B18)</f>
        <v/>
      </c>
      <c r="D2" t="inlineStr">
        <is>
          <t>BUY (Рекомендации для выбранной BUY)</t>
        </is>
      </c>
      <c r="E2" t="inlineStr">
        <is>
          <t>BUY trim / SELL hedge</t>
        </is>
      </c>
      <c r="F2" s="5">
        <f>IF(Расчеты!B17="НЕТ",0,MAX(0.01,ROUND(Расчеты!B19*Ввод!B19*Ввод!B23*0.5,2)))</f>
        <v/>
      </c>
      <c r="G2">
        <f>IF(AND(Расчеты!B11="ДА",F2&gt;0),"ЧАСТИЧНАЯ РЕБАЛАНСИРОВКА","ОЖИДАТЬ")</f>
        <v/>
      </c>
      <c r="H2" s="5">
        <f>IF(F2=0,0,IF(OR(E2="BUY partial",E2="SELL partial"),ROUND(F2,2),ROUND(F2*0.6,2)))</f>
        <v/>
      </c>
      <c r="I2">
        <f>IF(OR(Расчеты!B9="FAIL",Расчеты!B14&gt;Ввод!B22,Расчеты!B16&lt;-Ввод!B21),"ДА","НЕТ")</f>
        <v/>
      </c>
      <c r="J2">
        <f>IF(I2="ДА","Риск превышен: survival/маржа/просадка","Нормальный цикл")</f>
        <v/>
      </c>
    </row>
    <row r="3">
      <c r="A3" t="inlineStr">
        <is>
          <t>Цена вверх на Δ</t>
        </is>
      </c>
      <c r="B3">
        <f>Ввод!B12+Ввод!B18</f>
        <v/>
      </c>
      <c r="C3">
        <f>IF(D3="BUY (Рекомендации для выбранной BUY)",Расчеты!B17,Расчеты!B18)</f>
        <v/>
      </c>
      <c r="D3" t="inlineStr">
        <is>
          <t>SELL (Рекомендации для выбранной SELL)</t>
        </is>
      </c>
      <c r="E3" t="inlineStr">
        <is>
          <t>SELL partial</t>
        </is>
      </c>
      <c r="F3" s="5">
        <f>IF(Расчеты!B18="НЕТ",0,MAX(0.01,ROUND(Расчеты!B20*Ввод!B19*Ввод!B23*2,2)))</f>
        <v/>
      </c>
      <c r="G3">
        <f>IF(AND(Расчеты!B11="ДА",F3&gt;0),"ЧАСТИЧНАЯ РЕБАЛАНСИРОВКА","ОЖИДАТЬ")</f>
        <v/>
      </c>
      <c r="H3" s="5">
        <f>IF(F3=0,0,IF(OR(E3="BUY partial",E3="SELL partial"),ROUND(F3,2),ROUND(F3*0.6,2)))</f>
        <v/>
      </c>
      <c r="I3">
        <f>IF(OR(Расчеты!B9="FAIL",Расчеты!B14&gt;Ввод!B22,Расчеты!B16&lt;-Ввод!B21),"ДА","НЕТ")</f>
        <v/>
      </c>
      <c r="J3">
        <f>IF(I3="ДА","Риск превышен: survival/маржа/просадка","Нормальный цикл")</f>
        <v/>
      </c>
    </row>
    <row r="4">
      <c r="A4" t="inlineStr">
        <is>
          <t>Цена вниз на Δ</t>
        </is>
      </c>
      <c r="B4">
        <f>Ввод!B12-Ввод!B18</f>
        <v/>
      </c>
      <c r="C4">
        <f>IF(D4="BUY (Рекомендации для выбранной BUY)",Расчеты!B17,Расчеты!B18)</f>
        <v/>
      </c>
      <c r="D4" t="inlineStr">
        <is>
          <t>BUY (Рекомендации для выбранной BUY)</t>
        </is>
      </c>
      <c r="E4" t="inlineStr">
        <is>
          <t>BUY partial</t>
        </is>
      </c>
      <c r="F4" s="5">
        <f>IF(Расчеты!B17="НЕТ",0,MAX(0.01,ROUND(Расчеты!B19*Ввод!B19*Ввод!B23*2,2)))</f>
        <v/>
      </c>
      <c r="G4">
        <f>IF(AND(Расчеты!B11="ДА",F4&gt;0),"ЧАСТИЧНАЯ РЕБАЛАНСИРОВКА","ОЖИДАТЬ")</f>
        <v/>
      </c>
      <c r="H4" s="5">
        <f>IF(F4=0,0,IF(OR(E4="BUY partial",E4="SELL partial"),ROUND(F4,2),ROUND(F4*0.6,2)))</f>
        <v/>
      </c>
      <c r="I4">
        <f>IF(OR(Расчеты!B9="FAIL",Расчеты!B14&gt;Ввод!B22,Расчеты!B16&lt;-Ввод!B21),"ДА","НЕТ")</f>
        <v/>
      </c>
      <c r="J4">
        <f>IF(I4="ДА","Риск превышен: survival/маржа/просадка","Нормальный цикл")</f>
        <v/>
      </c>
    </row>
    <row r="5">
      <c r="A5" t="inlineStr">
        <is>
          <t>Цена вниз на Δ</t>
        </is>
      </c>
      <c r="B5">
        <f>Ввод!B12-Ввод!B18</f>
        <v/>
      </c>
      <c r="C5">
        <f>IF(D5="BUY (Рекомендации для выбранной BUY)",Расчеты!B17,Расчеты!B18)</f>
        <v/>
      </c>
      <c r="D5" t="inlineStr">
        <is>
          <t>SELL (Рекомендации для выбранной SELL)</t>
        </is>
      </c>
      <c r="E5" t="inlineStr">
        <is>
          <t>SELL trim / BUY hedge</t>
        </is>
      </c>
      <c r="F5" s="5">
        <f>IF(Расчеты!B18="НЕТ",0,MAX(0.01,ROUND(Расчеты!B20*Ввод!B19*Ввод!B23*0.5,2)))</f>
        <v/>
      </c>
      <c r="G5">
        <f>IF(AND(Расчеты!B11="ДА",F5&gt;0),"ЧАСТИЧНАЯ РЕБАЛАНСИРОВКА","ОЖИДАТЬ")</f>
        <v/>
      </c>
      <c r="H5" s="5">
        <f>IF(F5=0,0,IF(OR(E5="BUY partial",E5="SELL partial"),ROUND(F5,2),ROUND(F5*0.6,2)))</f>
        <v/>
      </c>
      <c r="I5">
        <f>IF(OR(Расчеты!B9="FAIL",Расчеты!B14&gt;Ввод!B22,Расчеты!B16&lt;-Ввод!B21),"ДА","НЕТ")</f>
        <v/>
      </c>
      <c r="J5">
        <f>IF(I5="ДА","Риск превышен: survival/маржа/просадка","Нормальный цикл")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2026-05-01T17:50:24Z</dcterms:created>
  <dcterms:modified xsi:type="dcterms:W3CDTF">2026-05-01T17:50:24Z</dcterms:modified>
</cp:coreProperties>
</file>