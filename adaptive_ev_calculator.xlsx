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ID Позиции</t>
        </is>
      </c>
      <c r="D1" s="6" t="inlineStr">
        <is>
          <t>Для BUY/SELL</t>
        </is>
      </c>
      <c r="E1" s="6" t="inlineStr">
        <is>
          <t>Направление шага</t>
        </is>
      </c>
      <c r="F1" s="6" t="inlineStr">
        <is>
          <t>Рекоменд. лот</t>
        </is>
      </c>
      <c r="G1" s="6" t="inlineStr">
        <is>
          <t>Действие</t>
        </is>
      </c>
      <c r="H1" s="6" t="inlineStr">
        <is>
          <t>Частично закрыть лот</t>
        </is>
      </c>
      <c r="I1" s="6" t="inlineStr">
        <is>
          <t>Полностью закрыть?</t>
        </is>
      </c>
      <c r="J1" s="6" t="inlineStr">
        <is>
          <t>Причина</t>
        </is>
      </c>
      <c r="K1" s="6" t="inlineStr">
        <is>
          <t>Открыть позицию?</t>
        </is>
      </c>
      <c r="L1" s="6" t="inlineStr">
        <is>
          <t>Направление открытия</t>
        </is>
      </c>
      <c r="M1" s="6" t="inlineStr">
        <is>
          <t>Лот открытия</t>
        </is>
      </c>
      <c r="N1" s="6" t="inlineStr">
        <is>
          <t>Цена открытия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IF(D2="BUY (Рекомендации для выбранной BUY)",Расчеты!B17,Расчеты!B18)</f>
        <v/>
      </c>
      <c r="D2" t="inlineStr">
        <is>
          <t>BUY (Рекомендации для выбранной BUY)</t>
        </is>
      </c>
      <c r="E2" t="inlineStr">
        <is>
          <t>BUY trim / SELL hedge</t>
        </is>
      </c>
      <c r="F2" s="5">
        <f>IF(Расчеты!B17="НЕТ",0,MAX(0.01,ROUND(Расчеты!B19*Ввод!B19*Ввод!B23*0.5,2)))</f>
        <v/>
      </c>
      <c r="G2">
        <f>IF(AND(Расчеты!B11="ДА",F2&gt;0),"ЧАСТИЧНАЯ РЕБАЛАНСИРОВКА","ОЖИДАТЬ")</f>
        <v/>
      </c>
      <c r="H2" s="5">
        <f>IF(F2=0,0,IF(OR(E2="BUY partial",E2="SELL partial"),ROUND(F2,2),ROUND(F2*0.6,2)))</f>
        <v/>
      </c>
      <c r="I2">
        <f>IF(OR(Расчеты!B9="FAIL",Расчеты!B14&gt;Ввод!B22,Расчеты!B16&lt;-Ввод!B21),"ДА","НЕТ")</f>
        <v/>
      </c>
      <c r="J2">
        <f>IF(I2="ДА","Риск превышен: survival/маржа/просадка","Нормальный цикл")</f>
        <v/>
      </c>
      <c r="K2">
        <f>IF(AND(F2&gt;0,I2="НЕТ"),"ДА","НЕТ")</f>
        <v/>
      </c>
      <c r="L2">
        <f>IF(K2="НЕТ","-",IF(D2="BUY (Рекомендации для выбранной BUY)","BUY","SELL"))</f>
        <v/>
      </c>
      <c r="M2" s="5">
        <f>IF(K2="НЕТ",0,ROUND(MAX(0.01,F2),2))</f>
        <v/>
      </c>
      <c r="N2" s="7">
        <f>IF(K2="НЕТ",0,B2)</f>
        <v/>
      </c>
    </row>
    <row r="3">
      <c r="A3" t="inlineStr">
        <is>
          <t>Цена вверх на Δ</t>
        </is>
      </c>
      <c r="B3">
        <f>Ввод!B12+Ввод!B18</f>
        <v/>
      </c>
      <c r="C3">
        <f>IF(D3="BUY (Рекомендации для выбранной BUY)",Расчеты!B17,Расчеты!B18)</f>
        <v/>
      </c>
      <c r="D3" t="inlineStr">
        <is>
          <t>SELL (Рекомендации для выбранной SELL)</t>
        </is>
      </c>
      <c r="E3" t="inlineStr">
        <is>
          <t>SELL partial</t>
        </is>
      </c>
      <c r="F3" s="5">
        <f>IF(Расчеты!B18="НЕТ",0,MAX(0.01,ROUND(Расчеты!B20*Ввод!B19*Ввод!B23*2,2)))</f>
        <v/>
      </c>
      <c r="G3">
        <f>IF(AND(Расчеты!B11="ДА",F3&gt;0),"ЧАСТИЧНАЯ РЕБАЛАНСИРОВКА","ОЖИДАТЬ")</f>
        <v/>
      </c>
      <c r="H3" s="5">
        <f>IF(F3=0,0,IF(OR(E3="BUY partial",E3="SELL partial"),ROUND(F3,2),ROUND(F3*0.6,2)))</f>
        <v/>
      </c>
      <c r="I3">
        <f>IF(OR(Расчеты!B9="FAIL",Расчеты!B14&gt;Ввод!B22,Расчеты!B16&lt;-Ввод!B21),"ДА","НЕТ")</f>
        <v/>
      </c>
      <c r="J3">
        <f>IF(I3="ДА","Риск превышен: survival/маржа/просадка","Нормальный цикл")</f>
        <v/>
      </c>
      <c r="K3">
        <f>IF(AND(F3&gt;0,I3="НЕТ"),"ДА","НЕТ")</f>
        <v/>
      </c>
      <c r="L3">
        <f>IF(K3="НЕТ","-",IF(D3="BUY (Рекомендации для выбранной BUY)","BUY","SELL"))</f>
        <v/>
      </c>
      <c r="M3" s="5">
        <f>IF(K3="НЕТ",0,ROUND(MAX(0.01,F3),2))</f>
        <v/>
      </c>
      <c r="N3" s="7">
        <f>IF(K3="НЕТ",0,B3)</f>
        <v/>
      </c>
    </row>
    <row r="4">
      <c r="A4" t="inlineStr">
        <is>
          <t>Цена вниз на Δ</t>
        </is>
      </c>
      <c r="B4">
        <f>Ввод!B12-Ввод!B18</f>
        <v/>
      </c>
      <c r="C4">
        <f>IF(D4="BUY (Рекомендации для выбранной BUY)",Расчеты!B17,Расчеты!B18)</f>
        <v/>
      </c>
      <c r="D4" t="inlineStr">
        <is>
          <t>BUY (Рекомендации для выбранной BUY)</t>
        </is>
      </c>
      <c r="E4" t="inlineStr">
        <is>
          <t>BUY partial</t>
        </is>
      </c>
      <c r="F4" s="5">
        <f>IF(Расчеты!B17="НЕТ",0,MAX(0.01,ROUND(Расчеты!B19*Ввод!B19*Ввод!B23*2,2)))</f>
        <v/>
      </c>
      <c r="G4">
        <f>IF(AND(Расчеты!B11="ДА",F4&gt;0),"ЧАСТИЧНАЯ РЕБАЛАНСИРОВКА","ОЖИДАТЬ")</f>
        <v/>
      </c>
      <c r="H4" s="5">
        <f>IF(F4=0,0,IF(OR(E4="BUY partial",E4="SELL partial"),ROUND(F4,2),ROUND(F4*0.6,2)))</f>
        <v/>
      </c>
      <c r="I4">
        <f>IF(OR(Расчеты!B9="FAIL",Расчеты!B14&gt;Ввод!B22,Расчеты!B16&lt;-Ввод!B21),"ДА","НЕТ")</f>
        <v/>
      </c>
      <c r="J4">
        <f>IF(I4="ДА","Риск превышен: survival/маржа/просадка","Нормальный цикл")</f>
        <v/>
      </c>
      <c r="K4">
        <f>IF(AND(F4&gt;0,I4="НЕТ"),"ДА","НЕТ")</f>
        <v/>
      </c>
      <c r="L4">
        <f>IF(K4="НЕТ","-",IF(D4="BUY (Рекомендации для выбранной BUY)","BUY","SELL"))</f>
        <v/>
      </c>
      <c r="M4" s="5">
        <f>IF(K4="НЕТ",0,ROUND(MAX(0.01,F4),2))</f>
        <v/>
      </c>
      <c r="N4" s="7">
        <f>IF(K4="НЕТ",0,B4)</f>
        <v/>
      </c>
    </row>
    <row r="5">
      <c r="A5" t="inlineStr">
        <is>
          <t>Цена вниз на Δ</t>
        </is>
      </c>
      <c r="B5">
        <f>Ввод!B12-Ввод!B18</f>
        <v/>
      </c>
      <c r="C5">
        <f>IF(D5="BUY (Рекомендации для выбранной BUY)",Расчеты!B17,Расчеты!B18)</f>
        <v/>
      </c>
      <c r="D5" t="inlineStr">
        <is>
          <t>SELL (Рекомендации для выбранной SELL)</t>
        </is>
      </c>
      <c r="E5" t="inlineStr">
        <is>
          <t>SELL trim / BUY hedge</t>
        </is>
      </c>
      <c r="F5" s="5">
        <f>IF(Расчеты!B18="НЕТ",0,MAX(0.01,ROUND(Расчеты!B20*Ввод!B19*Ввод!B23*0.5,2)))</f>
        <v/>
      </c>
      <c r="G5">
        <f>IF(AND(Расчеты!B11="ДА",F5&gt;0),"ЧАСТИЧНАЯ РЕБАЛАНСИРОВКА","ОЖИДАТЬ")</f>
        <v/>
      </c>
      <c r="H5" s="5">
        <f>IF(F5=0,0,IF(OR(E5="BUY partial",E5="SELL partial"),ROUND(F5,2),ROUND(F5*0.6,2)))</f>
        <v/>
      </c>
      <c r="I5">
        <f>IF(OR(Расчеты!B9="FAIL",Расчеты!B14&gt;Ввод!B22,Расчеты!B16&lt;-Ввод!B21),"ДА","НЕТ")</f>
        <v/>
      </c>
      <c r="J5">
        <f>IF(I5="ДА","Риск превышен: survival/маржа/просадка","Нормальный цикл")</f>
        <v/>
      </c>
      <c r="K5">
        <f>IF(AND(F5&gt;0,I5="НЕТ"),"ДА","НЕТ")</f>
        <v/>
      </c>
      <c r="L5">
        <f>IF(K5="НЕТ","-",IF(D5="BUY (Рекомендации для выбранной BUY)","BUY","SELL"))</f>
        <v/>
      </c>
      <c r="M5" s="5">
        <f>IF(K5="НЕТ",0,ROUND(MAX(0.01,F5),2))</f>
        <v/>
      </c>
      <c r="N5" s="7">
        <f>IF(K5="НЕТ",0,B5)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2026-05-01T18:19:19Z</dcterms:created>
  <dcterms:modified xsi:type="dcterms:W3CDTF">2026-05-01T18:19:19Z</dcterms:modified>
</cp:coreProperties>
</file>