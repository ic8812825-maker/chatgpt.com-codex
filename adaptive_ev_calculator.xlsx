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Текущее состояние FSM</t>
        </is>
      </c>
      <c r="D1" s="6" t="inlineStr">
        <is>
          <t>Что делать с локом</t>
        </is>
      </c>
      <c r="E1" s="6" t="inlineStr">
        <is>
          <t>Реком. коэффициент k</t>
        </is>
      </c>
      <c r="F1" s="6" t="inlineStr">
        <is>
          <t>Реком. лот действия</t>
        </is>
      </c>
      <c r="G1" s="6" t="inlineStr">
        <is>
          <t>Частичное закрытие BUY</t>
        </is>
      </c>
      <c r="H1" s="6" t="inlineStr">
        <is>
          <t>Частичное закрытие SELL</t>
        </is>
      </c>
      <c r="I1" s="6" t="inlineStr">
        <is>
          <t>Открыть новый цикл?</t>
        </is>
      </c>
      <c r="J1" s="6" t="inlineStr">
        <is>
          <t>Направление нового цикла</t>
        </is>
      </c>
      <c r="K1" s="6" t="inlineStr">
        <is>
          <t>Лот нового цикла</t>
        </is>
      </c>
      <c r="L1" s="6" t="inlineStr">
        <is>
          <t>Цена нового цикла</t>
        </is>
      </c>
      <c r="M1" s="6" t="inlineStr">
        <is>
          <t>Причина</t>
        </is>
      </c>
      <c r="N1" s="6" t="inlineStr">
        <is>
          <t>Стоп-условие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Расчеты!B25</f>
        <v/>
      </c>
      <c r="D2">
        <f>IF(C2="ESCAPE","СБРОС СТРУКТУРЫ",IF(C2="STRESS","СНИЗИТЬ РИСК И k","FLOW-РЕБАЛАНС"))</f>
        <v/>
      </c>
      <c r="E2" s="5">
        <f>ROUND(Расчеты!B24,2)</f>
        <v/>
      </c>
      <c r="F2" s="5">
        <f>IF(C2="ESCAPE",0,ROUND(MAX(0.01,MIN(Ввод!B19*Ввод!B23*E2,((Ввод!B10*Ввод!B22/100-Расчеты!B13)*Ввод!B7)/(Ввод!B6*MAX(B2,0.00001)))),2))</f>
        <v/>
      </c>
      <c r="G2" s="5">
        <f>IF(A2="Цена вверх на Δ",ROUND(F2*0.40,2),ROUND(F2*0.60,2))</f>
        <v/>
      </c>
      <c r="H2" s="5">
        <f>IF(A2="Цена вверх на Δ",ROUND(F2*0.60,2),ROUND(F2*0.40,2))</f>
        <v/>
      </c>
      <c r="I2">
        <f>IF(AND(C2&lt;&gt;"ESCAPE",Расчеты!B11="ДА"),"ДА","НЕТ")</f>
        <v/>
      </c>
      <c r="J2">
        <f>IF(I2="НЕТ","-",IF(A2="Цена вверх на Δ","SELL","BUY"))</f>
        <v/>
      </c>
      <c r="K2" s="5">
        <f>IF(I2="НЕТ",0,ROUND(MAX(Ввод!B20,MIN(F2*1.2,((Ввод!B10*Ввод!B22/100-Расчеты!B13)*Ввод!B7)/(Ввод!B6*MAX(B2,0.00001)))),2))</f>
        <v/>
      </c>
      <c r="L2" s="7">
        <f>IF(I2="НЕТ",0,B2)</f>
        <v/>
      </c>
      <c r="M2">
        <f>IF(C2="ESCAPE","Превышены лимиты риска",IF(C2="STRESS","Снизить k, ускорить сокращение риска","Плановый цикл"))</f>
        <v/>
      </c>
      <c r="N2">
        <f>IF(OR(Расчеты!B9="FAIL",Расчеты!B14&gt;Ввод!B22,Расчеты!B16&lt;-Ввод!B21),"ESCAPE","OK")</f>
        <v/>
      </c>
    </row>
    <row r="3">
      <c r="A3" t="inlineStr">
        <is>
          <t>Цена вниз на Δ</t>
        </is>
      </c>
      <c r="B3">
        <f>Ввод!B12-Ввод!B18</f>
        <v/>
      </c>
      <c r="C3">
        <f>Расчеты!B25</f>
        <v/>
      </c>
      <c r="D3">
        <f>IF(C3="ESCAPE","СБРОС СТРУКТУРЫ",IF(C3="STRESS","СНИЗИТЬ РИСК И k","FLOW-РЕБАЛАНС"))</f>
        <v/>
      </c>
      <c r="E3" s="5">
        <f>ROUND(Расчеты!B24,2)</f>
        <v/>
      </c>
      <c r="F3" s="5">
        <f>IF(C3="ESCAPE",0,ROUND(MAX(0.01,MIN(Ввод!B19*Ввод!B23*E3,((Ввод!B10*Ввод!B22/100-Расчеты!B13)*Ввод!B7)/(Ввод!B6*MAX(B3,0.00001)))),2))</f>
        <v/>
      </c>
      <c r="G3" s="5">
        <f>IF(A3="Цена вверх на Δ",ROUND(F3*0.40,2),ROUND(F3*0.60,2))</f>
        <v/>
      </c>
      <c r="H3" s="5">
        <f>IF(A3="Цена вверх на Δ",ROUND(F3*0.60,2),ROUND(F3*0.40,2))</f>
        <v/>
      </c>
      <c r="I3">
        <f>IF(AND(C3&lt;&gt;"ESCAPE",Расчеты!B11="ДА"),"ДА","НЕТ")</f>
        <v/>
      </c>
      <c r="J3">
        <f>IF(I3="НЕТ","-",IF(A3="Цена вверх на Δ","SELL","BUY"))</f>
        <v/>
      </c>
      <c r="K3" s="5">
        <f>IF(I3="НЕТ",0,ROUND(MAX(Ввод!B20,MIN(F3*1.2,((Ввод!B10*Ввод!B22/100-Расчеты!B13)*Ввод!B7)/(Ввод!B6*MAX(B3,0.00001)))),2))</f>
        <v/>
      </c>
      <c r="L3" s="7">
        <f>IF(I3="НЕТ",0,B3)</f>
        <v/>
      </c>
      <c r="M3">
        <f>IF(C3="ESCAPE","Превышены лимиты риска",IF(C3="STRESS","Снизить k, ускорить сокращение риска","Плановый цикл"))</f>
        <v/>
      </c>
      <c r="N3">
        <f>IF(OR(Расчеты!B9="FAIL",Расчеты!B14&gt;Ввод!B22,Расчеты!B16&lt;-Ввод!B21),"ESCAPE","OK")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 t="inlineStr">
        <is>
          <t>BUY</t>
        </is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 t="inlineStr">
        <is>
          <t>SELL</t>
        </is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2026-05-01T21:16:22Z</dcterms:created>
  <dcterms:modified xsi:type="dcterms:W3CDTF">2026-05-01T21:16:22Z</dcterms:modified>
</cp:coreProperties>
</file>