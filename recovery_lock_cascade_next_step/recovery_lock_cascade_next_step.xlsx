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IF(B7="BUY",$B$5,IF(B7="SELL",$B$6,""))</f>
        <v/>
      </c>
      <c r="G7">
        <f>IF(B7="BUY",(F7-E7)/Settings!$B$3,IF(B7="SELL",(E7-F7)/Settings!$B$3,0))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IF(AND(B7="SELL",H7&lt;0),H7,"")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IF(B8="BUY",$B$5,IF(B8="SELL",$B$6,""))</f>
        <v/>
      </c>
      <c r="G8">
        <f>IF(B8="BUY",(F8-E8)/Settings!$B$3,IF(B8="SELL",(E8-F8)/Settings!$B$3,0))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IF(AND(B8="SELL",H8&lt;0),H8,"")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IF(B9="BUY",$B$5,IF(B9="SELL",$B$6,""))</f>
        <v/>
      </c>
      <c r="G9">
        <f>IF(B9="BUY",(F9-E9)/Settings!$B$3,IF(B9="SELL",(E9-F9)/Settings!$B$3,0))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IF(AND(B9="SELL",H9&lt;0),H9,"")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IF(B10="BUY",$B$5,IF(B10="SELL",$B$6,""))</f>
        <v/>
      </c>
      <c r="G10">
        <f>IF(B10="BUY",(F10-E10)/Settings!$B$3,IF(B10="SELL",(E10-F10)/Settings!$B$3,0))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IF(AND(B10="SELL",H10&lt;0),H10,"")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IF(B11="BUY",$B$5,IF(B11="SELL",$B$6,""))</f>
        <v/>
      </c>
      <c r="G11">
        <f>IF(B11="BUY",(F11-E11)/Settings!$B$3,IF(B11="SELL",(E11-F11)/Settings!$B$3,0))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IF(AND(B11="SELL",H11&lt;0),H11,"")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IF(AND(B13="SELL",H13&lt;0),H13,"")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IF(AND(B14="SELL",H14&lt;0),H14,"")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IF(AND(B15="SELL",H15&lt;0),H15,"")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IF(AND(B16="SELL",H16&lt;0),H16,"")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IF(AND(B17="SELL",H17&lt;0),H17,"")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IF(AND(B18="SELL",H18&lt;0),H18,"")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IF(AND(B24="SELL",H24&lt;0),H24,"")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IF(AND(B25="SELL",H25&lt;0),H25,"")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IF(AND(B26="SELL",H26&lt;0),H26,"")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IF(AND(B27="SELL",H27&lt;0),H27,"")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IF(AND(B28="SELL",H28&lt;0),H28,"")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IF(AND(B34="SELL",H34&lt;0),H34,"")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IF(AND(B35="SELL",H35&lt;0),H35,"")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IF(AND(B36="SELL",H36&lt;0),H36,"")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IF(AND(B37="SELL",H37&lt;0),H37,"")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IF(AND(B38="SELL",H38&lt;0),H38,"")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IF(AND(B44="SELL",H44&lt;0),H44,"")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IF(AND(B45="SELL",H45&lt;0),H45,"")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IF(AND(B46="SELL",H46&lt;0),H46,"")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IF(AND(B47="SELL",H47&lt;0),H47,"")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IF(AND(B48="SELL",H48&lt;0),H48,"")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IF(AND(B54="SELL",H54&lt;0),H54,"")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IF(AND(B55="SELL",H55&lt;0),H55,"")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IF(AND(B56="SELL",H56&lt;0),H56,"")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IF(AND(B57="SELL",H57&lt;0),H57,"")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IF(AND(B58="SELL",H58&lt;0),H58,"")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IF(AND(B64="SELL",H64&lt;0),H64,"")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IF(AND(B65="SELL",H65&lt;0),H65,"")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IF(AND(B66="SELL",H66&lt;0),H66,"")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IF(AND(B67="SELL",H67&lt;0),H67,"")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IF(AND(B68="SELL",H68&lt;0),H68,"")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IF(AND(B74="SELL",H74&lt;0),H74,"")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IF(AND(B75="SELL",H75&lt;0),H75,"")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IF(AND(B76="SELL",H76&lt;0),H76,"")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IF(AND(B77="SELL",H77&lt;0),H77,"")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IF(AND(B78="SELL",H78&lt;0),H78,"")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IF(AND(B84="SELL",H84&lt;0),H84,"")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IF(AND(B85="SELL",H85&lt;0),H85,"")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IF(AND(B86="SELL",H86&lt;0),H86,"")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IF(AND(B87="SELL",H87&lt;0),H87,"")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IF(AND(B88="SELL",H88&lt;0),H88,"")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IF(AND(B94="SELL",H94&lt;0),H94,"")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IF(AND(B95="SELL",H95&lt;0),H95,"")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IF(AND(B96="SELL",H96&lt;0),H96,"")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IF(AND(B97="SELL",H97&lt;0),H97,"")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IF(AND(B98="SELL",H98&lt;0),H98,"")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IF(AND(B206="SELL",H206&lt;0),H206,"")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IF(B7="BUY",$B$5,IF(B7="SELL",$B$6,""))</f>
        <v/>
      </c>
      <c r="G7">
        <f>IF(B7="BUY",(F7-E7)/Settings!$B$3,IF(B7="SELL",(E7-F7)/Settings!$B$3,0))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IF(AND(B7="BUY",H7&lt;0),H7,"")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IF(B8="BUY",$B$5,IF(B8="SELL",$B$6,""))</f>
        <v/>
      </c>
      <c r="G8">
        <f>IF(B8="BUY",(F8-E8)/Settings!$B$3,IF(B8="SELL",(E8-F8)/Settings!$B$3,0))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IF(AND(B8="BUY",H8&lt;0),H8,"")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IF(B9="BUY",$B$5,IF(B9="SELL",$B$6,""))</f>
        <v/>
      </c>
      <c r="G9">
        <f>IF(B9="BUY",(F9-E9)/Settings!$B$3,IF(B9="SELL",(E9-F9)/Settings!$B$3,0))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IF(AND(B9="BUY",H9&lt;0),H9,"")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IF(B10="BUY",$B$5,IF(B10="SELL",$B$6,""))</f>
        <v/>
      </c>
      <c r="G10">
        <f>IF(B10="BUY",(F10-E10)/Settings!$B$3,IF(B10="SELL",(E10-F10)/Settings!$B$3,0))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IF(AND(B10="BUY",H10&lt;0),H10,"")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IF(B11="BUY",$B$5,IF(B11="SELL",$B$6,""))</f>
        <v/>
      </c>
      <c r="G11">
        <f>IF(B11="BUY",(F11-E11)/Settings!$B$3,IF(B11="SELL",(E11-F11)/Settings!$B$3,0))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IF(AND(B11="BUY",H11&lt;0),H11,"")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IF(AND(B13="BUY",H13&lt;0),H13,"")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IF(AND(B14="BUY",H14&lt;0),H14,"")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IF(AND(B15="BUY",H15&lt;0),H15,"")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IF(AND(B16="BUY",H16&lt;0),H16,"")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IF(AND(B17="BUY",H17&lt;0),H17,"")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IF(AND(B18="BUY",H18&lt;0),H18,"")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IF(AND(B19="BUY",H19&lt;0),H19,"")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IF(AND(B20="BUY",H20&lt;0),H20,"")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IF(AND(B21="BUY",H21&lt;0),H21,"")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IF(AND(B22="BUY",H22&lt;0),H22,"")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IF(AND(B23="BUY",H23&lt;0),H23,"")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IF(AND(B24="BUY",H24&lt;0),H24,"")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IF(AND(B25="BUY",H25&lt;0),H25,"")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IF(AND(B26="BUY",H26&lt;0),H26,"")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IF(AND(B27="BUY",H27&lt;0),H27,"")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IF(AND(B28="BUY",H28&lt;0),H28,"")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IF(AND(B29="BUY",H29&lt;0),H29,"")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IF(AND(B30="BUY",H30&lt;0),H30,"")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IF(AND(B31="BUY",H31&lt;0),H31,"")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IF(AND(B32="BUY",H32&lt;0),H32,"")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IF(AND(B33="BUY",H33&lt;0),H33,"")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IF(AND(B34="BUY",H34&lt;0),H34,"")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IF(AND(B35="BUY",H35&lt;0),H35,"")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IF(AND(B36="BUY",H36&lt;0),H36,"")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IF(AND(B37="BUY",H37&lt;0),H37,"")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IF(AND(B38="BUY",H38&lt;0),H38,"")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IF(AND(B39="BUY",H39&lt;0),H39,"")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IF(AND(B40="BUY",H40&lt;0),H40,"")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IF(AND(B41="BUY",H41&lt;0),H41,"")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IF(AND(B42="BUY",H42&lt;0),H42,"")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IF(AND(B43="BUY",H43&lt;0),H43,"")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IF(AND(B44="BUY",H44&lt;0),H44,"")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IF(AND(B45="BUY",H45&lt;0),H45,"")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IF(AND(B46="BUY",H46&lt;0),H46,"")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IF(AND(B47="BUY",H47&lt;0),H47,"")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IF(AND(B48="BUY",H48&lt;0),H48,"")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IF(AND(B49="BUY",H49&lt;0),H49,"")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IF(AND(B50="BUY",H50&lt;0),H50,"")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IF(AND(B51="BUY",H51&lt;0),H51,"")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IF(AND(B52="BUY",H52&lt;0),H52,"")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IF(AND(B53="BUY",H53&lt;0),H53,"")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IF(AND(B54="BUY",H54&lt;0),H54,"")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IF(AND(B55="BUY",H55&lt;0),H55,"")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IF(AND(B56="BUY",H56&lt;0),H56,"")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IF(AND(B57="BUY",H57&lt;0),H57,"")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IF(AND(B58="BUY",H58&lt;0),H58,"")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IF(AND(B59="BUY",H59&lt;0),H59,"")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IF(AND(B60="BUY",H60&lt;0),H60,"")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IF(AND(B61="BUY",H61&lt;0),H61,"")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IF(AND(B62="BUY",H62&lt;0),H62,"")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IF(AND(B63="BUY",H63&lt;0),H63,"")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IF(AND(B64="BUY",H64&lt;0),H64,"")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IF(AND(B65="BUY",H65&lt;0),H65,"")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IF(AND(B66="BUY",H66&lt;0),H66,"")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IF(AND(B67="BUY",H67&lt;0),H67,"")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IF(AND(B68="BUY",H68&lt;0),H68,"")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IF(AND(B69="BUY",H69&lt;0),H69,"")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IF(AND(B70="BUY",H70&lt;0),H70,"")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IF(AND(B71="BUY",H71&lt;0),H71,"")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IF(AND(B72="BUY",H72&lt;0),H72,"")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IF(AND(B73="BUY",H73&lt;0),H73,"")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IF(AND(B74="BUY",H74&lt;0),H74,"")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IF(AND(B75="BUY",H75&lt;0),H75,"")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IF(AND(B76="BUY",H76&lt;0),H76,"")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IF(AND(B77="BUY",H77&lt;0),H77,"")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IF(AND(B78="BUY",H78&lt;0),H78,"")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IF(AND(B79="BUY",H79&lt;0),H79,"")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IF(AND(B80="BUY",H80&lt;0),H80,"")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IF(AND(B81="BUY",H81&lt;0),H81,"")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IF(AND(B82="BUY",H82&lt;0),H82,"")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IF(AND(B83="BUY",H83&lt;0),H83,"")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IF(AND(B84="BUY",H84&lt;0),H84,"")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IF(AND(B85="BUY",H85&lt;0),H85,"")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IF(AND(B86="BUY",H86&lt;0),H86,"")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IF(AND(B87="BUY",H87&lt;0),H87,"")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IF(AND(B88="BUY",H88&lt;0),H88,"")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IF(AND(B89="BUY",H89&lt;0),H89,"")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IF(AND(B90="BUY",H90&lt;0),H90,"")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IF(AND(B91="BUY",H91&lt;0),H91,"")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IF(AND(B92="BUY",H92&lt;0),H92,"")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IF(AND(B93="BUY",H93&lt;0),H93,"")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IF(AND(B94="BUY",H94&lt;0),H94,"")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IF(AND(B95="BUY",H95&lt;0),H95,"")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IF(AND(B96="BUY",H96&lt;0),H96,"")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IF(AND(B97="BUY",H97&lt;0),H97,"")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IF(AND(B98="BUY",H98&lt;0),H98,"")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IF(AND(B206="BUY",H206&lt;0),H206,"")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IF(AND(COUNTIFS(Scenario_UP!B7:B206,"SELL",Scenario_UP!H7:H206,"&lt;0")&gt;0,Scenario_UP!B222="N/A"),"ERROR","OK")</f>
        <v/>
      </c>
      <c r="C7">
        <f>IF(AND(COUNTIFS(Scenario_DOWN!B7:B206,"BUY",Scenario_DOWN!H7:H206,"&lt;0")&gt;0,Scenario_DOWN!B222="N/A"),"ERROR","OK")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  <row r="12">
      <c r="A12" t="inlineStr">
        <is>
          <t>ReserveAdd mapping sync</t>
        </is>
      </c>
      <c r="B12">
        <f>IF(ScenarioText_UP!B19=SectionCalculator_UP!B33,"OK","ERROR")</f>
        <v/>
      </c>
      <c r="C12">
        <f>IF(ScenarioText_DOWN!B19=SectionCalculator_DOWN!B33,"OK","ERROR")</f>
        <v/>
      </c>
    </row>
    <row r="13">
      <c r="A13" t="inlineStr">
        <is>
          <t>RecoveryAdd mapping sync</t>
        </is>
      </c>
      <c r="B13">
        <f>IF(ScenarioText_UP!B20=SectionCalculator_UP!B34,"OK","ERROR")</f>
        <v/>
      </c>
      <c r="C13">
        <f>IF(ScenarioText_DOWN!B20=SectionCalculator_DOWN!B34,"OK","ERROR")</f>
        <v/>
      </c>
    </row>
    <row r="14">
      <c r="A14" t="inlineStr">
        <is>
          <t>TailTicket not mapped as lot</t>
        </is>
      </c>
      <c r="B14">
        <f>IF(AND(ISNUMBER(ScenarioText_UP!B24),ScenarioText_UP!B24&gt;1000,ISNUMBER(ScenarioText_UP!B25),ScenarioText_UP!B25&gt;100),"ERROR","OK")</f>
        <v/>
      </c>
      <c r="C14">
        <f>IF(AND(ISNUMBER(ScenarioText_DOWN!B24),ScenarioText_DOWN!B24&gt;1000,ISNUMBER(ScenarioText_DOWN!B25),ScenarioText_DOWN!B25&gt;100),"ERROR","OK")</f>
        <v/>
      </c>
    </row>
    <row r="15">
      <c r="A15" t="inlineStr">
        <is>
          <t>Tail lot reasonable</t>
        </is>
      </c>
      <c r="B15">
        <f>IF(AND(ISNUMBER(ScenarioText_UP!B25),ScenarioText_UP!B25&gt;100),"ERROR","OK")</f>
        <v/>
      </c>
      <c r="C15">
        <f>IF(AND(ISNUMBER(ScenarioText_DOWN!B25),ScenarioText_DOWN!B25&gt;100),"ERROR","OK")</f>
        <v/>
      </c>
    </row>
    <row r="16">
      <c r="A16" t="inlineStr">
        <is>
          <t>Tail остаток &lt;= исходного</t>
        </is>
      </c>
      <c r="B16">
        <f>IF(AND(ISNUMBER(ScenarioText_UP!B37),ISNUMBER(ScenarioText_UP!B25),ScenarioText_UP!B37&gt;ScenarioText_UP!B25),"ERROR","OK")</f>
        <v/>
      </c>
      <c r="C16">
        <f>IF(AND(ISNUMBER(ScenarioText_DOWN!B37),ISNUMBER(ScenarioText_DOWN!B25),ScenarioText_DOWN!B37&gt;ScenarioText_DOWN!B25),"ERROR","OK")</f>
        <v/>
      </c>
    </row>
    <row r="17">
      <c r="A17" t="inlineStr">
        <is>
          <t>RecoveryFundAfter &gt;= 0</t>
        </is>
      </c>
      <c r="B17">
        <f>IF(TailRecovery_UP!B13&lt;0,"ERROR","OK")</f>
        <v/>
      </c>
      <c r="C17">
        <f>IF(TailRecovery_DOWN!B13&lt;0,"ERROR","OK")</f>
        <v/>
      </c>
    </row>
    <row r="18">
      <c r="A18" t="inlineStr">
        <is>
          <t>CloseLotFinal &lt;= TailLot</t>
        </is>
      </c>
      <c r="B18">
        <f>IF(TailRecovery_UP!B10&gt;TailRecovery_UP!B4,"ERROR","OK")</f>
        <v/>
      </c>
      <c r="C18">
        <f>IF(TailRecovery_DOWN!B10&gt;TailRecovery_DOWN!B4,"ERROR","OK")</f>
        <v/>
      </c>
    </row>
    <row r="19">
      <c r="A19" t="inlineStr">
        <is>
          <t>TailLotAfter &gt;= 0</t>
        </is>
      </c>
      <c r="B19">
        <f>IF(TailRecovery_UP!B14&lt;0,"ERROR","OK")</f>
        <v/>
      </c>
      <c r="C19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Spread, пунктов</t>
        </is>
      </c>
      <c r="B7" s="4">
        <f>IFERROR(Settings!B34,0)</f>
        <v/>
      </c>
    </row>
    <row r="8">
      <c r="A8" t="inlineStr">
        <is>
          <t>Следующий уровень открытия</t>
        </is>
      </c>
      <c r="B8" s="4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1">
      <c r="A11" t="inlineStr">
        <is>
          <t>Малая защитная позиция</t>
        </is>
      </c>
      <c r="B11">
        <f>IFERROR(IF(TailRecovery_UP!B17&gt;0,IF("UP"="UP","BUY ","SELL ")&amp;TEXT(TailRecovery_UP!B17,"0.00"),"Не открывать"),"Не открывать")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Spread, пунктов</t>
        </is>
      </c>
      <c r="B7" s="4">
        <f>IFERROR(Settings!B34,0)</f>
        <v/>
      </c>
    </row>
    <row r="8">
      <c r="A8" t="inlineStr">
        <is>
          <t>Следующий уровень открытия</t>
        </is>
      </c>
      <c r="B8" s="4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1">
      <c r="A11" t="inlineStr">
        <is>
          <t>Малая защитная позиция</t>
        </is>
      </c>
      <c r="B11">
        <f>IFERROR(IF(TailRecovery_DOWN!B17&gt;0,IF("DOWN"="UP","BUY ","SELL ")&amp;TEXT(TailRecovery_DOWN!B17,"0.00"),"Не открывать"),"Не открывать")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2026-05-12T20:34:49Z</dcterms:created>
  <dcterms:modified xsi:type="dcterms:W3CDTF">2026-05-12T20:34:49Z</dcterms:modified>
</cp:coreProperties>
</file>