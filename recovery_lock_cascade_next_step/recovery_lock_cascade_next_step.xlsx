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IFERROR(MIN(IF((B7:B206="SELL")*(H7:H206&lt;0),H7:H206)),0)</f>
        <v/>
      </c>
    </row>
    <row r="222">
      <c r="A222" t="inlineStr">
        <is>
          <t>TailTicket</t>
        </is>
      </c>
      <c r="B222">
        <f>IFERROR(MIN(IF((B7:B206="SELL")*(H7:H206=B221),A7:A206)),"N/A")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IFERROR(MIN(IF((B7:B206="BUY")*(H7:H206&lt;0),H7:H206)),0)</f>
        <v/>
      </c>
    </row>
    <row r="222">
      <c r="A222" t="inlineStr">
        <is>
          <t>TailTicket</t>
        </is>
      </c>
      <c r="B222">
        <f>IFERROR(MIN(IF((B7:B206="BUY")*(H7:H206=B221),A7:A206)),"N/A")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BasketSummary!B13</f>
        <v/>
      </c>
      <c r="E2">
        <f>TailRecovery_UP!B3</f>
        <v/>
      </c>
      <c r="F2">
        <f>TailRecovery_UP!B10</f>
        <v/>
      </c>
      <c r="G2">
        <f>MAX(E2-F2,0)</f>
        <v/>
      </c>
      <c r="H2">
        <f>TailRecovery_UP!B5</f>
        <v/>
      </c>
      <c r="I2">
        <f>TailRecovery_UP!B7</f>
        <v/>
      </c>
      <c r="J2">
        <f>SectionCalculator_UP!B35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BasketSummary!C13</f>
        <v/>
      </c>
      <c r="E3">
        <f>TailRecovery_DOWN!B3</f>
        <v/>
      </c>
      <c r="F3">
        <f>TailRecovery_DOWN!B10</f>
        <v/>
      </c>
      <c r="G3">
        <f>MAX(E3-F3,0)</f>
        <v/>
      </c>
      <c r="H3">
        <f>TailRecovery_DOWN!B5</f>
        <v/>
      </c>
      <c r="I3">
        <f>TailRecovery_DOWN!B7</f>
        <v/>
      </c>
      <c r="J3">
        <f>SectionCalculator_DOWN!B35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>
        <f>IFERROR(Scenario_UP!B4,0)</f>
        <v/>
      </c>
    </row>
    <row r="4">
      <c r="A4" t="inlineStr">
        <is>
          <t>Следующий уровень</t>
        </is>
      </c>
      <c r="B4">
        <f>IFERROR(IF(SectionCalculator_UP!B4=1,Scenario_UP!E4,IF(SectionCalculator_UP!B4=2,Scenario_UP!E5,IF(SectionCalculator_UP!B4=3,Scenario_UP!E6,IF(SectionCalculator_UP!B4=4,Scenario_UP!E7,"")))),"")</f>
        <v/>
      </c>
    </row>
    <row r="5">
      <c r="A5" t="inlineStr">
        <is>
          <t>Расстояние до уровня, пунктов</t>
        </is>
      </c>
      <c r="B5">
        <f>IF(OR(B4="",B3=""),"Уровень не рассчитан",ROUND(ABS(B4-B3)*10000,0))</f>
        <v/>
      </c>
    </row>
    <row r="6">
      <c r="A6" t="inlineStr">
        <is>
          <t>Большая позиция</t>
        </is>
      </c>
      <c r="B6">
        <f>IFERROR(IF(TailRecovery_UP!B16&gt;0,IF("UP"="UP","SELL ","BUY ")&amp;TEXT(TailRecovery_UP!B16,"0.00"),"Не открывать"),"Не открывать")</f>
        <v/>
      </c>
    </row>
    <row r="7">
      <c r="A7" t="inlineStr">
        <is>
          <t>Малая защитная позиция</t>
        </is>
      </c>
      <c r="B7">
        <f>IFERROR(IF(TailRecovery_UP!B17&gt;0,IF("UP"="UP","BUY ","SELL ")&amp;TEXT(TailRecovery_UP!B17,"0.00"),"Не открывать"),"Не открывать")</f>
        <v/>
      </c>
    </row>
    <row r="8">
      <c r="A8" t="inlineStr">
        <is>
          <t>Уровень секции</t>
        </is>
      </c>
      <c r="B8">
        <f>IFERROR(SectionCalculator_UP!B4,0)</f>
        <v/>
      </c>
    </row>
    <row r="9">
      <c r="A9" t="inlineStr">
        <is>
          <t>Причина</t>
        </is>
      </c>
      <c r="B9">
        <f>IF(SectionCalculator_UP!B14="YES","цена достигла уровня; хвост найден; риск-лимиты OK","секция сейчас недоступна: уровень/риск-гейт/хвост")</f>
        <v/>
      </c>
    </row>
    <row r="11">
      <c r="A11" t="inlineStr">
        <is>
          <t>Проверки риска</t>
        </is>
      </c>
    </row>
    <row r="12">
      <c r="A12" t="inlineStr">
        <is>
          <t>Можно открыть секцию</t>
        </is>
      </c>
      <c r="B12">
        <f>SectionCalculator_UP!B14</f>
        <v/>
      </c>
    </row>
    <row r="13">
      <c r="A13" t="inlineStr">
        <is>
          <t>Нет встречного каскада</t>
        </is>
      </c>
      <c r="B13">
        <f>SectionCalculator_UP!B13</f>
        <v/>
      </c>
    </row>
    <row r="14">
      <c r="A14" t="inlineStr">
        <is>
          <t>Можно закрыть секцию</t>
        </is>
      </c>
      <c r="B14">
        <f>SectionCalculator_UP!B32</f>
        <v/>
      </c>
    </row>
    <row r="15">
      <c r="A15" t="inlineStr">
        <is>
          <t>Можно закрыть хвост</t>
        </is>
      </c>
      <c r="B15">
        <f>TailRecovery_UP!B11</f>
        <v/>
      </c>
    </row>
    <row r="17">
      <c r="A17" t="inlineStr">
        <is>
          <t>Прибыль цикла</t>
        </is>
      </c>
      <c r="B17">
        <f>IFERROR(SectionCalculator_UP!B31,0)</f>
        <v/>
      </c>
    </row>
    <row r="18">
      <c r="A18" t="inlineStr">
        <is>
          <t>Добавить в резерв</t>
        </is>
      </c>
      <c r="B18">
        <f>IFERROR(TailRecovery_UP!B6,0)</f>
        <v/>
      </c>
    </row>
    <row r="19">
      <c r="A19" t="inlineStr">
        <is>
          <t>Добавить в RecoveryFund</t>
        </is>
      </c>
      <c r="B19">
        <f>IFERROR(TailRecovery_UP!B8,0)</f>
        <v/>
      </c>
    </row>
    <row r="21">
      <c r="A21" t="inlineStr">
        <is>
          <t>Тип хвоста</t>
        </is>
      </c>
      <c r="B21">
        <f>IF(OR(TailRecovery_UP!B2="",TailRecovery_UP!B2="N/A"),"Хвост не найден",TailRecovery_UP!B2)</f>
        <v/>
      </c>
    </row>
    <row r="22">
      <c r="A22" t="inlineStr">
        <is>
          <t>Лот хвоста</t>
        </is>
      </c>
      <c r="B22">
        <f>IFERROR(IF(TailRecovery_UP!B3&gt;0,TailRecovery_UP!B3,"Хвост не найден"),"Хвост не найден")</f>
        <v/>
      </c>
    </row>
    <row r="23">
      <c r="A23" t="inlineStr">
        <is>
          <t>Убыток хвоста</t>
        </is>
      </c>
      <c r="B23">
        <f>IFERROR(TailRecovery_UP!B12,0)</f>
        <v/>
      </c>
    </row>
    <row r="24">
      <c r="A24" t="inlineStr">
        <is>
          <t>RecoveryFund до закрытия</t>
        </is>
      </c>
      <c r="B24">
        <f>IFERROR(TailRecovery_UP!B5,0)</f>
        <v/>
      </c>
    </row>
    <row r="25">
      <c r="A25" t="inlineStr">
        <is>
          <t>Расчётный лот закрытия</t>
        </is>
      </c>
      <c r="B25">
        <f>IFERROR(TailRecovery_UP!B9,0)</f>
        <v/>
      </c>
    </row>
    <row r="26">
      <c r="A26" t="inlineStr">
        <is>
          <t>Округлённый лот закрытия</t>
        </is>
      </c>
      <c r="B26">
        <f>IFERROR(TailRecovery_UP!B10,0)</f>
        <v/>
      </c>
    </row>
    <row r="27">
      <c r="A27" t="inlineStr">
        <is>
          <t>Итоговый лот закрытия</t>
        </is>
      </c>
      <c r="B27">
        <f>IFERROR(TailRecovery_UP!B10,0)</f>
        <v/>
      </c>
    </row>
    <row r="28">
      <c r="A28" t="inlineStr">
        <is>
          <t>Остаток хвоста</t>
        </is>
      </c>
      <c r="B28">
        <f>IF(OR(B22="Хвост не найден",NOT(ISNUMBER(B22))),"Хвост не найден",MAX(B22-B27,0))</f>
        <v/>
      </c>
    </row>
    <row r="29">
      <c r="A29" t="inlineStr">
        <is>
          <t>RecoveryFund после закрытия</t>
        </is>
      </c>
      <c r="B29">
        <f>IFERROR(TailRecovery_UP!B7,0)</f>
        <v/>
      </c>
    </row>
    <row r="31">
      <c r="A31" t="inlineStr">
        <is>
          <t>HumanReadableAction</t>
        </is>
      </c>
      <c r="B31">
        <f>TEXTJOIN(CHAR(10),TRUE,"ПОДРОБНАЯ РЕКОМЕНДАЦИЯ:",B2,"Если цена дойдет до: "&amp;IF(B4="","уровень не рассчитан",TEXT(B4,"0.00000")),"Расстояние до уровня: "&amp;IF(ISNUMBER(B5),TEXT(B5,"0")&amp;" пунктов",B5),"Рекомендация по открытию: "&amp;B6&amp;" и "&amp;B7,"Прибыль цикла: "&amp;TEXT(B17,"0.00")&amp;"; Резерв +"&amp;TEXT(B18,"0.00")&amp;"; RecoveryFund +"&amp;TEXT(B19,"0.00"),"Хвост: "&amp;B21&amp;"; закрыть: "&amp;IF(ISNUMBER(B27),TEXT(B27,"0.00"),"0.00")&amp;"; останется: "&amp;IF(ISNUMBER(B28),TEXT(B28,"0.00"),B28),"RecoveryFund после: "&amp;TEXT(B29,"0.00"),"Итоговое действие: "&amp;IF(BasketSummary!B10="YES","BASKET_CLOSE",IF(B12&lt;&gt;"YES","WAIT",IF(B14="YES",IF(B15="YES","CLOSE_SECTION+CLOSE_TAIL","CLOSE_SECTION"),"OPEN_SECTION"))),"SAFE: "&amp;IF(OR(B12&lt;&gt;"YES",B13&lt;&gt;"YES"),"YES","NO"))</f>
        <v/>
      </c>
    </row>
    <row r="32">
      <c r="A32" s="2">
        <f>B31</f>
        <v/>
      </c>
    </row>
    <row r="33"/>
    <row r="34"/>
    <row r="35"/>
    <row r="36"/>
    <row r="37"/>
    <row r="38"/>
    <row r="39"/>
    <row r="40"/>
    <row r="41"/>
    <row r="42"/>
    <row r="43"/>
    <row r="44"/>
    <row r="45"/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>
        <f>IFERROR(Scenario_DOWN!B4,0)</f>
        <v/>
      </c>
    </row>
    <row r="4">
      <c r="A4" t="inlineStr">
        <is>
          <t>Следующий уровень</t>
        </is>
      </c>
      <c r="B4">
        <f>IFERROR(IF(SectionCalculator_DOWN!B4=1,Scenario_DOWN!E9,IF(SectionCalculator_DOWN!B4=2,Scenario_DOWN!E10,IF(SectionCalculator_DOWN!B4=3,Scenario_DOWN!E11,IF(SectionCalculator_DOWN!B4=4,Scenario_DOWN!E12,"")))),"")</f>
        <v/>
      </c>
    </row>
    <row r="5">
      <c r="A5" t="inlineStr">
        <is>
          <t>Расстояние до уровня, пунктов</t>
        </is>
      </c>
      <c r="B5">
        <f>IF(OR(B4="",B3=""),"Уровень не рассчитан",ROUND(ABS(B4-B3)*10000,0))</f>
        <v/>
      </c>
    </row>
    <row r="6">
      <c r="A6" t="inlineStr">
        <is>
          <t>Большая позиция</t>
        </is>
      </c>
      <c r="B6">
        <f>IFERROR(IF(TailRecovery_DOWN!B16&gt;0,IF("DOWN"="UP","SELL ","BUY ")&amp;TEXT(TailRecovery_DOWN!B16,"0.00"),"Не открывать"),"Не открывать")</f>
        <v/>
      </c>
    </row>
    <row r="7">
      <c r="A7" t="inlineStr">
        <is>
          <t>Малая защитная позиция</t>
        </is>
      </c>
      <c r="B7">
        <f>IFERROR(IF(TailRecovery_DOWN!B17&gt;0,IF("DOWN"="UP","BUY ","SELL ")&amp;TEXT(TailRecovery_DOWN!B17,"0.00"),"Не открывать"),"Не открывать")</f>
        <v/>
      </c>
    </row>
    <row r="8">
      <c r="A8" t="inlineStr">
        <is>
          <t>Уровень секции</t>
        </is>
      </c>
      <c r="B8">
        <f>IFERROR(SectionCalculator_DOWN!B4,0)</f>
        <v/>
      </c>
    </row>
    <row r="9">
      <c r="A9" t="inlineStr">
        <is>
          <t>Причина</t>
        </is>
      </c>
      <c r="B9">
        <f>IF(SectionCalculator_DOWN!B14="YES","цена достигла уровня; хвост найден; риск-лимиты OK","секция сейчас недоступна: уровень/риск-гейт/хвост")</f>
        <v/>
      </c>
    </row>
    <row r="11">
      <c r="A11" t="inlineStr">
        <is>
          <t>Проверки риска</t>
        </is>
      </c>
    </row>
    <row r="12">
      <c r="A12" t="inlineStr">
        <is>
          <t>Можно открыть секцию</t>
        </is>
      </c>
      <c r="B12">
        <f>SectionCalculator_DOWN!B14</f>
        <v/>
      </c>
    </row>
    <row r="13">
      <c r="A13" t="inlineStr">
        <is>
          <t>Нет встречного каскада</t>
        </is>
      </c>
      <c r="B13">
        <f>SectionCalculator_DOWN!B13</f>
        <v/>
      </c>
    </row>
    <row r="14">
      <c r="A14" t="inlineStr">
        <is>
          <t>Можно закрыть секцию</t>
        </is>
      </c>
      <c r="B14">
        <f>SectionCalculator_DOWN!B32</f>
        <v/>
      </c>
    </row>
    <row r="15">
      <c r="A15" t="inlineStr">
        <is>
          <t>Можно закрыть хвост</t>
        </is>
      </c>
      <c r="B15">
        <f>TailRecovery_DOWN!B11</f>
        <v/>
      </c>
    </row>
    <row r="17">
      <c r="A17" t="inlineStr">
        <is>
          <t>Прибыль цикла</t>
        </is>
      </c>
      <c r="B17">
        <f>IFERROR(SectionCalculator_DOWN!B31,0)</f>
        <v/>
      </c>
    </row>
    <row r="18">
      <c r="A18" t="inlineStr">
        <is>
          <t>Добавить в резерв</t>
        </is>
      </c>
      <c r="B18">
        <f>IFERROR(TailRecovery_DOWN!B6,0)</f>
        <v/>
      </c>
    </row>
    <row r="19">
      <c r="A19" t="inlineStr">
        <is>
          <t>Добавить в RecoveryFund</t>
        </is>
      </c>
      <c r="B19">
        <f>IFERROR(TailRecovery_DOWN!B8,0)</f>
        <v/>
      </c>
    </row>
    <row r="21">
      <c r="A21" t="inlineStr">
        <is>
          <t>Тип хвоста</t>
        </is>
      </c>
      <c r="B21">
        <f>IF(OR(TailRecovery_DOWN!B2="",TailRecovery_DOWN!B2="N/A"),"Хвост не найден",TailRecovery_DOWN!B2)</f>
        <v/>
      </c>
    </row>
    <row r="22">
      <c r="A22" t="inlineStr">
        <is>
          <t>Лот хвоста</t>
        </is>
      </c>
      <c r="B22">
        <f>IFERROR(IF(TailRecovery_DOWN!B3&gt;0,TailRecovery_DOWN!B3,"Хвост не найден"),"Хвост не найден")</f>
        <v/>
      </c>
    </row>
    <row r="23">
      <c r="A23" t="inlineStr">
        <is>
          <t>Убыток хвоста</t>
        </is>
      </c>
      <c r="B23">
        <f>IFERROR(TailRecovery_DOWN!B12,0)</f>
        <v/>
      </c>
    </row>
    <row r="24">
      <c r="A24" t="inlineStr">
        <is>
          <t>RecoveryFund до закрытия</t>
        </is>
      </c>
      <c r="B24">
        <f>IFERROR(TailRecovery_DOWN!B5,0)</f>
        <v/>
      </c>
    </row>
    <row r="25">
      <c r="A25" t="inlineStr">
        <is>
          <t>Расчётный лот закрытия</t>
        </is>
      </c>
      <c r="B25">
        <f>IFERROR(TailRecovery_DOWN!B9,0)</f>
        <v/>
      </c>
    </row>
    <row r="26">
      <c r="A26" t="inlineStr">
        <is>
          <t>Округлённый лот закрытия</t>
        </is>
      </c>
      <c r="B26">
        <f>IFERROR(TailRecovery_DOWN!B10,0)</f>
        <v/>
      </c>
    </row>
    <row r="27">
      <c r="A27" t="inlineStr">
        <is>
          <t>Итоговый лот закрытия</t>
        </is>
      </c>
      <c r="B27">
        <f>IFERROR(TailRecovery_DOWN!B10,0)</f>
        <v/>
      </c>
    </row>
    <row r="28">
      <c r="A28" t="inlineStr">
        <is>
          <t>Остаток хвоста</t>
        </is>
      </c>
      <c r="B28">
        <f>IF(OR(B22="Хвост не найден",NOT(ISNUMBER(B22))),"Хвост не найден",MAX(B22-B27,0))</f>
        <v/>
      </c>
    </row>
    <row r="29">
      <c r="A29" t="inlineStr">
        <is>
          <t>RecoveryFund после закрытия</t>
        </is>
      </c>
      <c r="B29">
        <f>IFERROR(TailRecovery_DOWN!B7,0)</f>
        <v/>
      </c>
    </row>
    <row r="31">
      <c r="A31" t="inlineStr">
        <is>
          <t>HumanReadableAction</t>
        </is>
      </c>
      <c r="B31">
        <f>TEXTJOIN(CHAR(10),TRUE,"ПОДРОБНАЯ РЕКОМЕНДАЦИЯ:",B2,"Если цена дойдет до: "&amp;IF(B4="","уровень не рассчитан",TEXT(B4,"0.00000")),"Расстояние до уровня: "&amp;IF(ISNUMBER(B5),TEXT(B5,"0")&amp;" пунктов",B5),"Рекомендация по открытию: "&amp;B6&amp;" и "&amp;B7,"Прибыль цикла: "&amp;TEXT(B17,"0.00")&amp;"; Резерв +"&amp;TEXT(B18,"0.00")&amp;"; RecoveryFund +"&amp;TEXT(B19,"0.00"),"Хвост: "&amp;B21&amp;"; закрыть: "&amp;IF(ISNUMBER(B27),TEXT(B27,"0.00"),"0.00")&amp;"; останется: "&amp;IF(ISNUMBER(B28),TEXT(B28,"0.00"),B28),"RecoveryFund после: "&amp;TEXT(B29,"0.00"),"Итоговое действие: "&amp;IF(BasketSummary!C10="YES","BASKET_CLOSE",IF(B12&lt;&gt;"YES","WAIT",IF(B14="YES",IF(B15="YES","CLOSE_SECTION+CLOSE_TAIL","CLOSE_SECTION"),"OPEN_SECTION"))),"SAFE: "&amp;IF(OR(B12&lt;&gt;"YES",B13&lt;&gt;"YES"),"YES","NO"))</f>
        <v/>
      </c>
    </row>
    <row r="32">
      <c r="A32" s="2">
        <f>B31</f>
        <v/>
      </c>
    </row>
    <row r="33"/>
    <row r="34"/>
    <row r="35"/>
    <row r="36"/>
    <row r="37"/>
    <row r="38"/>
    <row r="39"/>
    <row r="40"/>
    <row r="41"/>
    <row r="42"/>
    <row r="43"/>
    <row r="44"/>
    <row r="45"/>
  </sheetData>
  <mergeCells count="1">
    <mergeCell ref="A32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2026-05-11T20:20:00Z</dcterms:created>
  <dcterms:modified xsi:type="dcterms:W3CDTF">2026-05-11T20:20:00Z</dcterms:modified>
</cp:coreProperties>
</file>