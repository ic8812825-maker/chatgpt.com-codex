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urrentPositions" sheetId="2" state="visible" r:id="rId2"/>
    <sheet name="Scenario_UP" sheetId="3" state="visible" r:id="rId3"/>
    <sheet name="Scenario_DOWN" sheetId="4" state="visible" r:id="rId4"/>
    <sheet name="SectionCalculator_UP" sheetId="5" state="visible" r:id="rId5"/>
    <sheet name="SectionCalculator_DOWN" sheetId="6" state="visible" r:id="rId6"/>
    <sheet name="TailRecovery_UP" sheetId="7" state="visible" r:id="rId7"/>
    <sheet name="TailRecovery_DOWN" sheetId="8" state="visible" r:id="rId8"/>
    <sheet name="BasketSummary" sheetId="9" state="visible" r:id="rId9"/>
    <sheet name="Validation" sheetId="10" state="visible" r:id="rId10"/>
    <sheet name="Log" sheetId="11" state="visible" r:id="rId11"/>
    <sheet name="ScenarioText_UP" sheetId="12" state="visible" r:id="rId12"/>
    <sheet name="ScenarioText_DOWN" sheetId="13" state="visible" r:id="rId13"/>
    <sheet name="FormulaDependency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FFFFFFFF"/>
      <sz val="13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EURUSD</t>
        </is>
      </c>
    </row>
    <row r="3">
      <c r="A3" t="inlineStr">
        <is>
          <t>Point</t>
        </is>
      </c>
      <c r="B3" t="n">
        <v>0.0001</v>
      </c>
    </row>
    <row r="4">
      <c r="A4" t="inlineStr">
        <is>
          <t>PointValuePerLot</t>
        </is>
      </c>
      <c r="B4" t="n">
        <v>1</v>
      </c>
    </row>
    <row r="5">
      <c r="A5" t="inlineStr">
        <is>
          <t>StepPoints</t>
        </is>
      </c>
      <c r="B5" t="n">
        <v>100</v>
      </c>
    </row>
    <row r="6">
      <c r="A6" t="inlineStr">
        <is>
          <t>MinLot</t>
        </is>
      </c>
      <c r="B6" t="n">
        <v>0.01</v>
      </c>
    </row>
    <row r="7">
      <c r="A7" t="inlineStr">
        <is>
          <t>LotStep</t>
        </is>
      </c>
      <c r="B7" t="n">
        <v>0.01</v>
      </c>
    </row>
    <row r="8">
      <c r="A8" t="inlineStr">
        <is>
          <t>MaxActiveSections</t>
        </is>
      </c>
      <c r="B8" t="n">
        <v>4</v>
      </c>
    </row>
    <row r="9">
      <c r="A9" t="inlineStr">
        <is>
          <t>ReservePercent</t>
        </is>
      </c>
      <c r="B9" t="n">
        <v>0.2</v>
      </c>
    </row>
    <row r="10">
      <c r="A10" t="inlineStr">
        <is>
          <t>RecoveryPercent</t>
        </is>
      </c>
      <c r="B10" t="n">
        <v>0.8</v>
      </c>
    </row>
    <row r="11">
      <c r="A11" t="inlineStr">
        <is>
          <t>BasketTarget</t>
        </is>
      </c>
      <c r="B11" t="n">
        <v>0</v>
      </c>
    </row>
    <row r="12">
      <c r="A12" t="inlineStr">
        <is>
          <t>MaxSpreadPoints</t>
        </is>
      </c>
      <c r="B12" t="n">
        <v>20</v>
      </c>
    </row>
    <row r="13">
      <c r="A13" t="inlineStr">
        <is>
          <t>CommissionPerLot</t>
        </is>
      </c>
      <c r="B13" t="n">
        <v>0</v>
      </c>
    </row>
    <row r="14">
      <c r="A14" t="inlineStr">
        <is>
          <t>SwapPerLot</t>
        </is>
      </c>
      <c r="B14" t="n">
        <v>0</v>
      </c>
    </row>
    <row r="15">
      <c r="A15" t="inlineStr">
        <is>
          <t>MaxTotalLot</t>
        </is>
      </c>
      <c r="B15" t="n">
        <v>20</v>
      </c>
    </row>
    <row r="16">
      <c r="A16" t="inlineStr">
        <is>
          <t>MaxNetLot</t>
        </is>
      </c>
      <c r="B16" t="n">
        <v>10</v>
      </c>
    </row>
    <row r="17">
      <c r="A17" t="inlineStr">
        <is>
          <t>GlobalReserve</t>
        </is>
      </c>
      <c r="B17" t="n">
        <v>0</v>
      </c>
    </row>
    <row r="18">
      <c r="A18" t="inlineStr">
        <is>
          <t>RecoveryFund</t>
        </is>
      </c>
      <c r="B18" t="n">
        <v>0</v>
      </c>
    </row>
    <row r="19">
      <c r="A19" t="inlineStr">
        <is>
          <t>CostMode</t>
        </is>
      </c>
      <c r="B19" t="inlineStr">
        <is>
          <t>FULL_CYCLE</t>
        </is>
      </c>
    </row>
    <row r="20">
      <c r="A20" s="1" t="inlineStr">
        <is>
          <t>Level</t>
        </is>
      </c>
      <c r="B20" s="1" t="inlineStr">
        <is>
          <t>BigRatio</t>
        </is>
      </c>
      <c r="C20" s="1" t="inlineStr">
        <is>
          <t>SmallRatio</t>
        </is>
      </c>
    </row>
    <row r="21">
      <c r="A21" t="n">
        <v>1</v>
      </c>
      <c r="B21" t="n">
        <v>0.4</v>
      </c>
      <c r="C21" t="n">
        <v>0.15</v>
      </c>
    </row>
    <row r="22">
      <c r="A22" t="n">
        <v>2</v>
      </c>
      <c r="B22" t="n">
        <v>0.25</v>
      </c>
      <c r="C22" t="n">
        <v>0.1</v>
      </c>
    </row>
    <row r="23">
      <c r="A23" t="n">
        <v>3</v>
      </c>
      <c r="B23" t="n">
        <v>0.15</v>
      </c>
      <c r="C23" t="n">
        <v>0.06</v>
      </c>
    </row>
    <row r="24">
      <c r="A24" t="n">
        <v>4</v>
      </c>
      <c r="B24" t="n">
        <v>0.1</v>
      </c>
      <c r="C24" t="n">
        <v>0.04</v>
      </c>
    </row>
    <row r="30">
      <c r="A30" t="inlineStr">
        <is>
          <t>MarketPriceInput</t>
        </is>
      </c>
    </row>
    <row r="31">
      <c r="A31" t="inlineStr">
        <is>
          <t>Bid</t>
        </is>
      </c>
      <c r="B31" s="2" t="n">
        <v>1.23</v>
      </c>
    </row>
    <row r="32">
      <c r="A32" t="inlineStr">
        <is>
          <t>Ask</t>
        </is>
      </c>
      <c r="B32" s="2" t="n">
        <v>1.2302</v>
      </c>
    </row>
    <row r="33">
      <c r="A33" t="inlineStr">
        <is>
          <t>MidPrice</t>
        </is>
      </c>
      <c r="B33" s="2">
        <f>(B31+B32)/2</f>
        <v/>
      </c>
    </row>
    <row r="34">
      <c r="A34" t="inlineStr">
        <is>
          <t>SpreadPoints</t>
        </is>
      </c>
      <c r="B34" s="3">
        <f>(B32-B31)/B3</f>
        <v/>
      </c>
    </row>
    <row r="35">
      <c r="A35" t="inlineStr">
        <is>
          <t>PriceSourceMode</t>
        </is>
      </c>
      <c r="B35" t="inlineStr">
        <is>
          <t>BID_ASK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Lot</t>
        </is>
      </c>
      <c r="E1" s="1" t="inlineStr">
        <is>
          <t>OpenPrice</t>
        </is>
      </c>
      <c r="F1" s="1" t="inlineStr">
        <is>
          <t>CurrentPrice</t>
        </is>
      </c>
      <c r="G1" s="1" t="inlineStr">
        <is>
          <t>PointsPnL</t>
        </is>
      </c>
      <c r="H1" s="1" t="inlineStr">
        <is>
          <t>MoneyPnL</t>
        </is>
      </c>
      <c r="I1" s="1" t="inlineStr">
        <is>
          <t>IsTail</t>
        </is>
      </c>
      <c r="J1" s="1" t="inlineStr">
        <is>
          <t>SectionID</t>
        </is>
      </c>
    </row>
    <row r="2">
      <c r="A2" t="n">
        <v>10001</v>
      </c>
      <c r="B2" t="inlineStr">
        <is>
          <t>BUY</t>
        </is>
      </c>
      <c r="C2" t="inlineStr">
        <is>
          <t>MAIN</t>
        </is>
      </c>
      <c r="D2" t="n">
        <v>1</v>
      </c>
      <c r="E2" t="n">
        <v>1.23</v>
      </c>
      <c r="F2">
        <f>IF(B2="BUY",Settings!$B$31,IF(B2="SELL",Settings!$B$32,""))</f>
        <v/>
      </c>
      <c r="G2">
        <f>IF(B2="BUY",(F2-E2)/Settings!$B$3,IF(B2="SELL",(E2-F2)/Settings!$B$3,0))</f>
        <v/>
      </c>
      <c r="H2">
        <f>G2*D2*Settings!$B$4</f>
        <v/>
      </c>
      <c r="I2" t="inlineStr">
        <is>
          <t>NO</t>
        </is>
      </c>
      <c r="J2" t="inlineStr"/>
    </row>
    <row r="3">
      <c r="A3" t="n">
        <v>10002</v>
      </c>
      <c r="B3" t="inlineStr">
        <is>
          <t>SELL</t>
        </is>
      </c>
      <c r="C3" t="inlineStr">
        <is>
          <t>TAIL</t>
        </is>
      </c>
      <c r="D3" t="n">
        <v>1</v>
      </c>
      <c r="E3" t="n">
        <v>1.23</v>
      </c>
      <c r="F3">
        <f>IF(B3="BUY",Settings!$B$31,IF(B3="SELL",Settings!$B$32,""))</f>
        <v/>
      </c>
      <c r="G3">
        <f>IF(B3="BUY",(F3-E3)/Settings!$B$3,IF(B3="SELL",(E3-F3)/Settings!$B$3,0))</f>
        <v/>
      </c>
      <c r="H3">
        <f>G3*D3*Settings!$B$4</f>
        <v/>
      </c>
      <c r="I3" t="inlineStr">
        <is>
          <t>YES</t>
        </is>
      </c>
      <c r="J3" t="inlineStr"/>
    </row>
    <row r="4">
      <c r="A4" t="n">
        <v>10003</v>
      </c>
      <c r="B4" t="inlineStr">
        <is>
          <t>SELL</t>
        </is>
      </c>
      <c r="C4" t="inlineStr">
        <is>
          <t>SECTION_BIG</t>
        </is>
      </c>
      <c r="D4" t="n">
        <v>0.4</v>
      </c>
      <c r="E4" t="n">
        <v>1.235</v>
      </c>
      <c r="F4">
        <f>IF(B4="BUY",Settings!$B$31,IF(B4="SELL",Settings!$B$32,""))</f>
        <v/>
      </c>
      <c r="G4">
        <f>IF(B4="BUY",(F4-E4)/Settings!$B$3,IF(B4="SELL",(E4-F4)/Settings!$B$3,0))</f>
        <v/>
      </c>
      <c r="H4">
        <f>G4*D4*Settings!$B$4</f>
        <v/>
      </c>
      <c r="I4" t="inlineStr">
        <is>
          <t>NO</t>
        </is>
      </c>
      <c r="J4" t="inlineStr">
        <is>
          <t>S1</t>
        </is>
      </c>
    </row>
    <row r="5">
      <c r="A5" t="n">
        <v>10004</v>
      </c>
      <c r="B5" t="inlineStr">
        <is>
          <t>BUY</t>
        </is>
      </c>
      <c r="C5" t="inlineStr">
        <is>
          <t>SECTION_SMALL</t>
        </is>
      </c>
      <c r="D5" t="n">
        <v>0.15</v>
      </c>
      <c r="E5" t="n">
        <v>1.235</v>
      </c>
      <c r="F5">
        <f>IF(B5="BUY",Settings!$B$31,IF(B5="SELL",Settings!$B$32,""))</f>
        <v/>
      </c>
      <c r="G5">
        <f>IF(B5="BUY",(F5-E5)/Settings!$B$3,IF(B5="SELL",(E5-F5)/Settings!$B$3,0))</f>
        <v/>
      </c>
      <c r="H5">
        <f>G5*D5*Settings!$B$4</f>
        <v/>
      </c>
      <c r="I5" t="inlineStr">
        <is>
          <t>NO</t>
        </is>
      </c>
      <c r="J5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M1" t="inlineStr">
        <is>
          <t>AverageBuyPrice</t>
        </is>
      </c>
      <c r="N1">
        <f>IFERROR(SUMPRODUCT((B12:B211="BUY")*E12:E211*D12:D211)/MAX(0.0000001,SUMIFS(D12:D211,B12:B211,"BUY")),0)</f>
        <v/>
      </c>
    </row>
    <row r="2">
      <c r="A2" t="inlineStr">
        <is>
          <t>CurrentBid</t>
        </is>
      </c>
      <c r="B2">
        <f>Settings!$B$31</f>
        <v/>
      </c>
      <c r="M2" t="inlineStr">
        <is>
          <t>AverageSellPrice</t>
        </is>
      </c>
      <c r="N2">
        <f>IFERROR(SUMPRODUCT((B12:B211="SELL")*E12:E211*D12:D211)/MAX(0.0000001,SUMIFS(D12:D211,B12:B211,"SELL")),0)</f>
        <v/>
      </c>
    </row>
    <row r="3">
      <c r="A3" t="inlineStr">
        <is>
          <t>CurrentAsk</t>
        </is>
      </c>
      <c r="B3">
        <f>Settings!$B$32</f>
        <v/>
      </c>
      <c r="M3" t="inlineStr">
        <is>
          <t>Center</t>
        </is>
      </c>
      <c r="N3">
        <f>(N1+N2)/2</f>
        <v/>
      </c>
    </row>
    <row r="4">
      <c r="A4" t="inlineStr">
        <is>
          <t>MoveUpPoints</t>
        </is>
      </c>
      <c r="B4" t="n">
        <v>100</v>
      </c>
      <c r="M4" t="inlineStr">
        <is>
          <t>UpperLevel1</t>
        </is>
      </c>
      <c r="N4">
        <f>IF(N3=0,"Уровень не рассчитан",N3+1*Settings!$B$5*Settings!$B$3)</f>
        <v/>
      </c>
    </row>
    <row r="5">
      <c r="A5" t="inlineStr">
        <is>
          <t>ScenarioBid</t>
        </is>
      </c>
      <c r="B5">
        <f>B2+B4*Settings!$B$3</f>
        <v/>
      </c>
      <c r="M5" t="inlineStr">
        <is>
          <t>UpperLevel2</t>
        </is>
      </c>
      <c r="N5">
        <f>IF(N3=0,"Уровень не рассчитан",N3+2*Settings!$B$5*Settings!$B$3)</f>
        <v/>
      </c>
    </row>
    <row r="6">
      <c r="A6" t="inlineStr">
        <is>
          <t>ScenarioAsk</t>
        </is>
      </c>
      <c r="B6">
        <f>B3+B4*Settings!$B$3</f>
        <v/>
      </c>
      <c r="M6" t="inlineStr">
        <is>
          <t>UpperLevel3</t>
        </is>
      </c>
      <c r="N6">
        <f>IF(N3=0,"Уровень не рассчитан",N3+3*Settings!$B$5*Settings!$B$3)</f>
        <v/>
      </c>
    </row>
    <row r="7">
      <c r="A7" t="inlineStr">
        <is>
          <t>ScenarioMid</t>
        </is>
      </c>
      <c r="B7">
        <f>(B5+B6)/2</f>
        <v/>
      </c>
      <c r="M7" t="inlineStr">
        <is>
          <t>UpperLevel4</t>
        </is>
      </c>
      <c r="N7">
        <f>IF(N3=0,"Уровень не рассчитан",N3+4*Settings!$B$5*Settings!$B$3)</f>
        <v/>
      </c>
    </row>
    <row r="8">
      <c r="A8" t="inlineStr">
        <is>
          <t>ScenarioSpread</t>
        </is>
      </c>
      <c r="B8">
        <f>(B6-B5)/Settings!$B$3</f>
        <v/>
      </c>
    </row>
    <row r="9">
      <c r="M9" t="inlineStr">
        <is>
          <t>LowerLevel1</t>
        </is>
      </c>
      <c r="N9">
        <f>IF(N3=0,"Уровень не рассчитан",N3-1*Settings!$B$5*Settings!$B$3)</f>
        <v/>
      </c>
    </row>
    <row r="10">
      <c r="M10" t="inlineStr">
        <is>
          <t>LowerLevel2</t>
        </is>
      </c>
      <c r="N10">
        <f>IF(N3=0,"Уровень не рассчитан",N3-2*Settings!$B$5*Settings!$B$3)</f>
        <v/>
      </c>
    </row>
    <row r="11">
      <c r="A11" s="1" t="inlineStr">
        <is>
          <t>Ticket</t>
        </is>
      </c>
      <c r="B11" s="1" t="inlineStr">
        <is>
          <t>Type</t>
        </is>
      </c>
      <c r="C11" s="1" t="inlineStr">
        <is>
          <t>Role</t>
        </is>
      </c>
      <c r="D11" s="1" t="inlineStr">
        <is>
          <t>Lot</t>
        </is>
      </c>
      <c r="E11" s="1" t="inlineStr">
        <is>
          <t>OpenPrice</t>
        </is>
      </c>
      <c r="F11" s="1" t="inlineStr">
        <is>
          <t>ScenarioClosePrice</t>
        </is>
      </c>
      <c r="G11" s="1" t="inlineStr">
        <is>
          <t>ScenarioPointsPnL</t>
        </is>
      </c>
      <c r="H11" s="1" t="inlineStr">
        <is>
          <t>ScenarioMoneyPnL</t>
        </is>
      </c>
      <c r="I11" s="1" t="inlineStr">
        <is>
          <t>IsTail</t>
        </is>
      </c>
      <c r="J11" s="1" t="inlineStr">
        <is>
          <t>SectionID</t>
        </is>
      </c>
      <c r="K11" s="1" t="inlineStr">
        <is>
          <t>TailLossHelper</t>
        </is>
      </c>
      <c r="L11" s="1" t="inlineStr">
        <is>
          <t>TailTicketHelper</t>
        </is>
      </c>
      <c r="M11" t="inlineStr">
        <is>
          <t>LowerLevel3</t>
        </is>
      </c>
      <c r="N11">
        <f>IF(N3=0,"Уровень не рассчитан",N3-3*Settings!$B$5*Settings!$B$3)</f>
        <v/>
      </c>
    </row>
    <row r="12">
      <c r="A12">
        <f>CurrentPositions!A2</f>
        <v/>
      </c>
      <c r="B12">
        <f>CurrentPositions!B2</f>
        <v/>
      </c>
      <c r="C12">
        <f>CurrentPositions!C2</f>
        <v/>
      </c>
      <c r="D12">
        <f>CurrentPositions!D2</f>
        <v/>
      </c>
      <c r="E12">
        <f>CurrentPositions!E2</f>
        <v/>
      </c>
      <c r="F12">
        <f>IF(B12="BUY",$B$5,IF(B12="SELL",$B$6,""))</f>
        <v/>
      </c>
      <c r="G12">
        <f>IF(B12="BUY",(F12-E12)/Settings!$B$3,IF(B12="SELL",(E12-F12)/Settings!$B$3,0))</f>
        <v/>
      </c>
      <c r="H12">
        <f>G12*D12*Settings!$B$4</f>
        <v/>
      </c>
      <c r="I12">
        <f>CurrentPositions!I2</f>
        <v/>
      </c>
      <c r="J12">
        <f>CurrentPositions!J2</f>
        <v/>
      </c>
      <c r="K12">
        <f>IF(AND(B12="SELL",H12&lt;0),H12,"")</f>
        <v/>
      </c>
      <c r="L12">
        <f>IF(K12&lt;&gt;"",A12,"")</f>
        <v/>
      </c>
      <c r="M12" t="inlineStr">
        <is>
          <t>LowerLevel4</t>
        </is>
      </c>
      <c r="N12">
        <f>IF(N3=0,"Уровень не рассчитан",N3-4*Settings!$B$5*Settings!$B$3)</f>
        <v/>
      </c>
    </row>
    <row r="13">
      <c r="A13">
        <f>CurrentPositions!A3</f>
        <v/>
      </c>
      <c r="B13">
        <f>CurrentPositions!B3</f>
        <v/>
      </c>
      <c r="C13">
        <f>CurrentPositions!C3</f>
        <v/>
      </c>
      <c r="D13">
        <f>CurrentPositions!D3</f>
        <v/>
      </c>
      <c r="E13">
        <f>CurrentPositions!E3</f>
        <v/>
      </c>
      <c r="F13">
        <f>IF(B13="BUY",$B$5,IF(B13="SELL",$B$6,""))</f>
        <v/>
      </c>
      <c r="G13">
        <f>IF(B13="BUY",(F13-E13)/Settings!$B$3,IF(B13="SELL",(E13-F13)/Settings!$B$3,0))</f>
        <v/>
      </c>
      <c r="H13">
        <f>G13*D13*Settings!$B$4</f>
        <v/>
      </c>
      <c r="I13">
        <f>CurrentPositions!I3</f>
        <v/>
      </c>
      <c r="J13">
        <f>CurrentPositions!J3</f>
        <v/>
      </c>
      <c r="K13">
        <f>IF(AND(B13="SELL",H13&lt;0),H13,"")</f>
        <v/>
      </c>
      <c r="L13">
        <f>IF(K13&lt;&gt;"",A13,"")</f>
        <v/>
      </c>
    </row>
    <row r="14">
      <c r="A14">
        <f>CurrentPositions!A4</f>
        <v/>
      </c>
      <c r="B14">
        <f>CurrentPositions!B4</f>
        <v/>
      </c>
      <c r="C14">
        <f>CurrentPositions!C4</f>
        <v/>
      </c>
      <c r="D14">
        <f>CurrentPositions!D4</f>
        <v/>
      </c>
      <c r="E14">
        <f>CurrentPositions!E4</f>
        <v/>
      </c>
      <c r="F14">
        <f>IF(B14="BUY",$B$5,IF(B14="SELL",$B$6,""))</f>
        <v/>
      </c>
      <c r="G14">
        <f>IF(B14="BUY",(F14-E14)/Settings!$B$3,IF(B14="SELL",(E14-F14)/Settings!$B$3,0))</f>
        <v/>
      </c>
      <c r="H14">
        <f>G14*D14*Settings!$B$4</f>
        <v/>
      </c>
      <c r="I14">
        <f>CurrentPositions!I4</f>
        <v/>
      </c>
      <c r="J14">
        <f>CurrentPositions!J4</f>
        <v/>
      </c>
      <c r="K14">
        <f>IF(AND(B14="SELL",H14&lt;0),H14,"")</f>
        <v/>
      </c>
      <c r="L14">
        <f>IF(K14&lt;&gt;"",A14,"")</f>
        <v/>
      </c>
    </row>
    <row r="15">
      <c r="A15">
        <f>CurrentPositions!A5</f>
        <v/>
      </c>
      <c r="B15">
        <f>CurrentPositions!B5</f>
        <v/>
      </c>
      <c r="C15">
        <f>CurrentPositions!C5</f>
        <v/>
      </c>
      <c r="D15">
        <f>CurrentPositions!D5</f>
        <v/>
      </c>
      <c r="E15">
        <f>CurrentPositions!E5</f>
        <v/>
      </c>
      <c r="F15">
        <f>IF(B15="BUY",$B$5,IF(B15="SELL",$B$6,""))</f>
        <v/>
      </c>
      <c r="G15">
        <f>IF(B15="BUY",(F15-E15)/Settings!$B$3,IF(B15="SELL",(E15-F15)/Settings!$B$3,0))</f>
        <v/>
      </c>
      <c r="H15">
        <f>G15*D15*Settings!$B$4</f>
        <v/>
      </c>
      <c r="I15">
        <f>CurrentPositions!I5</f>
        <v/>
      </c>
      <c r="J15">
        <f>CurrentPositions!J5</f>
        <v/>
      </c>
      <c r="K15">
        <f>IF(AND(B15="SELL",H15&lt;0),H15,"")</f>
        <v/>
      </c>
      <c r="L15">
        <f>IF(K15&lt;&gt;"",A15,"")</f>
        <v/>
      </c>
    </row>
    <row r="16">
      <c r="A16">
        <f>CurrentPositions!A6</f>
        <v/>
      </c>
      <c r="B16">
        <f>CurrentPositions!B6</f>
        <v/>
      </c>
      <c r="C16">
        <f>CurrentPositions!C6</f>
        <v/>
      </c>
      <c r="D16">
        <f>CurrentPositions!D6</f>
        <v/>
      </c>
      <c r="E16">
        <f>CurrentPositions!E6</f>
        <v/>
      </c>
      <c r="F16">
        <f>IF(B16="BUY",$B$5,IF(B16="SELL",$B$6,""))</f>
        <v/>
      </c>
      <c r="G16">
        <f>IF(B16="BUY",(F16-E16)/Settings!$B$3,IF(B16="SELL",(E16-F16)/Settings!$B$3,0))</f>
        <v/>
      </c>
      <c r="H16">
        <f>G16*D16*Settings!$B$4</f>
        <v/>
      </c>
      <c r="I16">
        <f>CurrentPositions!I6</f>
        <v/>
      </c>
      <c r="J16">
        <f>CurrentPositions!J6</f>
        <v/>
      </c>
      <c r="K16">
        <f>IF(AND(B16="SELL",H16&lt;0),H16,"")</f>
        <v/>
      </c>
      <c r="L16">
        <f>IF(K16&lt;&gt;"",A16,"")</f>
        <v/>
      </c>
    </row>
    <row r="17">
      <c r="A17">
        <f>CurrentPositions!A7</f>
        <v/>
      </c>
      <c r="B17">
        <f>CurrentPositions!B7</f>
        <v/>
      </c>
      <c r="C17">
        <f>CurrentPositions!C7</f>
        <v/>
      </c>
      <c r="D17">
        <f>CurrentPositions!D7</f>
        <v/>
      </c>
      <c r="E17">
        <f>CurrentPositions!E7</f>
        <v/>
      </c>
      <c r="F17">
        <f>IF(B17="BUY",$B$5,IF(B17="SELL",$B$6,""))</f>
        <v/>
      </c>
      <c r="G17">
        <f>IF(B17="BUY",(F17-E17)/Settings!$B$3,IF(B17="SELL",(E17-F17)/Settings!$B$3,0))</f>
        <v/>
      </c>
      <c r="H17">
        <f>G17*D17*Settings!$B$4</f>
        <v/>
      </c>
      <c r="I17">
        <f>CurrentPositions!I7</f>
        <v/>
      </c>
      <c r="J17">
        <f>CurrentPositions!J7</f>
        <v/>
      </c>
      <c r="K17">
        <f>IF(AND(B17="SELL",H17&lt;0),H17,"")</f>
        <v/>
      </c>
      <c r="L17">
        <f>IF(K17&lt;&gt;"",A17,"")</f>
        <v/>
      </c>
    </row>
    <row r="18">
      <c r="A18">
        <f>CurrentPositions!A8</f>
        <v/>
      </c>
      <c r="B18">
        <f>CurrentPositions!B8</f>
        <v/>
      </c>
      <c r="C18">
        <f>CurrentPositions!C8</f>
        <v/>
      </c>
      <c r="D18">
        <f>CurrentPositions!D8</f>
        <v/>
      </c>
      <c r="E18">
        <f>CurrentPositions!E8</f>
        <v/>
      </c>
      <c r="F18">
        <f>IF(B18="BUY",$B$5,IF(B18="SELL",$B$6,""))</f>
        <v/>
      </c>
      <c r="G18">
        <f>IF(B18="BUY",(F18-E18)/Settings!$B$3,IF(B18="SELL",(E18-F18)/Settings!$B$3,0))</f>
        <v/>
      </c>
      <c r="H18">
        <f>G18*D18*Settings!$B$4</f>
        <v/>
      </c>
      <c r="I18">
        <f>CurrentPositions!I8</f>
        <v/>
      </c>
      <c r="J18">
        <f>CurrentPositions!J8</f>
        <v/>
      </c>
      <c r="K18">
        <f>IF(AND(B18="SELL",H18&lt;0),H18,"")</f>
        <v/>
      </c>
      <c r="L18">
        <f>IF(K18&lt;&gt;"",A18,"")</f>
        <v/>
      </c>
    </row>
    <row r="19">
      <c r="A19">
        <f>CurrentPositions!A9</f>
        <v/>
      </c>
      <c r="B19">
        <f>CurrentPositions!B9</f>
        <v/>
      </c>
      <c r="C19">
        <f>CurrentPositions!C9</f>
        <v/>
      </c>
      <c r="D19">
        <f>CurrentPositions!D9</f>
        <v/>
      </c>
      <c r="E19">
        <f>CurrentPositions!E9</f>
        <v/>
      </c>
      <c r="F19">
        <f>IF(B19="BUY",$B$5,IF(B19="SELL",$B$6,""))</f>
        <v/>
      </c>
      <c r="G19">
        <f>IF(B19="BUY",(F19-E19)/Settings!$B$3,IF(B19="SELL",(E19-F19)/Settings!$B$3,0))</f>
        <v/>
      </c>
      <c r="H19">
        <f>G19*D19*Settings!$B$4</f>
        <v/>
      </c>
      <c r="I19">
        <f>CurrentPositions!I9</f>
        <v/>
      </c>
      <c r="J19">
        <f>CurrentPositions!J9</f>
        <v/>
      </c>
      <c r="K19">
        <f>IF(AND(B19="SELL",H19&lt;0),H19,"")</f>
        <v/>
      </c>
      <c r="L19">
        <f>IF(K19&lt;&gt;"",A19,"")</f>
        <v/>
      </c>
    </row>
    <row r="20">
      <c r="A20">
        <f>CurrentPositions!A10</f>
        <v/>
      </c>
      <c r="B20">
        <f>CurrentPositions!B10</f>
        <v/>
      </c>
      <c r="C20">
        <f>CurrentPositions!C10</f>
        <v/>
      </c>
      <c r="D20">
        <f>CurrentPositions!D10</f>
        <v/>
      </c>
      <c r="E20">
        <f>CurrentPositions!E10</f>
        <v/>
      </c>
      <c r="F20">
        <f>IF(B20="BUY",$B$5,IF(B20="SELL",$B$6,""))</f>
        <v/>
      </c>
      <c r="G20">
        <f>IF(B20="BUY",(F20-E20)/Settings!$B$3,IF(B20="SELL",(E20-F20)/Settings!$B$3,0))</f>
        <v/>
      </c>
      <c r="H20">
        <f>G20*D20*Settings!$B$4</f>
        <v/>
      </c>
      <c r="I20">
        <f>CurrentPositions!I10</f>
        <v/>
      </c>
      <c r="J20">
        <f>CurrentPositions!J10</f>
        <v/>
      </c>
      <c r="K20">
        <f>IF(AND(B20="SELL",H20&lt;0),H20,"")</f>
        <v/>
      </c>
      <c r="L20">
        <f>IF(K20&lt;&gt;"",A20,"")</f>
        <v/>
      </c>
    </row>
    <row r="21">
      <c r="A21">
        <f>CurrentPositions!A11</f>
        <v/>
      </c>
      <c r="B21">
        <f>CurrentPositions!B11</f>
        <v/>
      </c>
      <c r="C21">
        <f>CurrentPositions!C11</f>
        <v/>
      </c>
      <c r="D21">
        <f>CurrentPositions!D11</f>
        <v/>
      </c>
      <c r="E21">
        <f>CurrentPositions!E11</f>
        <v/>
      </c>
      <c r="F21">
        <f>IF(B21="BUY",$B$5,IF(B21="SELL",$B$6,""))</f>
        <v/>
      </c>
      <c r="G21">
        <f>IF(B21="BUY",(F21-E21)/Settings!$B$3,IF(B21="SELL",(E21-F21)/Settings!$B$3,0))</f>
        <v/>
      </c>
      <c r="H21">
        <f>G21*D21*Settings!$B$4</f>
        <v/>
      </c>
      <c r="I21">
        <f>CurrentPositions!I11</f>
        <v/>
      </c>
      <c r="J21">
        <f>CurrentPositions!J11</f>
        <v/>
      </c>
      <c r="K21">
        <f>IF(AND(B21="SELL",H21&lt;0),H21,"")</f>
        <v/>
      </c>
      <c r="L21">
        <f>IF(K21&lt;&gt;"",A21,"")</f>
        <v/>
      </c>
    </row>
    <row r="22">
      <c r="A22">
        <f>CurrentPositions!A12</f>
        <v/>
      </c>
      <c r="B22">
        <f>CurrentPositions!B12</f>
        <v/>
      </c>
      <c r="C22">
        <f>CurrentPositions!C12</f>
        <v/>
      </c>
      <c r="D22">
        <f>CurrentPositions!D12</f>
        <v/>
      </c>
      <c r="E22">
        <f>CurrentPositions!E12</f>
        <v/>
      </c>
      <c r="F22">
        <f>IF(B22="BUY",$B$5,IF(B22="SELL",$B$6,""))</f>
        <v/>
      </c>
      <c r="G22">
        <f>IF(B22="BUY",(F22-E22)/Settings!$B$3,IF(B22="SELL",(E22-F22)/Settings!$B$3,0))</f>
        <v/>
      </c>
      <c r="H22">
        <f>G22*D22*Settings!$B$4</f>
        <v/>
      </c>
      <c r="I22">
        <f>CurrentPositions!I12</f>
        <v/>
      </c>
      <c r="J22">
        <f>CurrentPositions!J12</f>
        <v/>
      </c>
      <c r="K22">
        <f>IF(AND(B22="SELL",H22&lt;0),H22,"")</f>
        <v/>
      </c>
      <c r="L22">
        <f>IF(K22&lt;&gt;"",A22,"")</f>
        <v/>
      </c>
    </row>
    <row r="23">
      <c r="A23">
        <f>CurrentPositions!A13</f>
        <v/>
      </c>
      <c r="B23">
        <f>CurrentPositions!B13</f>
        <v/>
      </c>
      <c r="C23">
        <f>CurrentPositions!C13</f>
        <v/>
      </c>
      <c r="D23">
        <f>CurrentPositions!D13</f>
        <v/>
      </c>
      <c r="E23">
        <f>CurrentPositions!E13</f>
        <v/>
      </c>
      <c r="F23">
        <f>IF(B23="BUY",$B$5,IF(B23="SELL",$B$6,""))</f>
        <v/>
      </c>
      <c r="G23">
        <f>IF(B23="BUY",(F23-E23)/Settings!$B$3,IF(B23="SELL",(E23-F23)/Settings!$B$3,0))</f>
        <v/>
      </c>
      <c r="H23">
        <f>G23*D23*Settings!$B$4</f>
        <v/>
      </c>
      <c r="I23">
        <f>CurrentPositions!I13</f>
        <v/>
      </c>
      <c r="J23">
        <f>CurrentPositions!J13</f>
        <v/>
      </c>
      <c r="K23">
        <f>IF(AND(B23="SELL",H23&lt;0),H23,"")</f>
        <v/>
      </c>
      <c r="L23">
        <f>IF(K23&lt;&gt;"",A23,"")</f>
        <v/>
      </c>
    </row>
    <row r="24">
      <c r="A24">
        <f>CurrentPositions!A14</f>
        <v/>
      </c>
      <c r="B24">
        <f>CurrentPositions!B14</f>
        <v/>
      </c>
      <c r="C24">
        <f>CurrentPositions!C14</f>
        <v/>
      </c>
      <c r="D24">
        <f>CurrentPositions!D14</f>
        <v/>
      </c>
      <c r="E24">
        <f>CurrentPositions!E14</f>
        <v/>
      </c>
      <c r="F24">
        <f>IF(B24="BUY",$B$5,IF(B24="SELL",$B$6,""))</f>
        <v/>
      </c>
      <c r="G24">
        <f>IF(B24="BUY",(F24-E24)/Settings!$B$3,IF(B24="SELL",(E24-F24)/Settings!$B$3,0))</f>
        <v/>
      </c>
      <c r="H24">
        <f>G24*D24*Settings!$B$4</f>
        <v/>
      </c>
      <c r="I24">
        <f>CurrentPositions!I14</f>
        <v/>
      </c>
      <c r="J24">
        <f>CurrentPositions!J14</f>
        <v/>
      </c>
      <c r="K24">
        <f>IF(AND(B24="SELL",H24&lt;0),H24,"")</f>
        <v/>
      </c>
      <c r="L24">
        <f>IF(K24&lt;&gt;"",A24,"")</f>
        <v/>
      </c>
    </row>
    <row r="25">
      <c r="A25">
        <f>CurrentPositions!A15</f>
        <v/>
      </c>
      <c r="B25">
        <f>CurrentPositions!B15</f>
        <v/>
      </c>
      <c r="C25">
        <f>CurrentPositions!C15</f>
        <v/>
      </c>
      <c r="D25">
        <f>CurrentPositions!D15</f>
        <v/>
      </c>
      <c r="E25">
        <f>CurrentPositions!E15</f>
        <v/>
      </c>
      <c r="F25">
        <f>IF(B25="BUY",$B$5,IF(B25="SELL",$B$6,""))</f>
        <v/>
      </c>
      <c r="G25">
        <f>IF(B25="BUY",(F25-E25)/Settings!$B$3,IF(B25="SELL",(E25-F25)/Settings!$B$3,0))</f>
        <v/>
      </c>
      <c r="H25">
        <f>G25*D25*Settings!$B$4</f>
        <v/>
      </c>
      <c r="I25">
        <f>CurrentPositions!I15</f>
        <v/>
      </c>
      <c r="J25">
        <f>CurrentPositions!J15</f>
        <v/>
      </c>
      <c r="K25">
        <f>IF(AND(B25="SELL",H25&lt;0),H25,"")</f>
        <v/>
      </c>
      <c r="L25">
        <f>IF(K25&lt;&gt;"",A25,"")</f>
        <v/>
      </c>
    </row>
    <row r="26">
      <c r="A26">
        <f>CurrentPositions!A16</f>
        <v/>
      </c>
      <c r="B26">
        <f>CurrentPositions!B16</f>
        <v/>
      </c>
      <c r="C26">
        <f>CurrentPositions!C16</f>
        <v/>
      </c>
      <c r="D26">
        <f>CurrentPositions!D16</f>
        <v/>
      </c>
      <c r="E26">
        <f>CurrentPositions!E16</f>
        <v/>
      </c>
      <c r="F26">
        <f>IF(B26="BUY",$B$5,IF(B26="SELL",$B$6,""))</f>
        <v/>
      </c>
      <c r="G26">
        <f>IF(B26="BUY",(F26-E26)/Settings!$B$3,IF(B26="SELL",(E26-F26)/Settings!$B$3,0))</f>
        <v/>
      </c>
      <c r="H26">
        <f>G26*D26*Settings!$B$4</f>
        <v/>
      </c>
      <c r="I26">
        <f>CurrentPositions!I16</f>
        <v/>
      </c>
      <c r="J26">
        <f>CurrentPositions!J16</f>
        <v/>
      </c>
      <c r="K26">
        <f>IF(AND(B26="SELL",H26&lt;0),H26,"")</f>
        <v/>
      </c>
      <c r="L26">
        <f>IF(K26&lt;&gt;"",A26,"")</f>
        <v/>
      </c>
    </row>
    <row r="27">
      <c r="A27">
        <f>CurrentPositions!A17</f>
        <v/>
      </c>
      <c r="B27">
        <f>CurrentPositions!B17</f>
        <v/>
      </c>
      <c r="C27">
        <f>CurrentPositions!C17</f>
        <v/>
      </c>
      <c r="D27">
        <f>CurrentPositions!D17</f>
        <v/>
      </c>
      <c r="E27">
        <f>CurrentPositions!E17</f>
        <v/>
      </c>
      <c r="F27">
        <f>IF(B27="BUY",$B$5,IF(B27="SELL",$B$6,""))</f>
        <v/>
      </c>
      <c r="G27">
        <f>IF(B27="BUY",(F27-E27)/Settings!$B$3,IF(B27="SELL",(E27-F27)/Settings!$B$3,0))</f>
        <v/>
      </c>
      <c r="H27">
        <f>G27*D27*Settings!$B$4</f>
        <v/>
      </c>
      <c r="I27">
        <f>CurrentPositions!I17</f>
        <v/>
      </c>
      <c r="J27">
        <f>CurrentPositions!J17</f>
        <v/>
      </c>
      <c r="K27">
        <f>IF(AND(B27="SELL",H27&lt;0),H27,"")</f>
        <v/>
      </c>
      <c r="L27">
        <f>IF(K27&lt;&gt;"",A27,"")</f>
        <v/>
      </c>
    </row>
    <row r="28">
      <c r="A28">
        <f>CurrentPositions!A18</f>
        <v/>
      </c>
      <c r="B28">
        <f>CurrentPositions!B18</f>
        <v/>
      </c>
      <c r="C28">
        <f>CurrentPositions!C18</f>
        <v/>
      </c>
      <c r="D28">
        <f>CurrentPositions!D18</f>
        <v/>
      </c>
      <c r="E28">
        <f>CurrentPositions!E18</f>
        <v/>
      </c>
      <c r="F28">
        <f>IF(B28="BUY",$B$5,IF(B28="SELL",$B$6,""))</f>
        <v/>
      </c>
      <c r="G28">
        <f>IF(B28="BUY",(F28-E28)/Settings!$B$3,IF(B28="SELL",(E28-F28)/Settings!$B$3,0))</f>
        <v/>
      </c>
      <c r="H28">
        <f>G28*D28*Settings!$B$4</f>
        <v/>
      </c>
      <c r="I28">
        <f>CurrentPositions!I18</f>
        <v/>
      </c>
      <c r="J28">
        <f>CurrentPositions!J18</f>
        <v/>
      </c>
      <c r="K28">
        <f>IF(AND(B28="SELL",H28&lt;0),H28,"")</f>
        <v/>
      </c>
      <c r="L28">
        <f>IF(K28&lt;&gt;"",A28,"")</f>
        <v/>
      </c>
    </row>
    <row r="29">
      <c r="A29">
        <f>CurrentPositions!A19</f>
        <v/>
      </c>
      <c r="B29">
        <f>CurrentPositions!B19</f>
        <v/>
      </c>
      <c r="C29">
        <f>CurrentPositions!C19</f>
        <v/>
      </c>
      <c r="D29">
        <f>CurrentPositions!D19</f>
        <v/>
      </c>
      <c r="E29">
        <f>CurrentPositions!E19</f>
        <v/>
      </c>
      <c r="F29">
        <f>IF(B29="BUY",$B$5,IF(B29="SELL",$B$6,""))</f>
        <v/>
      </c>
      <c r="G29">
        <f>IF(B29="BUY",(F29-E29)/Settings!$B$3,IF(B29="SELL",(E29-F29)/Settings!$B$3,0))</f>
        <v/>
      </c>
      <c r="H29">
        <f>G29*D29*Settings!$B$4</f>
        <v/>
      </c>
      <c r="I29">
        <f>CurrentPositions!I19</f>
        <v/>
      </c>
      <c r="J29">
        <f>CurrentPositions!J19</f>
        <v/>
      </c>
      <c r="K29">
        <f>IF(AND(B29="SELL",H29&lt;0),H29,"")</f>
        <v/>
      </c>
      <c r="L29">
        <f>IF(K29&lt;&gt;"",A29,"")</f>
        <v/>
      </c>
    </row>
    <row r="30">
      <c r="A30">
        <f>CurrentPositions!A20</f>
        <v/>
      </c>
      <c r="B30">
        <f>CurrentPositions!B20</f>
        <v/>
      </c>
      <c r="C30">
        <f>CurrentPositions!C20</f>
        <v/>
      </c>
      <c r="D30">
        <f>CurrentPositions!D20</f>
        <v/>
      </c>
      <c r="E30">
        <f>CurrentPositions!E20</f>
        <v/>
      </c>
      <c r="F30">
        <f>IF(B30="BUY",$B$5,IF(B30="SELL",$B$6,""))</f>
        <v/>
      </c>
      <c r="G30">
        <f>IF(B30="BUY",(F30-E30)/Settings!$B$3,IF(B30="SELL",(E30-F30)/Settings!$B$3,0))</f>
        <v/>
      </c>
      <c r="H30">
        <f>G30*D30*Settings!$B$4</f>
        <v/>
      </c>
      <c r="I30">
        <f>CurrentPositions!I20</f>
        <v/>
      </c>
      <c r="J30">
        <f>CurrentPositions!J20</f>
        <v/>
      </c>
      <c r="K30">
        <f>IF(AND(B30="SELL",H30&lt;0),H30,"")</f>
        <v/>
      </c>
      <c r="L30">
        <f>IF(K30&lt;&gt;"",A30,"")</f>
        <v/>
      </c>
    </row>
    <row r="31">
      <c r="A31">
        <f>CurrentPositions!A21</f>
        <v/>
      </c>
      <c r="B31">
        <f>CurrentPositions!B21</f>
        <v/>
      </c>
      <c r="C31">
        <f>CurrentPositions!C21</f>
        <v/>
      </c>
      <c r="D31">
        <f>CurrentPositions!D21</f>
        <v/>
      </c>
      <c r="E31">
        <f>CurrentPositions!E21</f>
        <v/>
      </c>
      <c r="F31">
        <f>IF(B31="BUY",$B$5,IF(B31="SELL",$B$6,""))</f>
        <v/>
      </c>
      <c r="G31">
        <f>IF(B31="BUY",(F31-E31)/Settings!$B$3,IF(B31="SELL",(E31-F31)/Settings!$B$3,0))</f>
        <v/>
      </c>
      <c r="H31">
        <f>G31*D31*Settings!$B$4</f>
        <v/>
      </c>
      <c r="I31">
        <f>CurrentPositions!I21</f>
        <v/>
      </c>
      <c r="J31">
        <f>CurrentPositions!J21</f>
        <v/>
      </c>
      <c r="K31">
        <f>IF(AND(B31="SELL",H31&lt;0),H31,"")</f>
        <v/>
      </c>
      <c r="L31">
        <f>IF(K31&lt;&gt;"",A31,"")</f>
        <v/>
      </c>
    </row>
    <row r="32">
      <c r="A32">
        <f>CurrentPositions!A22</f>
        <v/>
      </c>
      <c r="B32">
        <f>CurrentPositions!B22</f>
        <v/>
      </c>
      <c r="C32">
        <f>CurrentPositions!C22</f>
        <v/>
      </c>
      <c r="D32">
        <f>CurrentPositions!D22</f>
        <v/>
      </c>
      <c r="E32">
        <f>CurrentPositions!E22</f>
        <v/>
      </c>
      <c r="F32">
        <f>IF(B32="BUY",$B$5,IF(B32="SELL",$B$6,""))</f>
        <v/>
      </c>
      <c r="G32">
        <f>IF(B32="BUY",(F32-E32)/Settings!$B$3,IF(B32="SELL",(E32-F32)/Settings!$B$3,0))</f>
        <v/>
      </c>
      <c r="H32">
        <f>G32*D32*Settings!$B$4</f>
        <v/>
      </c>
      <c r="I32">
        <f>CurrentPositions!I22</f>
        <v/>
      </c>
      <c r="J32">
        <f>CurrentPositions!J22</f>
        <v/>
      </c>
      <c r="K32">
        <f>IF(AND(B32="SELL",H32&lt;0),H32,"")</f>
        <v/>
      </c>
      <c r="L32">
        <f>IF(K32&lt;&gt;"",A32,"")</f>
        <v/>
      </c>
    </row>
    <row r="33">
      <c r="A33">
        <f>CurrentPositions!A23</f>
        <v/>
      </c>
      <c r="B33">
        <f>CurrentPositions!B23</f>
        <v/>
      </c>
      <c r="C33">
        <f>CurrentPositions!C23</f>
        <v/>
      </c>
      <c r="D33">
        <f>CurrentPositions!D23</f>
        <v/>
      </c>
      <c r="E33">
        <f>CurrentPositions!E23</f>
        <v/>
      </c>
      <c r="F33">
        <f>IF(B33="BUY",$B$5,IF(B33="SELL",$B$6,""))</f>
        <v/>
      </c>
      <c r="G33">
        <f>IF(B33="BUY",(F33-E33)/Settings!$B$3,IF(B33="SELL",(E33-F33)/Settings!$B$3,0))</f>
        <v/>
      </c>
      <c r="H33">
        <f>G33*D33*Settings!$B$4</f>
        <v/>
      </c>
      <c r="I33">
        <f>CurrentPositions!I23</f>
        <v/>
      </c>
      <c r="J33">
        <f>CurrentPositions!J23</f>
        <v/>
      </c>
      <c r="K33">
        <f>IF(AND(B33="SELL",H33&lt;0),H33,"")</f>
        <v/>
      </c>
      <c r="L33">
        <f>IF(K33&lt;&gt;"",A33,"")</f>
        <v/>
      </c>
    </row>
    <row r="34">
      <c r="A34">
        <f>CurrentPositions!A24</f>
        <v/>
      </c>
      <c r="B34">
        <f>CurrentPositions!B24</f>
        <v/>
      </c>
      <c r="C34">
        <f>CurrentPositions!C24</f>
        <v/>
      </c>
      <c r="D34">
        <f>CurrentPositions!D24</f>
        <v/>
      </c>
      <c r="E34">
        <f>CurrentPositions!E24</f>
        <v/>
      </c>
      <c r="F34">
        <f>IF(B34="BUY",$B$5,IF(B34="SELL",$B$6,""))</f>
        <v/>
      </c>
      <c r="G34">
        <f>IF(B34="BUY",(F34-E34)/Settings!$B$3,IF(B34="SELL",(E34-F34)/Settings!$B$3,0))</f>
        <v/>
      </c>
      <c r="H34">
        <f>G34*D34*Settings!$B$4</f>
        <v/>
      </c>
      <c r="I34">
        <f>CurrentPositions!I24</f>
        <v/>
      </c>
      <c r="J34">
        <f>CurrentPositions!J24</f>
        <v/>
      </c>
      <c r="K34">
        <f>IF(AND(B34="SELL",H34&lt;0),H34,"")</f>
        <v/>
      </c>
      <c r="L34">
        <f>IF(K34&lt;&gt;"",A34,"")</f>
        <v/>
      </c>
    </row>
    <row r="35">
      <c r="A35">
        <f>CurrentPositions!A25</f>
        <v/>
      </c>
      <c r="B35">
        <f>CurrentPositions!B25</f>
        <v/>
      </c>
      <c r="C35">
        <f>CurrentPositions!C25</f>
        <v/>
      </c>
      <c r="D35">
        <f>CurrentPositions!D25</f>
        <v/>
      </c>
      <c r="E35">
        <f>CurrentPositions!E25</f>
        <v/>
      </c>
      <c r="F35">
        <f>IF(B35="BUY",$B$5,IF(B35="SELL",$B$6,""))</f>
        <v/>
      </c>
      <c r="G35">
        <f>IF(B35="BUY",(F35-E35)/Settings!$B$3,IF(B35="SELL",(E35-F35)/Settings!$B$3,0))</f>
        <v/>
      </c>
      <c r="H35">
        <f>G35*D35*Settings!$B$4</f>
        <v/>
      </c>
      <c r="I35">
        <f>CurrentPositions!I25</f>
        <v/>
      </c>
      <c r="J35">
        <f>CurrentPositions!J25</f>
        <v/>
      </c>
      <c r="K35">
        <f>IF(AND(B35="SELL",H35&lt;0),H35,"")</f>
        <v/>
      </c>
      <c r="L35">
        <f>IF(K35&lt;&gt;"",A35,"")</f>
        <v/>
      </c>
    </row>
    <row r="36">
      <c r="A36">
        <f>CurrentPositions!A26</f>
        <v/>
      </c>
      <c r="B36">
        <f>CurrentPositions!B26</f>
        <v/>
      </c>
      <c r="C36">
        <f>CurrentPositions!C26</f>
        <v/>
      </c>
      <c r="D36">
        <f>CurrentPositions!D26</f>
        <v/>
      </c>
      <c r="E36">
        <f>CurrentPositions!E26</f>
        <v/>
      </c>
      <c r="F36">
        <f>IF(B36="BUY",$B$5,IF(B36="SELL",$B$6,""))</f>
        <v/>
      </c>
      <c r="G36">
        <f>IF(B36="BUY",(F36-E36)/Settings!$B$3,IF(B36="SELL",(E36-F36)/Settings!$B$3,0))</f>
        <v/>
      </c>
      <c r="H36">
        <f>G36*D36*Settings!$B$4</f>
        <v/>
      </c>
      <c r="I36">
        <f>CurrentPositions!I26</f>
        <v/>
      </c>
      <c r="J36">
        <f>CurrentPositions!J26</f>
        <v/>
      </c>
      <c r="K36">
        <f>IF(AND(B36="SELL",H36&lt;0),H36,"")</f>
        <v/>
      </c>
      <c r="L36">
        <f>IF(K36&lt;&gt;"",A36,"")</f>
        <v/>
      </c>
    </row>
    <row r="37">
      <c r="A37">
        <f>CurrentPositions!A27</f>
        <v/>
      </c>
      <c r="B37">
        <f>CurrentPositions!B27</f>
        <v/>
      </c>
      <c r="C37">
        <f>CurrentPositions!C27</f>
        <v/>
      </c>
      <c r="D37">
        <f>CurrentPositions!D27</f>
        <v/>
      </c>
      <c r="E37">
        <f>CurrentPositions!E27</f>
        <v/>
      </c>
      <c r="F37">
        <f>IF(B37="BUY",$B$5,IF(B37="SELL",$B$6,""))</f>
        <v/>
      </c>
      <c r="G37">
        <f>IF(B37="BUY",(F37-E37)/Settings!$B$3,IF(B37="SELL",(E37-F37)/Settings!$B$3,0))</f>
        <v/>
      </c>
      <c r="H37">
        <f>G37*D37*Settings!$B$4</f>
        <v/>
      </c>
      <c r="I37">
        <f>CurrentPositions!I27</f>
        <v/>
      </c>
      <c r="J37">
        <f>CurrentPositions!J27</f>
        <v/>
      </c>
      <c r="K37">
        <f>IF(AND(B37="SELL",H37&lt;0),H37,"")</f>
        <v/>
      </c>
      <c r="L37">
        <f>IF(K37&lt;&gt;"",A37,"")</f>
        <v/>
      </c>
    </row>
    <row r="38">
      <c r="A38">
        <f>CurrentPositions!A28</f>
        <v/>
      </c>
      <c r="B38">
        <f>CurrentPositions!B28</f>
        <v/>
      </c>
      <c r="C38">
        <f>CurrentPositions!C28</f>
        <v/>
      </c>
      <c r="D38">
        <f>CurrentPositions!D28</f>
        <v/>
      </c>
      <c r="E38">
        <f>CurrentPositions!E28</f>
        <v/>
      </c>
      <c r="F38">
        <f>IF(B38="BUY",$B$5,IF(B38="SELL",$B$6,""))</f>
        <v/>
      </c>
      <c r="G38">
        <f>IF(B38="BUY",(F38-E38)/Settings!$B$3,IF(B38="SELL",(E38-F38)/Settings!$B$3,0))</f>
        <v/>
      </c>
      <c r="H38">
        <f>G38*D38*Settings!$B$4</f>
        <v/>
      </c>
      <c r="I38">
        <f>CurrentPositions!I28</f>
        <v/>
      </c>
      <c r="J38">
        <f>CurrentPositions!J28</f>
        <v/>
      </c>
      <c r="K38">
        <f>IF(AND(B38="SELL",H38&lt;0),H38,"")</f>
        <v/>
      </c>
      <c r="L38">
        <f>IF(K38&lt;&gt;"",A38,"")</f>
        <v/>
      </c>
    </row>
    <row r="39">
      <c r="A39">
        <f>CurrentPositions!A29</f>
        <v/>
      </c>
      <c r="B39">
        <f>CurrentPositions!B29</f>
        <v/>
      </c>
      <c r="C39">
        <f>CurrentPositions!C29</f>
        <v/>
      </c>
      <c r="D39">
        <f>CurrentPositions!D29</f>
        <v/>
      </c>
      <c r="E39">
        <f>CurrentPositions!E29</f>
        <v/>
      </c>
      <c r="F39">
        <f>IF(B39="BUY",$B$5,IF(B39="SELL",$B$6,""))</f>
        <v/>
      </c>
      <c r="G39">
        <f>IF(B39="BUY",(F39-E39)/Settings!$B$3,IF(B39="SELL",(E39-F39)/Settings!$B$3,0))</f>
        <v/>
      </c>
      <c r="H39">
        <f>G39*D39*Settings!$B$4</f>
        <v/>
      </c>
      <c r="I39">
        <f>CurrentPositions!I29</f>
        <v/>
      </c>
      <c r="J39">
        <f>CurrentPositions!J29</f>
        <v/>
      </c>
      <c r="K39">
        <f>IF(AND(B39="SELL",H39&lt;0),H39,"")</f>
        <v/>
      </c>
      <c r="L39">
        <f>IF(K39&lt;&gt;"",A39,"")</f>
        <v/>
      </c>
    </row>
    <row r="40">
      <c r="A40">
        <f>CurrentPositions!A30</f>
        <v/>
      </c>
      <c r="B40">
        <f>CurrentPositions!B30</f>
        <v/>
      </c>
      <c r="C40">
        <f>CurrentPositions!C30</f>
        <v/>
      </c>
      <c r="D40">
        <f>CurrentPositions!D30</f>
        <v/>
      </c>
      <c r="E40">
        <f>CurrentPositions!E30</f>
        <v/>
      </c>
      <c r="F40">
        <f>IF(B40="BUY",$B$5,IF(B40="SELL",$B$6,""))</f>
        <v/>
      </c>
      <c r="G40">
        <f>IF(B40="BUY",(F40-E40)/Settings!$B$3,IF(B40="SELL",(E40-F40)/Settings!$B$3,0))</f>
        <v/>
      </c>
      <c r="H40">
        <f>G40*D40*Settings!$B$4</f>
        <v/>
      </c>
      <c r="I40">
        <f>CurrentPositions!I30</f>
        <v/>
      </c>
      <c r="J40">
        <f>CurrentPositions!J30</f>
        <v/>
      </c>
      <c r="K40">
        <f>IF(AND(B40="SELL",H40&lt;0),H40,"")</f>
        <v/>
      </c>
      <c r="L40">
        <f>IF(K40&lt;&gt;"",A40,"")</f>
        <v/>
      </c>
    </row>
    <row r="41">
      <c r="A41">
        <f>CurrentPositions!A31</f>
        <v/>
      </c>
      <c r="B41">
        <f>CurrentPositions!B31</f>
        <v/>
      </c>
      <c r="C41">
        <f>CurrentPositions!C31</f>
        <v/>
      </c>
      <c r="D41">
        <f>CurrentPositions!D31</f>
        <v/>
      </c>
      <c r="E41">
        <f>CurrentPositions!E31</f>
        <v/>
      </c>
      <c r="F41">
        <f>IF(B41="BUY",$B$5,IF(B41="SELL",$B$6,""))</f>
        <v/>
      </c>
      <c r="G41">
        <f>IF(B41="BUY",(F41-E41)/Settings!$B$3,IF(B41="SELL",(E41-F41)/Settings!$B$3,0))</f>
        <v/>
      </c>
      <c r="H41">
        <f>G41*D41*Settings!$B$4</f>
        <v/>
      </c>
      <c r="I41">
        <f>CurrentPositions!I31</f>
        <v/>
      </c>
      <c r="J41">
        <f>CurrentPositions!J31</f>
        <v/>
      </c>
      <c r="K41">
        <f>IF(AND(B41="SELL",H41&lt;0),H41,"")</f>
        <v/>
      </c>
      <c r="L41">
        <f>IF(K41&lt;&gt;"",A41,"")</f>
        <v/>
      </c>
    </row>
    <row r="42">
      <c r="A42">
        <f>CurrentPositions!A32</f>
        <v/>
      </c>
      <c r="B42">
        <f>CurrentPositions!B32</f>
        <v/>
      </c>
      <c r="C42">
        <f>CurrentPositions!C32</f>
        <v/>
      </c>
      <c r="D42">
        <f>CurrentPositions!D32</f>
        <v/>
      </c>
      <c r="E42">
        <f>CurrentPositions!E32</f>
        <v/>
      </c>
      <c r="F42">
        <f>IF(B42="BUY",$B$5,IF(B42="SELL",$B$6,""))</f>
        <v/>
      </c>
      <c r="G42">
        <f>IF(B42="BUY",(F42-E42)/Settings!$B$3,IF(B42="SELL",(E42-F42)/Settings!$B$3,0))</f>
        <v/>
      </c>
      <c r="H42">
        <f>G42*D42*Settings!$B$4</f>
        <v/>
      </c>
      <c r="I42">
        <f>CurrentPositions!I32</f>
        <v/>
      </c>
      <c r="J42">
        <f>CurrentPositions!J32</f>
        <v/>
      </c>
      <c r="K42">
        <f>IF(AND(B42="SELL",H42&lt;0),H42,"")</f>
        <v/>
      </c>
      <c r="L42">
        <f>IF(K42&lt;&gt;"",A42,"")</f>
        <v/>
      </c>
    </row>
    <row r="43">
      <c r="A43">
        <f>CurrentPositions!A33</f>
        <v/>
      </c>
      <c r="B43">
        <f>CurrentPositions!B33</f>
        <v/>
      </c>
      <c r="C43">
        <f>CurrentPositions!C33</f>
        <v/>
      </c>
      <c r="D43">
        <f>CurrentPositions!D33</f>
        <v/>
      </c>
      <c r="E43">
        <f>CurrentPositions!E33</f>
        <v/>
      </c>
      <c r="F43">
        <f>IF(B43="BUY",$B$5,IF(B43="SELL",$B$6,""))</f>
        <v/>
      </c>
      <c r="G43">
        <f>IF(B43="BUY",(F43-E43)/Settings!$B$3,IF(B43="SELL",(E43-F43)/Settings!$B$3,0))</f>
        <v/>
      </c>
      <c r="H43">
        <f>G43*D43*Settings!$B$4</f>
        <v/>
      </c>
      <c r="I43">
        <f>CurrentPositions!I33</f>
        <v/>
      </c>
      <c r="J43">
        <f>CurrentPositions!J33</f>
        <v/>
      </c>
      <c r="K43">
        <f>IF(AND(B43="SELL",H43&lt;0),H43,"")</f>
        <v/>
      </c>
      <c r="L43">
        <f>IF(K43&lt;&gt;"",A43,"")</f>
        <v/>
      </c>
    </row>
    <row r="44">
      <c r="A44">
        <f>CurrentPositions!A34</f>
        <v/>
      </c>
      <c r="B44">
        <f>CurrentPositions!B34</f>
        <v/>
      </c>
      <c r="C44">
        <f>CurrentPositions!C34</f>
        <v/>
      </c>
      <c r="D44">
        <f>CurrentPositions!D34</f>
        <v/>
      </c>
      <c r="E44">
        <f>CurrentPositions!E34</f>
        <v/>
      </c>
      <c r="F44">
        <f>IF(B44="BUY",$B$5,IF(B44="SELL",$B$6,""))</f>
        <v/>
      </c>
      <c r="G44">
        <f>IF(B44="BUY",(F44-E44)/Settings!$B$3,IF(B44="SELL",(E44-F44)/Settings!$B$3,0))</f>
        <v/>
      </c>
      <c r="H44">
        <f>G44*D44*Settings!$B$4</f>
        <v/>
      </c>
      <c r="I44">
        <f>CurrentPositions!I34</f>
        <v/>
      </c>
      <c r="J44">
        <f>CurrentPositions!J34</f>
        <v/>
      </c>
      <c r="K44">
        <f>IF(AND(B44="SELL",H44&lt;0),H44,"")</f>
        <v/>
      </c>
      <c r="L44">
        <f>IF(K44&lt;&gt;"",A44,"")</f>
        <v/>
      </c>
    </row>
    <row r="45">
      <c r="A45">
        <f>CurrentPositions!A35</f>
        <v/>
      </c>
      <c r="B45">
        <f>CurrentPositions!B35</f>
        <v/>
      </c>
      <c r="C45">
        <f>CurrentPositions!C35</f>
        <v/>
      </c>
      <c r="D45">
        <f>CurrentPositions!D35</f>
        <v/>
      </c>
      <c r="E45">
        <f>CurrentPositions!E35</f>
        <v/>
      </c>
      <c r="F45">
        <f>IF(B45="BUY",$B$5,IF(B45="SELL",$B$6,""))</f>
        <v/>
      </c>
      <c r="G45">
        <f>IF(B45="BUY",(F45-E45)/Settings!$B$3,IF(B45="SELL",(E45-F45)/Settings!$B$3,0))</f>
        <v/>
      </c>
      <c r="H45">
        <f>G45*D45*Settings!$B$4</f>
        <v/>
      </c>
      <c r="I45">
        <f>CurrentPositions!I35</f>
        <v/>
      </c>
      <c r="J45">
        <f>CurrentPositions!J35</f>
        <v/>
      </c>
      <c r="K45">
        <f>IF(AND(B45="SELL",H45&lt;0),H45,"")</f>
        <v/>
      </c>
      <c r="L45">
        <f>IF(K45&lt;&gt;"",A45,"")</f>
        <v/>
      </c>
    </row>
    <row r="46">
      <c r="A46">
        <f>CurrentPositions!A36</f>
        <v/>
      </c>
      <c r="B46">
        <f>CurrentPositions!B36</f>
        <v/>
      </c>
      <c r="C46">
        <f>CurrentPositions!C36</f>
        <v/>
      </c>
      <c r="D46">
        <f>CurrentPositions!D36</f>
        <v/>
      </c>
      <c r="E46">
        <f>CurrentPositions!E36</f>
        <v/>
      </c>
      <c r="F46">
        <f>IF(B46="BUY",$B$5,IF(B46="SELL",$B$6,""))</f>
        <v/>
      </c>
      <c r="G46">
        <f>IF(B46="BUY",(F46-E46)/Settings!$B$3,IF(B46="SELL",(E46-F46)/Settings!$B$3,0))</f>
        <v/>
      </c>
      <c r="H46">
        <f>G46*D46*Settings!$B$4</f>
        <v/>
      </c>
      <c r="I46">
        <f>CurrentPositions!I36</f>
        <v/>
      </c>
      <c r="J46">
        <f>CurrentPositions!J36</f>
        <v/>
      </c>
      <c r="K46">
        <f>IF(AND(B46="SELL",H46&lt;0),H46,"")</f>
        <v/>
      </c>
      <c r="L46">
        <f>IF(K46&lt;&gt;"",A46,"")</f>
        <v/>
      </c>
    </row>
    <row r="47">
      <c r="A47">
        <f>CurrentPositions!A37</f>
        <v/>
      </c>
      <c r="B47">
        <f>CurrentPositions!B37</f>
        <v/>
      </c>
      <c r="C47">
        <f>CurrentPositions!C37</f>
        <v/>
      </c>
      <c r="D47">
        <f>CurrentPositions!D37</f>
        <v/>
      </c>
      <c r="E47">
        <f>CurrentPositions!E37</f>
        <v/>
      </c>
      <c r="F47">
        <f>IF(B47="BUY",$B$5,IF(B47="SELL",$B$6,""))</f>
        <v/>
      </c>
      <c r="G47">
        <f>IF(B47="BUY",(F47-E47)/Settings!$B$3,IF(B47="SELL",(E47-F47)/Settings!$B$3,0))</f>
        <v/>
      </c>
      <c r="H47">
        <f>G47*D47*Settings!$B$4</f>
        <v/>
      </c>
      <c r="I47">
        <f>CurrentPositions!I37</f>
        <v/>
      </c>
      <c r="J47">
        <f>CurrentPositions!J37</f>
        <v/>
      </c>
      <c r="K47">
        <f>IF(AND(B47="SELL",H47&lt;0),H47,"")</f>
        <v/>
      </c>
      <c r="L47">
        <f>IF(K47&lt;&gt;"",A47,"")</f>
        <v/>
      </c>
    </row>
    <row r="48">
      <c r="A48">
        <f>CurrentPositions!A38</f>
        <v/>
      </c>
      <c r="B48">
        <f>CurrentPositions!B38</f>
        <v/>
      </c>
      <c r="C48">
        <f>CurrentPositions!C38</f>
        <v/>
      </c>
      <c r="D48">
        <f>CurrentPositions!D38</f>
        <v/>
      </c>
      <c r="E48">
        <f>CurrentPositions!E38</f>
        <v/>
      </c>
      <c r="F48">
        <f>IF(B48="BUY",$B$5,IF(B48="SELL",$B$6,""))</f>
        <v/>
      </c>
      <c r="G48">
        <f>IF(B48="BUY",(F48-E48)/Settings!$B$3,IF(B48="SELL",(E48-F48)/Settings!$B$3,0))</f>
        <v/>
      </c>
      <c r="H48">
        <f>G48*D48*Settings!$B$4</f>
        <v/>
      </c>
      <c r="I48">
        <f>CurrentPositions!I38</f>
        <v/>
      </c>
      <c r="J48">
        <f>CurrentPositions!J38</f>
        <v/>
      </c>
      <c r="K48">
        <f>IF(AND(B48="SELL",H48&lt;0),H48,"")</f>
        <v/>
      </c>
      <c r="L48">
        <f>IF(K48&lt;&gt;"",A48,"")</f>
        <v/>
      </c>
    </row>
    <row r="49">
      <c r="A49">
        <f>CurrentPositions!A39</f>
        <v/>
      </c>
      <c r="B49">
        <f>CurrentPositions!B39</f>
        <v/>
      </c>
      <c r="C49">
        <f>CurrentPositions!C39</f>
        <v/>
      </c>
      <c r="D49">
        <f>CurrentPositions!D39</f>
        <v/>
      </c>
      <c r="E49">
        <f>CurrentPositions!E39</f>
        <v/>
      </c>
      <c r="F49">
        <f>IF(B49="BUY",$B$5,IF(B49="SELL",$B$6,""))</f>
        <v/>
      </c>
      <c r="G49">
        <f>IF(B49="BUY",(F49-E49)/Settings!$B$3,IF(B49="SELL",(E49-F49)/Settings!$B$3,0))</f>
        <v/>
      </c>
      <c r="H49">
        <f>G49*D49*Settings!$B$4</f>
        <v/>
      </c>
      <c r="I49">
        <f>CurrentPositions!I39</f>
        <v/>
      </c>
      <c r="J49">
        <f>CurrentPositions!J39</f>
        <v/>
      </c>
      <c r="K49">
        <f>IF(AND(B49="SELL",H49&lt;0),H49,"")</f>
        <v/>
      </c>
      <c r="L49">
        <f>IF(K49&lt;&gt;"",A49,"")</f>
        <v/>
      </c>
    </row>
    <row r="50">
      <c r="A50">
        <f>CurrentPositions!A40</f>
        <v/>
      </c>
      <c r="B50">
        <f>CurrentPositions!B40</f>
        <v/>
      </c>
      <c r="C50">
        <f>CurrentPositions!C40</f>
        <v/>
      </c>
      <c r="D50">
        <f>CurrentPositions!D40</f>
        <v/>
      </c>
      <c r="E50">
        <f>CurrentPositions!E40</f>
        <v/>
      </c>
      <c r="F50">
        <f>IF(B50="BUY",$B$5,IF(B50="SELL",$B$6,""))</f>
        <v/>
      </c>
      <c r="G50">
        <f>IF(B50="BUY",(F50-E50)/Settings!$B$3,IF(B50="SELL",(E50-F50)/Settings!$B$3,0))</f>
        <v/>
      </c>
      <c r="H50">
        <f>G50*D50*Settings!$B$4</f>
        <v/>
      </c>
      <c r="I50">
        <f>CurrentPositions!I40</f>
        <v/>
      </c>
      <c r="J50">
        <f>CurrentPositions!J40</f>
        <v/>
      </c>
      <c r="K50">
        <f>IF(AND(B50="SELL",H50&lt;0),H50,"")</f>
        <v/>
      </c>
      <c r="L50">
        <f>IF(K50&lt;&gt;"",A50,"")</f>
        <v/>
      </c>
    </row>
    <row r="51">
      <c r="A51">
        <f>CurrentPositions!A41</f>
        <v/>
      </c>
      <c r="B51">
        <f>CurrentPositions!B41</f>
        <v/>
      </c>
      <c r="C51">
        <f>CurrentPositions!C41</f>
        <v/>
      </c>
      <c r="D51">
        <f>CurrentPositions!D41</f>
        <v/>
      </c>
      <c r="E51">
        <f>CurrentPositions!E41</f>
        <v/>
      </c>
      <c r="F51">
        <f>IF(B51="BUY",$B$5,IF(B51="SELL",$B$6,""))</f>
        <v/>
      </c>
      <c r="G51">
        <f>IF(B51="BUY",(F51-E51)/Settings!$B$3,IF(B51="SELL",(E51-F51)/Settings!$B$3,0))</f>
        <v/>
      </c>
      <c r="H51">
        <f>G51*D51*Settings!$B$4</f>
        <v/>
      </c>
      <c r="I51">
        <f>CurrentPositions!I41</f>
        <v/>
      </c>
      <c r="J51">
        <f>CurrentPositions!J41</f>
        <v/>
      </c>
      <c r="K51">
        <f>IF(AND(B51="SELL",H51&lt;0),H51,"")</f>
        <v/>
      </c>
      <c r="L51">
        <f>IF(K51&lt;&gt;"",A51,"")</f>
        <v/>
      </c>
    </row>
    <row r="52">
      <c r="A52">
        <f>CurrentPositions!A42</f>
        <v/>
      </c>
      <c r="B52">
        <f>CurrentPositions!B42</f>
        <v/>
      </c>
      <c r="C52">
        <f>CurrentPositions!C42</f>
        <v/>
      </c>
      <c r="D52">
        <f>CurrentPositions!D42</f>
        <v/>
      </c>
      <c r="E52">
        <f>CurrentPositions!E42</f>
        <v/>
      </c>
      <c r="F52">
        <f>IF(B52="BUY",$B$5,IF(B52="SELL",$B$6,""))</f>
        <v/>
      </c>
      <c r="G52">
        <f>IF(B52="BUY",(F52-E52)/Settings!$B$3,IF(B52="SELL",(E52-F52)/Settings!$B$3,0))</f>
        <v/>
      </c>
      <c r="H52">
        <f>G52*D52*Settings!$B$4</f>
        <v/>
      </c>
      <c r="I52">
        <f>CurrentPositions!I42</f>
        <v/>
      </c>
      <c r="J52">
        <f>CurrentPositions!J42</f>
        <v/>
      </c>
      <c r="K52">
        <f>IF(AND(B52="SELL",H52&lt;0),H52,"")</f>
        <v/>
      </c>
      <c r="L52">
        <f>IF(K52&lt;&gt;"",A52,"")</f>
        <v/>
      </c>
    </row>
    <row r="53">
      <c r="A53">
        <f>CurrentPositions!A43</f>
        <v/>
      </c>
      <c r="B53">
        <f>CurrentPositions!B43</f>
        <v/>
      </c>
      <c r="C53">
        <f>CurrentPositions!C43</f>
        <v/>
      </c>
      <c r="D53">
        <f>CurrentPositions!D43</f>
        <v/>
      </c>
      <c r="E53">
        <f>CurrentPositions!E43</f>
        <v/>
      </c>
      <c r="F53">
        <f>IF(B53="BUY",$B$5,IF(B53="SELL",$B$6,""))</f>
        <v/>
      </c>
      <c r="G53">
        <f>IF(B53="BUY",(F53-E53)/Settings!$B$3,IF(B53="SELL",(E53-F53)/Settings!$B$3,0))</f>
        <v/>
      </c>
      <c r="H53">
        <f>G53*D53*Settings!$B$4</f>
        <v/>
      </c>
      <c r="I53">
        <f>CurrentPositions!I43</f>
        <v/>
      </c>
      <c r="J53">
        <f>CurrentPositions!J43</f>
        <v/>
      </c>
      <c r="K53">
        <f>IF(AND(B53="SELL",H53&lt;0),H53,"")</f>
        <v/>
      </c>
      <c r="L53">
        <f>IF(K53&lt;&gt;"",A53,"")</f>
        <v/>
      </c>
    </row>
    <row r="54">
      <c r="A54">
        <f>CurrentPositions!A44</f>
        <v/>
      </c>
      <c r="B54">
        <f>CurrentPositions!B44</f>
        <v/>
      </c>
      <c r="C54">
        <f>CurrentPositions!C44</f>
        <v/>
      </c>
      <c r="D54">
        <f>CurrentPositions!D44</f>
        <v/>
      </c>
      <c r="E54">
        <f>CurrentPositions!E44</f>
        <v/>
      </c>
      <c r="F54">
        <f>IF(B54="BUY",$B$5,IF(B54="SELL",$B$6,""))</f>
        <v/>
      </c>
      <c r="G54">
        <f>IF(B54="BUY",(F54-E54)/Settings!$B$3,IF(B54="SELL",(E54-F54)/Settings!$B$3,0))</f>
        <v/>
      </c>
      <c r="H54">
        <f>G54*D54*Settings!$B$4</f>
        <v/>
      </c>
      <c r="I54">
        <f>CurrentPositions!I44</f>
        <v/>
      </c>
      <c r="J54">
        <f>CurrentPositions!J44</f>
        <v/>
      </c>
      <c r="K54">
        <f>IF(AND(B54="SELL",H54&lt;0),H54,"")</f>
        <v/>
      </c>
      <c r="L54">
        <f>IF(K54&lt;&gt;"",A54,"")</f>
        <v/>
      </c>
    </row>
    <row r="55">
      <c r="A55">
        <f>CurrentPositions!A45</f>
        <v/>
      </c>
      <c r="B55">
        <f>CurrentPositions!B45</f>
        <v/>
      </c>
      <c r="C55">
        <f>CurrentPositions!C45</f>
        <v/>
      </c>
      <c r="D55">
        <f>CurrentPositions!D45</f>
        <v/>
      </c>
      <c r="E55">
        <f>CurrentPositions!E45</f>
        <v/>
      </c>
      <c r="F55">
        <f>IF(B55="BUY",$B$5,IF(B55="SELL",$B$6,""))</f>
        <v/>
      </c>
      <c r="G55">
        <f>IF(B55="BUY",(F55-E55)/Settings!$B$3,IF(B55="SELL",(E55-F55)/Settings!$B$3,0))</f>
        <v/>
      </c>
      <c r="H55">
        <f>G55*D55*Settings!$B$4</f>
        <v/>
      </c>
      <c r="I55">
        <f>CurrentPositions!I45</f>
        <v/>
      </c>
      <c r="J55">
        <f>CurrentPositions!J45</f>
        <v/>
      </c>
      <c r="K55">
        <f>IF(AND(B55="SELL",H55&lt;0),H55,"")</f>
        <v/>
      </c>
      <c r="L55">
        <f>IF(K55&lt;&gt;"",A55,"")</f>
        <v/>
      </c>
    </row>
    <row r="56">
      <c r="A56">
        <f>CurrentPositions!A46</f>
        <v/>
      </c>
      <c r="B56">
        <f>CurrentPositions!B46</f>
        <v/>
      </c>
      <c r="C56">
        <f>CurrentPositions!C46</f>
        <v/>
      </c>
      <c r="D56">
        <f>CurrentPositions!D46</f>
        <v/>
      </c>
      <c r="E56">
        <f>CurrentPositions!E46</f>
        <v/>
      </c>
      <c r="F56">
        <f>IF(B56="BUY",$B$5,IF(B56="SELL",$B$6,""))</f>
        <v/>
      </c>
      <c r="G56">
        <f>IF(B56="BUY",(F56-E56)/Settings!$B$3,IF(B56="SELL",(E56-F56)/Settings!$B$3,0))</f>
        <v/>
      </c>
      <c r="H56">
        <f>G56*D56*Settings!$B$4</f>
        <v/>
      </c>
      <c r="I56">
        <f>CurrentPositions!I46</f>
        <v/>
      </c>
      <c r="J56">
        <f>CurrentPositions!J46</f>
        <v/>
      </c>
      <c r="K56">
        <f>IF(AND(B56="SELL",H56&lt;0),H56,"")</f>
        <v/>
      </c>
      <c r="L56">
        <f>IF(K56&lt;&gt;"",A56,"")</f>
        <v/>
      </c>
    </row>
    <row r="57">
      <c r="A57">
        <f>CurrentPositions!A47</f>
        <v/>
      </c>
      <c r="B57">
        <f>CurrentPositions!B47</f>
        <v/>
      </c>
      <c r="C57">
        <f>CurrentPositions!C47</f>
        <v/>
      </c>
      <c r="D57">
        <f>CurrentPositions!D47</f>
        <v/>
      </c>
      <c r="E57">
        <f>CurrentPositions!E47</f>
        <v/>
      </c>
      <c r="F57">
        <f>IF(B57="BUY",$B$5,IF(B57="SELL",$B$6,""))</f>
        <v/>
      </c>
      <c r="G57">
        <f>IF(B57="BUY",(F57-E57)/Settings!$B$3,IF(B57="SELL",(E57-F57)/Settings!$B$3,0))</f>
        <v/>
      </c>
      <c r="H57">
        <f>G57*D57*Settings!$B$4</f>
        <v/>
      </c>
      <c r="I57">
        <f>CurrentPositions!I47</f>
        <v/>
      </c>
      <c r="J57">
        <f>CurrentPositions!J47</f>
        <v/>
      </c>
      <c r="K57">
        <f>IF(AND(B57="SELL",H57&lt;0),H57,"")</f>
        <v/>
      </c>
      <c r="L57">
        <f>IF(K57&lt;&gt;"",A57,"")</f>
        <v/>
      </c>
    </row>
    <row r="58">
      <c r="A58">
        <f>CurrentPositions!A48</f>
        <v/>
      </c>
      <c r="B58">
        <f>CurrentPositions!B48</f>
        <v/>
      </c>
      <c r="C58">
        <f>CurrentPositions!C48</f>
        <v/>
      </c>
      <c r="D58">
        <f>CurrentPositions!D48</f>
        <v/>
      </c>
      <c r="E58">
        <f>CurrentPositions!E48</f>
        <v/>
      </c>
      <c r="F58">
        <f>IF(B58="BUY",$B$5,IF(B58="SELL",$B$6,""))</f>
        <v/>
      </c>
      <c r="G58">
        <f>IF(B58="BUY",(F58-E58)/Settings!$B$3,IF(B58="SELL",(E58-F58)/Settings!$B$3,0))</f>
        <v/>
      </c>
      <c r="H58">
        <f>G58*D58*Settings!$B$4</f>
        <v/>
      </c>
      <c r="I58">
        <f>CurrentPositions!I48</f>
        <v/>
      </c>
      <c r="J58">
        <f>CurrentPositions!J48</f>
        <v/>
      </c>
      <c r="K58">
        <f>IF(AND(B58="SELL",H58&lt;0),H58,"")</f>
        <v/>
      </c>
      <c r="L58">
        <f>IF(K58&lt;&gt;"",A58,"")</f>
        <v/>
      </c>
    </row>
    <row r="59">
      <c r="A59">
        <f>CurrentPositions!A49</f>
        <v/>
      </c>
      <c r="B59">
        <f>CurrentPositions!B49</f>
        <v/>
      </c>
      <c r="C59">
        <f>CurrentPositions!C49</f>
        <v/>
      </c>
      <c r="D59">
        <f>CurrentPositions!D49</f>
        <v/>
      </c>
      <c r="E59">
        <f>CurrentPositions!E49</f>
        <v/>
      </c>
      <c r="F59">
        <f>IF(B59="BUY",$B$5,IF(B59="SELL",$B$6,""))</f>
        <v/>
      </c>
      <c r="G59">
        <f>IF(B59="BUY",(F59-E59)/Settings!$B$3,IF(B59="SELL",(E59-F59)/Settings!$B$3,0))</f>
        <v/>
      </c>
      <c r="H59">
        <f>G59*D59*Settings!$B$4</f>
        <v/>
      </c>
      <c r="I59">
        <f>CurrentPositions!I49</f>
        <v/>
      </c>
      <c r="J59">
        <f>CurrentPositions!J49</f>
        <v/>
      </c>
      <c r="K59">
        <f>IF(AND(B59="SELL",H59&lt;0),H59,"")</f>
        <v/>
      </c>
      <c r="L59">
        <f>IF(K59&lt;&gt;"",A59,"")</f>
        <v/>
      </c>
    </row>
    <row r="60">
      <c r="A60">
        <f>CurrentPositions!A50</f>
        <v/>
      </c>
      <c r="B60">
        <f>CurrentPositions!B50</f>
        <v/>
      </c>
      <c r="C60">
        <f>CurrentPositions!C50</f>
        <v/>
      </c>
      <c r="D60">
        <f>CurrentPositions!D50</f>
        <v/>
      </c>
      <c r="E60">
        <f>CurrentPositions!E50</f>
        <v/>
      </c>
      <c r="F60">
        <f>IF(B60="BUY",$B$5,IF(B60="SELL",$B$6,""))</f>
        <v/>
      </c>
      <c r="G60">
        <f>IF(B60="BUY",(F60-E60)/Settings!$B$3,IF(B60="SELL",(E60-F60)/Settings!$B$3,0))</f>
        <v/>
      </c>
      <c r="H60">
        <f>G60*D60*Settings!$B$4</f>
        <v/>
      </c>
      <c r="I60">
        <f>CurrentPositions!I50</f>
        <v/>
      </c>
      <c r="J60">
        <f>CurrentPositions!J50</f>
        <v/>
      </c>
      <c r="K60">
        <f>IF(AND(B60="SELL",H60&lt;0),H60,"")</f>
        <v/>
      </c>
      <c r="L60">
        <f>IF(K60&lt;&gt;"",A60,"")</f>
        <v/>
      </c>
    </row>
    <row r="61">
      <c r="A61">
        <f>CurrentPositions!A51</f>
        <v/>
      </c>
      <c r="B61">
        <f>CurrentPositions!B51</f>
        <v/>
      </c>
      <c r="C61">
        <f>CurrentPositions!C51</f>
        <v/>
      </c>
      <c r="D61">
        <f>CurrentPositions!D51</f>
        <v/>
      </c>
      <c r="E61">
        <f>CurrentPositions!E51</f>
        <v/>
      </c>
      <c r="F61">
        <f>IF(B61="BUY",$B$5,IF(B61="SELL",$B$6,""))</f>
        <v/>
      </c>
      <c r="G61">
        <f>IF(B61="BUY",(F61-E61)/Settings!$B$3,IF(B61="SELL",(E61-F61)/Settings!$B$3,0))</f>
        <v/>
      </c>
      <c r="H61">
        <f>G61*D61*Settings!$B$4</f>
        <v/>
      </c>
      <c r="I61">
        <f>CurrentPositions!I51</f>
        <v/>
      </c>
      <c r="J61">
        <f>CurrentPositions!J51</f>
        <v/>
      </c>
      <c r="K61">
        <f>IF(AND(B61="SELL",H61&lt;0),H61,"")</f>
        <v/>
      </c>
      <c r="L61">
        <f>IF(K61&lt;&gt;"",A61,"")</f>
        <v/>
      </c>
    </row>
    <row r="62">
      <c r="A62">
        <f>CurrentPositions!A52</f>
        <v/>
      </c>
      <c r="B62">
        <f>CurrentPositions!B52</f>
        <v/>
      </c>
      <c r="C62">
        <f>CurrentPositions!C52</f>
        <v/>
      </c>
      <c r="D62">
        <f>CurrentPositions!D52</f>
        <v/>
      </c>
      <c r="E62">
        <f>CurrentPositions!E52</f>
        <v/>
      </c>
      <c r="F62">
        <f>IF(B62="BUY",$B$5,IF(B62="SELL",$B$6,""))</f>
        <v/>
      </c>
      <c r="G62">
        <f>IF(B62="BUY",(F62-E62)/Settings!$B$3,IF(B62="SELL",(E62-F62)/Settings!$B$3,0))</f>
        <v/>
      </c>
      <c r="H62">
        <f>G62*D62*Settings!$B$4</f>
        <v/>
      </c>
      <c r="I62">
        <f>CurrentPositions!I52</f>
        <v/>
      </c>
      <c r="J62">
        <f>CurrentPositions!J52</f>
        <v/>
      </c>
      <c r="K62">
        <f>IF(AND(B62="SELL",H62&lt;0),H62,"")</f>
        <v/>
      </c>
      <c r="L62">
        <f>IF(K62&lt;&gt;"",A62,"")</f>
        <v/>
      </c>
    </row>
    <row r="63">
      <c r="A63">
        <f>CurrentPositions!A53</f>
        <v/>
      </c>
      <c r="B63">
        <f>CurrentPositions!B53</f>
        <v/>
      </c>
      <c r="C63">
        <f>CurrentPositions!C53</f>
        <v/>
      </c>
      <c r="D63">
        <f>CurrentPositions!D53</f>
        <v/>
      </c>
      <c r="E63">
        <f>CurrentPositions!E53</f>
        <v/>
      </c>
      <c r="F63">
        <f>IF(B63="BUY",$B$5,IF(B63="SELL",$B$6,""))</f>
        <v/>
      </c>
      <c r="G63">
        <f>IF(B63="BUY",(F63-E63)/Settings!$B$3,IF(B63="SELL",(E63-F63)/Settings!$B$3,0))</f>
        <v/>
      </c>
      <c r="H63">
        <f>G63*D63*Settings!$B$4</f>
        <v/>
      </c>
      <c r="I63">
        <f>CurrentPositions!I53</f>
        <v/>
      </c>
      <c r="J63">
        <f>CurrentPositions!J53</f>
        <v/>
      </c>
      <c r="K63">
        <f>IF(AND(B63="SELL",H63&lt;0),H63,"")</f>
        <v/>
      </c>
      <c r="L63">
        <f>IF(K63&lt;&gt;"",A63,"")</f>
        <v/>
      </c>
    </row>
    <row r="64">
      <c r="A64">
        <f>CurrentPositions!A54</f>
        <v/>
      </c>
      <c r="B64">
        <f>CurrentPositions!B54</f>
        <v/>
      </c>
      <c r="C64">
        <f>CurrentPositions!C54</f>
        <v/>
      </c>
      <c r="D64">
        <f>CurrentPositions!D54</f>
        <v/>
      </c>
      <c r="E64">
        <f>CurrentPositions!E54</f>
        <v/>
      </c>
      <c r="F64">
        <f>IF(B64="BUY",$B$5,IF(B64="SELL",$B$6,""))</f>
        <v/>
      </c>
      <c r="G64">
        <f>IF(B64="BUY",(F64-E64)/Settings!$B$3,IF(B64="SELL",(E64-F64)/Settings!$B$3,0))</f>
        <v/>
      </c>
      <c r="H64">
        <f>G64*D64*Settings!$B$4</f>
        <v/>
      </c>
      <c r="I64">
        <f>CurrentPositions!I54</f>
        <v/>
      </c>
      <c r="J64">
        <f>CurrentPositions!J54</f>
        <v/>
      </c>
      <c r="K64">
        <f>IF(AND(B64="SELL",H64&lt;0),H64,"")</f>
        <v/>
      </c>
      <c r="L64">
        <f>IF(K64&lt;&gt;"",A64,"")</f>
        <v/>
      </c>
    </row>
    <row r="65">
      <c r="A65">
        <f>CurrentPositions!A55</f>
        <v/>
      </c>
      <c r="B65">
        <f>CurrentPositions!B55</f>
        <v/>
      </c>
      <c r="C65">
        <f>CurrentPositions!C55</f>
        <v/>
      </c>
      <c r="D65">
        <f>CurrentPositions!D55</f>
        <v/>
      </c>
      <c r="E65">
        <f>CurrentPositions!E55</f>
        <v/>
      </c>
      <c r="F65">
        <f>IF(B65="BUY",$B$5,IF(B65="SELL",$B$6,""))</f>
        <v/>
      </c>
      <c r="G65">
        <f>IF(B65="BUY",(F65-E65)/Settings!$B$3,IF(B65="SELL",(E65-F65)/Settings!$B$3,0))</f>
        <v/>
      </c>
      <c r="H65">
        <f>G65*D65*Settings!$B$4</f>
        <v/>
      </c>
      <c r="I65">
        <f>CurrentPositions!I55</f>
        <v/>
      </c>
      <c r="J65">
        <f>CurrentPositions!J55</f>
        <v/>
      </c>
      <c r="K65">
        <f>IF(AND(B65="SELL",H65&lt;0),H65,"")</f>
        <v/>
      </c>
      <c r="L65">
        <f>IF(K65&lt;&gt;"",A65,"")</f>
        <v/>
      </c>
    </row>
    <row r="66">
      <c r="A66">
        <f>CurrentPositions!A56</f>
        <v/>
      </c>
      <c r="B66">
        <f>CurrentPositions!B56</f>
        <v/>
      </c>
      <c r="C66">
        <f>CurrentPositions!C56</f>
        <v/>
      </c>
      <c r="D66">
        <f>CurrentPositions!D56</f>
        <v/>
      </c>
      <c r="E66">
        <f>CurrentPositions!E56</f>
        <v/>
      </c>
      <c r="F66">
        <f>IF(B66="BUY",$B$5,IF(B66="SELL",$B$6,""))</f>
        <v/>
      </c>
      <c r="G66">
        <f>IF(B66="BUY",(F66-E66)/Settings!$B$3,IF(B66="SELL",(E66-F66)/Settings!$B$3,0))</f>
        <v/>
      </c>
      <c r="H66">
        <f>G66*D66*Settings!$B$4</f>
        <v/>
      </c>
      <c r="I66">
        <f>CurrentPositions!I56</f>
        <v/>
      </c>
      <c r="J66">
        <f>CurrentPositions!J56</f>
        <v/>
      </c>
      <c r="K66">
        <f>IF(AND(B66="SELL",H66&lt;0),H66,"")</f>
        <v/>
      </c>
      <c r="L66">
        <f>IF(K66&lt;&gt;"",A66,"")</f>
        <v/>
      </c>
    </row>
    <row r="67">
      <c r="A67">
        <f>CurrentPositions!A57</f>
        <v/>
      </c>
      <c r="B67">
        <f>CurrentPositions!B57</f>
        <v/>
      </c>
      <c r="C67">
        <f>CurrentPositions!C57</f>
        <v/>
      </c>
      <c r="D67">
        <f>CurrentPositions!D57</f>
        <v/>
      </c>
      <c r="E67">
        <f>CurrentPositions!E57</f>
        <v/>
      </c>
      <c r="F67">
        <f>IF(B67="BUY",$B$5,IF(B67="SELL",$B$6,""))</f>
        <v/>
      </c>
      <c r="G67">
        <f>IF(B67="BUY",(F67-E67)/Settings!$B$3,IF(B67="SELL",(E67-F67)/Settings!$B$3,0))</f>
        <v/>
      </c>
      <c r="H67">
        <f>G67*D67*Settings!$B$4</f>
        <v/>
      </c>
      <c r="I67">
        <f>CurrentPositions!I57</f>
        <v/>
      </c>
      <c r="J67">
        <f>CurrentPositions!J57</f>
        <v/>
      </c>
      <c r="K67">
        <f>IF(AND(B67="SELL",H67&lt;0),H67,"")</f>
        <v/>
      </c>
      <c r="L67">
        <f>IF(K67&lt;&gt;"",A67,"")</f>
        <v/>
      </c>
    </row>
    <row r="68">
      <c r="A68">
        <f>CurrentPositions!A58</f>
        <v/>
      </c>
      <c r="B68">
        <f>CurrentPositions!B58</f>
        <v/>
      </c>
      <c r="C68">
        <f>CurrentPositions!C58</f>
        <v/>
      </c>
      <c r="D68">
        <f>CurrentPositions!D58</f>
        <v/>
      </c>
      <c r="E68">
        <f>CurrentPositions!E58</f>
        <v/>
      </c>
      <c r="F68">
        <f>IF(B68="BUY",$B$5,IF(B68="SELL",$B$6,""))</f>
        <v/>
      </c>
      <c r="G68">
        <f>IF(B68="BUY",(F68-E68)/Settings!$B$3,IF(B68="SELL",(E68-F68)/Settings!$B$3,0))</f>
        <v/>
      </c>
      <c r="H68">
        <f>G68*D68*Settings!$B$4</f>
        <v/>
      </c>
      <c r="I68">
        <f>CurrentPositions!I58</f>
        <v/>
      </c>
      <c r="J68">
        <f>CurrentPositions!J58</f>
        <v/>
      </c>
      <c r="K68">
        <f>IF(AND(B68="SELL",H68&lt;0),H68,"")</f>
        <v/>
      </c>
      <c r="L68">
        <f>IF(K68&lt;&gt;"",A68,"")</f>
        <v/>
      </c>
    </row>
    <row r="69">
      <c r="A69">
        <f>CurrentPositions!A59</f>
        <v/>
      </c>
      <c r="B69">
        <f>CurrentPositions!B59</f>
        <v/>
      </c>
      <c r="C69">
        <f>CurrentPositions!C59</f>
        <v/>
      </c>
      <c r="D69">
        <f>CurrentPositions!D59</f>
        <v/>
      </c>
      <c r="E69">
        <f>CurrentPositions!E59</f>
        <v/>
      </c>
      <c r="F69">
        <f>IF(B69="BUY",$B$5,IF(B69="SELL",$B$6,""))</f>
        <v/>
      </c>
      <c r="G69">
        <f>IF(B69="BUY",(F69-E69)/Settings!$B$3,IF(B69="SELL",(E69-F69)/Settings!$B$3,0))</f>
        <v/>
      </c>
      <c r="H69">
        <f>G69*D69*Settings!$B$4</f>
        <v/>
      </c>
      <c r="I69">
        <f>CurrentPositions!I59</f>
        <v/>
      </c>
      <c r="J69">
        <f>CurrentPositions!J59</f>
        <v/>
      </c>
      <c r="K69">
        <f>IF(AND(B69="SELL",H69&lt;0),H69,"")</f>
        <v/>
      </c>
      <c r="L69">
        <f>IF(K69&lt;&gt;"",A69,"")</f>
        <v/>
      </c>
    </row>
    <row r="70">
      <c r="A70">
        <f>CurrentPositions!A60</f>
        <v/>
      </c>
      <c r="B70">
        <f>CurrentPositions!B60</f>
        <v/>
      </c>
      <c r="C70">
        <f>CurrentPositions!C60</f>
        <v/>
      </c>
      <c r="D70">
        <f>CurrentPositions!D60</f>
        <v/>
      </c>
      <c r="E70">
        <f>CurrentPositions!E60</f>
        <v/>
      </c>
      <c r="F70">
        <f>IF(B70="BUY",$B$5,IF(B70="SELL",$B$6,""))</f>
        <v/>
      </c>
      <c r="G70">
        <f>IF(B70="BUY",(F70-E70)/Settings!$B$3,IF(B70="SELL",(E70-F70)/Settings!$B$3,0))</f>
        <v/>
      </c>
      <c r="H70">
        <f>G70*D70*Settings!$B$4</f>
        <v/>
      </c>
      <c r="I70">
        <f>CurrentPositions!I60</f>
        <v/>
      </c>
      <c r="J70">
        <f>CurrentPositions!J60</f>
        <v/>
      </c>
      <c r="K70">
        <f>IF(AND(B70="SELL",H70&lt;0),H70,"")</f>
        <v/>
      </c>
      <c r="L70">
        <f>IF(K70&lt;&gt;"",A70,"")</f>
        <v/>
      </c>
    </row>
    <row r="71">
      <c r="A71">
        <f>CurrentPositions!A61</f>
        <v/>
      </c>
      <c r="B71">
        <f>CurrentPositions!B61</f>
        <v/>
      </c>
      <c r="C71">
        <f>CurrentPositions!C61</f>
        <v/>
      </c>
      <c r="D71">
        <f>CurrentPositions!D61</f>
        <v/>
      </c>
      <c r="E71">
        <f>CurrentPositions!E61</f>
        <v/>
      </c>
      <c r="F71">
        <f>IF(B71="BUY",$B$5,IF(B71="SELL",$B$6,""))</f>
        <v/>
      </c>
      <c r="G71">
        <f>IF(B71="BUY",(F71-E71)/Settings!$B$3,IF(B71="SELL",(E71-F71)/Settings!$B$3,0))</f>
        <v/>
      </c>
      <c r="H71">
        <f>G71*D71*Settings!$B$4</f>
        <v/>
      </c>
      <c r="I71">
        <f>CurrentPositions!I61</f>
        <v/>
      </c>
      <c r="J71">
        <f>CurrentPositions!J61</f>
        <v/>
      </c>
      <c r="K71">
        <f>IF(AND(B71="SELL",H71&lt;0),H71,"")</f>
        <v/>
      </c>
      <c r="L71">
        <f>IF(K71&lt;&gt;"",A71,"")</f>
        <v/>
      </c>
    </row>
    <row r="72">
      <c r="A72">
        <f>CurrentPositions!A62</f>
        <v/>
      </c>
      <c r="B72">
        <f>CurrentPositions!B62</f>
        <v/>
      </c>
      <c r="C72">
        <f>CurrentPositions!C62</f>
        <v/>
      </c>
      <c r="D72">
        <f>CurrentPositions!D62</f>
        <v/>
      </c>
      <c r="E72">
        <f>CurrentPositions!E62</f>
        <v/>
      </c>
      <c r="F72">
        <f>IF(B72="BUY",$B$5,IF(B72="SELL",$B$6,""))</f>
        <v/>
      </c>
      <c r="G72">
        <f>IF(B72="BUY",(F72-E72)/Settings!$B$3,IF(B72="SELL",(E72-F72)/Settings!$B$3,0))</f>
        <v/>
      </c>
      <c r="H72">
        <f>G72*D72*Settings!$B$4</f>
        <v/>
      </c>
      <c r="I72">
        <f>CurrentPositions!I62</f>
        <v/>
      </c>
      <c r="J72">
        <f>CurrentPositions!J62</f>
        <v/>
      </c>
      <c r="K72">
        <f>IF(AND(B72="SELL",H72&lt;0),H72,"")</f>
        <v/>
      </c>
      <c r="L72">
        <f>IF(K72&lt;&gt;"",A72,"")</f>
        <v/>
      </c>
    </row>
    <row r="73">
      <c r="A73">
        <f>CurrentPositions!A63</f>
        <v/>
      </c>
      <c r="B73">
        <f>CurrentPositions!B63</f>
        <v/>
      </c>
      <c r="C73">
        <f>CurrentPositions!C63</f>
        <v/>
      </c>
      <c r="D73">
        <f>CurrentPositions!D63</f>
        <v/>
      </c>
      <c r="E73">
        <f>CurrentPositions!E63</f>
        <v/>
      </c>
      <c r="F73">
        <f>IF(B73="BUY",$B$5,IF(B73="SELL",$B$6,""))</f>
        <v/>
      </c>
      <c r="G73">
        <f>IF(B73="BUY",(F73-E73)/Settings!$B$3,IF(B73="SELL",(E73-F73)/Settings!$B$3,0))</f>
        <v/>
      </c>
      <c r="H73">
        <f>G73*D73*Settings!$B$4</f>
        <v/>
      </c>
      <c r="I73">
        <f>CurrentPositions!I63</f>
        <v/>
      </c>
      <c r="J73">
        <f>CurrentPositions!J63</f>
        <v/>
      </c>
      <c r="K73">
        <f>IF(AND(B73="SELL",H73&lt;0),H73,"")</f>
        <v/>
      </c>
      <c r="L73">
        <f>IF(K73&lt;&gt;"",A73,"")</f>
        <v/>
      </c>
    </row>
    <row r="74">
      <c r="A74">
        <f>CurrentPositions!A64</f>
        <v/>
      </c>
      <c r="B74">
        <f>CurrentPositions!B64</f>
        <v/>
      </c>
      <c r="C74">
        <f>CurrentPositions!C64</f>
        <v/>
      </c>
      <c r="D74">
        <f>CurrentPositions!D64</f>
        <v/>
      </c>
      <c r="E74">
        <f>CurrentPositions!E64</f>
        <v/>
      </c>
      <c r="F74">
        <f>IF(B74="BUY",$B$5,IF(B74="SELL",$B$6,""))</f>
        <v/>
      </c>
      <c r="G74">
        <f>IF(B74="BUY",(F74-E74)/Settings!$B$3,IF(B74="SELL",(E74-F74)/Settings!$B$3,0))</f>
        <v/>
      </c>
      <c r="H74">
        <f>G74*D74*Settings!$B$4</f>
        <v/>
      </c>
      <c r="I74">
        <f>CurrentPositions!I64</f>
        <v/>
      </c>
      <c r="J74">
        <f>CurrentPositions!J64</f>
        <v/>
      </c>
      <c r="K74">
        <f>IF(AND(B74="SELL",H74&lt;0),H74,"")</f>
        <v/>
      </c>
      <c r="L74">
        <f>IF(K74&lt;&gt;"",A74,"")</f>
        <v/>
      </c>
    </row>
    <row r="75">
      <c r="A75">
        <f>CurrentPositions!A65</f>
        <v/>
      </c>
      <c r="B75">
        <f>CurrentPositions!B65</f>
        <v/>
      </c>
      <c r="C75">
        <f>CurrentPositions!C65</f>
        <v/>
      </c>
      <c r="D75">
        <f>CurrentPositions!D65</f>
        <v/>
      </c>
      <c r="E75">
        <f>CurrentPositions!E65</f>
        <v/>
      </c>
      <c r="F75">
        <f>IF(B75="BUY",$B$5,IF(B75="SELL",$B$6,""))</f>
        <v/>
      </c>
      <c r="G75">
        <f>IF(B75="BUY",(F75-E75)/Settings!$B$3,IF(B75="SELL",(E75-F75)/Settings!$B$3,0))</f>
        <v/>
      </c>
      <c r="H75">
        <f>G75*D75*Settings!$B$4</f>
        <v/>
      </c>
      <c r="I75">
        <f>CurrentPositions!I65</f>
        <v/>
      </c>
      <c r="J75">
        <f>CurrentPositions!J65</f>
        <v/>
      </c>
      <c r="K75">
        <f>IF(AND(B75="SELL",H75&lt;0),H75,"")</f>
        <v/>
      </c>
      <c r="L75">
        <f>IF(K75&lt;&gt;"",A75,"")</f>
        <v/>
      </c>
    </row>
    <row r="76">
      <c r="A76">
        <f>CurrentPositions!A66</f>
        <v/>
      </c>
      <c r="B76">
        <f>CurrentPositions!B66</f>
        <v/>
      </c>
      <c r="C76">
        <f>CurrentPositions!C66</f>
        <v/>
      </c>
      <c r="D76">
        <f>CurrentPositions!D66</f>
        <v/>
      </c>
      <c r="E76">
        <f>CurrentPositions!E66</f>
        <v/>
      </c>
      <c r="F76">
        <f>IF(B76="BUY",$B$5,IF(B76="SELL",$B$6,""))</f>
        <v/>
      </c>
      <c r="G76">
        <f>IF(B76="BUY",(F76-E76)/Settings!$B$3,IF(B76="SELL",(E76-F76)/Settings!$B$3,0))</f>
        <v/>
      </c>
      <c r="H76">
        <f>G76*D76*Settings!$B$4</f>
        <v/>
      </c>
      <c r="I76">
        <f>CurrentPositions!I66</f>
        <v/>
      </c>
      <c r="J76">
        <f>CurrentPositions!J66</f>
        <v/>
      </c>
      <c r="K76">
        <f>IF(AND(B76="SELL",H76&lt;0),H76,"")</f>
        <v/>
      </c>
      <c r="L76">
        <f>IF(K76&lt;&gt;"",A76,"")</f>
        <v/>
      </c>
    </row>
    <row r="77">
      <c r="A77">
        <f>CurrentPositions!A67</f>
        <v/>
      </c>
      <c r="B77">
        <f>CurrentPositions!B67</f>
        <v/>
      </c>
      <c r="C77">
        <f>CurrentPositions!C67</f>
        <v/>
      </c>
      <c r="D77">
        <f>CurrentPositions!D67</f>
        <v/>
      </c>
      <c r="E77">
        <f>CurrentPositions!E67</f>
        <v/>
      </c>
      <c r="F77">
        <f>IF(B77="BUY",$B$5,IF(B77="SELL",$B$6,""))</f>
        <v/>
      </c>
      <c r="G77">
        <f>IF(B77="BUY",(F77-E77)/Settings!$B$3,IF(B77="SELL",(E77-F77)/Settings!$B$3,0))</f>
        <v/>
      </c>
      <c r="H77">
        <f>G77*D77*Settings!$B$4</f>
        <v/>
      </c>
      <c r="I77">
        <f>CurrentPositions!I67</f>
        <v/>
      </c>
      <c r="J77">
        <f>CurrentPositions!J67</f>
        <v/>
      </c>
      <c r="K77">
        <f>IF(AND(B77="SELL",H77&lt;0),H77,"")</f>
        <v/>
      </c>
      <c r="L77">
        <f>IF(K77&lt;&gt;"",A77,"")</f>
        <v/>
      </c>
    </row>
    <row r="78">
      <c r="A78">
        <f>CurrentPositions!A68</f>
        <v/>
      </c>
      <c r="B78">
        <f>CurrentPositions!B68</f>
        <v/>
      </c>
      <c r="C78">
        <f>CurrentPositions!C68</f>
        <v/>
      </c>
      <c r="D78">
        <f>CurrentPositions!D68</f>
        <v/>
      </c>
      <c r="E78">
        <f>CurrentPositions!E68</f>
        <v/>
      </c>
      <c r="F78">
        <f>IF(B78="BUY",$B$5,IF(B78="SELL",$B$6,""))</f>
        <v/>
      </c>
      <c r="G78">
        <f>IF(B78="BUY",(F78-E78)/Settings!$B$3,IF(B78="SELL",(E78-F78)/Settings!$B$3,0))</f>
        <v/>
      </c>
      <c r="H78">
        <f>G78*D78*Settings!$B$4</f>
        <v/>
      </c>
      <c r="I78">
        <f>CurrentPositions!I68</f>
        <v/>
      </c>
      <c r="J78">
        <f>CurrentPositions!J68</f>
        <v/>
      </c>
      <c r="K78">
        <f>IF(AND(B78="SELL",H78&lt;0),H78,"")</f>
        <v/>
      </c>
      <c r="L78">
        <f>IF(K78&lt;&gt;"",A78,"")</f>
        <v/>
      </c>
    </row>
    <row r="79">
      <c r="A79">
        <f>CurrentPositions!A69</f>
        <v/>
      </c>
      <c r="B79">
        <f>CurrentPositions!B69</f>
        <v/>
      </c>
      <c r="C79">
        <f>CurrentPositions!C69</f>
        <v/>
      </c>
      <c r="D79">
        <f>CurrentPositions!D69</f>
        <v/>
      </c>
      <c r="E79">
        <f>CurrentPositions!E69</f>
        <v/>
      </c>
      <c r="F79">
        <f>IF(B79="BUY",$B$5,IF(B79="SELL",$B$6,""))</f>
        <v/>
      </c>
      <c r="G79">
        <f>IF(B79="BUY",(F79-E79)/Settings!$B$3,IF(B79="SELL",(E79-F79)/Settings!$B$3,0))</f>
        <v/>
      </c>
      <c r="H79">
        <f>G79*D79*Settings!$B$4</f>
        <v/>
      </c>
      <c r="I79">
        <f>CurrentPositions!I69</f>
        <v/>
      </c>
      <c r="J79">
        <f>CurrentPositions!J69</f>
        <v/>
      </c>
      <c r="K79">
        <f>IF(AND(B79="SELL",H79&lt;0),H79,"")</f>
        <v/>
      </c>
      <c r="L79">
        <f>IF(K79&lt;&gt;"",A79,"")</f>
        <v/>
      </c>
    </row>
    <row r="80">
      <c r="A80">
        <f>CurrentPositions!A70</f>
        <v/>
      </c>
      <c r="B80">
        <f>CurrentPositions!B70</f>
        <v/>
      </c>
      <c r="C80">
        <f>CurrentPositions!C70</f>
        <v/>
      </c>
      <c r="D80">
        <f>CurrentPositions!D70</f>
        <v/>
      </c>
      <c r="E80">
        <f>CurrentPositions!E70</f>
        <v/>
      </c>
      <c r="F80">
        <f>IF(B80="BUY",$B$5,IF(B80="SELL",$B$6,""))</f>
        <v/>
      </c>
      <c r="G80">
        <f>IF(B80="BUY",(F80-E80)/Settings!$B$3,IF(B80="SELL",(E80-F80)/Settings!$B$3,0))</f>
        <v/>
      </c>
      <c r="H80">
        <f>G80*D80*Settings!$B$4</f>
        <v/>
      </c>
      <c r="I80">
        <f>CurrentPositions!I70</f>
        <v/>
      </c>
      <c r="J80">
        <f>CurrentPositions!J70</f>
        <v/>
      </c>
      <c r="K80">
        <f>IF(AND(B80="SELL",H80&lt;0),H80,"")</f>
        <v/>
      </c>
      <c r="L80">
        <f>IF(K80&lt;&gt;"",A80,"")</f>
        <v/>
      </c>
    </row>
    <row r="81">
      <c r="A81">
        <f>CurrentPositions!A71</f>
        <v/>
      </c>
      <c r="B81">
        <f>CurrentPositions!B71</f>
        <v/>
      </c>
      <c r="C81">
        <f>CurrentPositions!C71</f>
        <v/>
      </c>
      <c r="D81">
        <f>CurrentPositions!D71</f>
        <v/>
      </c>
      <c r="E81">
        <f>CurrentPositions!E71</f>
        <v/>
      </c>
      <c r="F81">
        <f>IF(B81="BUY",$B$5,IF(B81="SELL",$B$6,""))</f>
        <v/>
      </c>
      <c r="G81">
        <f>IF(B81="BUY",(F81-E81)/Settings!$B$3,IF(B81="SELL",(E81-F81)/Settings!$B$3,0))</f>
        <v/>
      </c>
      <c r="H81">
        <f>G81*D81*Settings!$B$4</f>
        <v/>
      </c>
      <c r="I81">
        <f>CurrentPositions!I71</f>
        <v/>
      </c>
      <c r="J81">
        <f>CurrentPositions!J71</f>
        <v/>
      </c>
      <c r="K81">
        <f>IF(AND(B81="SELL",H81&lt;0),H81,"")</f>
        <v/>
      </c>
      <c r="L81">
        <f>IF(K81&lt;&gt;"",A81,"")</f>
        <v/>
      </c>
    </row>
    <row r="82">
      <c r="A82">
        <f>CurrentPositions!A72</f>
        <v/>
      </c>
      <c r="B82">
        <f>CurrentPositions!B72</f>
        <v/>
      </c>
      <c r="C82">
        <f>CurrentPositions!C72</f>
        <v/>
      </c>
      <c r="D82">
        <f>CurrentPositions!D72</f>
        <v/>
      </c>
      <c r="E82">
        <f>CurrentPositions!E72</f>
        <v/>
      </c>
      <c r="F82">
        <f>IF(B82="BUY",$B$5,IF(B82="SELL",$B$6,""))</f>
        <v/>
      </c>
      <c r="G82">
        <f>IF(B82="BUY",(F82-E82)/Settings!$B$3,IF(B82="SELL",(E82-F82)/Settings!$B$3,0))</f>
        <v/>
      </c>
      <c r="H82">
        <f>G82*D82*Settings!$B$4</f>
        <v/>
      </c>
      <c r="I82">
        <f>CurrentPositions!I72</f>
        <v/>
      </c>
      <c r="J82">
        <f>CurrentPositions!J72</f>
        <v/>
      </c>
      <c r="K82">
        <f>IF(AND(B82="SELL",H82&lt;0),H82,"")</f>
        <v/>
      </c>
      <c r="L82">
        <f>IF(K82&lt;&gt;"",A82,"")</f>
        <v/>
      </c>
    </row>
    <row r="83">
      <c r="A83">
        <f>CurrentPositions!A73</f>
        <v/>
      </c>
      <c r="B83">
        <f>CurrentPositions!B73</f>
        <v/>
      </c>
      <c r="C83">
        <f>CurrentPositions!C73</f>
        <v/>
      </c>
      <c r="D83">
        <f>CurrentPositions!D73</f>
        <v/>
      </c>
      <c r="E83">
        <f>CurrentPositions!E73</f>
        <v/>
      </c>
      <c r="F83">
        <f>IF(B83="BUY",$B$5,IF(B83="SELL",$B$6,""))</f>
        <v/>
      </c>
      <c r="G83">
        <f>IF(B83="BUY",(F83-E83)/Settings!$B$3,IF(B83="SELL",(E83-F83)/Settings!$B$3,0))</f>
        <v/>
      </c>
      <c r="H83">
        <f>G83*D83*Settings!$B$4</f>
        <v/>
      </c>
      <c r="I83">
        <f>CurrentPositions!I73</f>
        <v/>
      </c>
      <c r="J83">
        <f>CurrentPositions!J73</f>
        <v/>
      </c>
      <c r="K83">
        <f>IF(AND(B83="SELL",H83&lt;0),H83,"")</f>
        <v/>
      </c>
      <c r="L83">
        <f>IF(K83&lt;&gt;"",A83,"")</f>
        <v/>
      </c>
    </row>
    <row r="84">
      <c r="A84">
        <f>CurrentPositions!A74</f>
        <v/>
      </c>
      <c r="B84">
        <f>CurrentPositions!B74</f>
        <v/>
      </c>
      <c r="C84">
        <f>CurrentPositions!C74</f>
        <v/>
      </c>
      <c r="D84">
        <f>CurrentPositions!D74</f>
        <v/>
      </c>
      <c r="E84">
        <f>CurrentPositions!E74</f>
        <v/>
      </c>
      <c r="F84">
        <f>IF(B84="BUY",$B$5,IF(B84="SELL",$B$6,""))</f>
        <v/>
      </c>
      <c r="G84">
        <f>IF(B84="BUY",(F84-E84)/Settings!$B$3,IF(B84="SELL",(E84-F84)/Settings!$B$3,0))</f>
        <v/>
      </c>
      <c r="H84">
        <f>G84*D84*Settings!$B$4</f>
        <v/>
      </c>
      <c r="I84">
        <f>CurrentPositions!I74</f>
        <v/>
      </c>
      <c r="J84">
        <f>CurrentPositions!J74</f>
        <v/>
      </c>
      <c r="K84">
        <f>IF(AND(B84="SELL",H84&lt;0),H84,"")</f>
        <v/>
      </c>
      <c r="L84">
        <f>IF(K84&lt;&gt;"",A84,"")</f>
        <v/>
      </c>
    </row>
    <row r="85">
      <c r="A85">
        <f>CurrentPositions!A75</f>
        <v/>
      </c>
      <c r="B85">
        <f>CurrentPositions!B75</f>
        <v/>
      </c>
      <c r="C85">
        <f>CurrentPositions!C75</f>
        <v/>
      </c>
      <c r="D85">
        <f>CurrentPositions!D75</f>
        <v/>
      </c>
      <c r="E85">
        <f>CurrentPositions!E75</f>
        <v/>
      </c>
      <c r="F85">
        <f>IF(B85="BUY",$B$5,IF(B85="SELL",$B$6,""))</f>
        <v/>
      </c>
      <c r="G85">
        <f>IF(B85="BUY",(F85-E85)/Settings!$B$3,IF(B85="SELL",(E85-F85)/Settings!$B$3,0))</f>
        <v/>
      </c>
      <c r="H85">
        <f>G85*D85*Settings!$B$4</f>
        <v/>
      </c>
      <c r="I85">
        <f>CurrentPositions!I75</f>
        <v/>
      </c>
      <c r="J85">
        <f>CurrentPositions!J75</f>
        <v/>
      </c>
      <c r="K85">
        <f>IF(AND(B85="SELL",H85&lt;0),H85,"")</f>
        <v/>
      </c>
      <c r="L85">
        <f>IF(K85&lt;&gt;"",A85,"")</f>
        <v/>
      </c>
    </row>
    <row r="86">
      <c r="A86">
        <f>CurrentPositions!A76</f>
        <v/>
      </c>
      <c r="B86">
        <f>CurrentPositions!B76</f>
        <v/>
      </c>
      <c r="C86">
        <f>CurrentPositions!C76</f>
        <v/>
      </c>
      <c r="D86">
        <f>CurrentPositions!D76</f>
        <v/>
      </c>
      <c r="E86">
        <f>CurrentPositions!E76</f>
        <v/>
      </c>
      <c r="F86">
        <f>IF(B86="BUY",$B$5,IF(B86="SELL",$B$6,""))</f>
        <v/>
      </c>
      <c r="G86">
        <f>IF(B86="BUY",(F86-E86)/Settings!$B$3,IF(B86="SELL",(E86-F86)/Settings!$B$3,0))</f>
        <v/>
      </c>
      <c r="H86">
        <f>G86*D86*Settings!$B$4</f>
        <v/>
      </c>
      <c r="I86">
        <f>CurrentPositions!I76</f>
        <v/>
      </c>
      <c r="J86">
        <f>CurrentPositions!J76</f>
        <v/>
      </c>
      <c r="K86">
        <f>IF(AND(B86="SELL",H86&lt;0),H86,"")</f>
        <v/>
      </c>
      <c r="L86">
        <f>IF(K86&lt;&gt;"",A86,"")</f>
        <v/>
      </c>
    </row>
    <row r="87">
      <c r="A87">
        <f>CurrentPositions!A77</f>
        <v/>
      </c>
      <c r="B87">
        <f>CurrentPositions!B77</f>
        <v/>
      </c>
      <c r="C87">
        <f>CurrentPositions!C77</f>
        <v/>
      </c>
      <c r="D87">
        <f>CurrentPositions!D77</f>
        <v/>
      </c>
      <c r="E87">
        <f>CurrentPositions!E77</f>
        <v/>
      </c>
      <c r="F87">
        <f>IF(B87="BUY",$B$5,IF(B87="SELL",$B$6,""))</f>
        <v/>
      </c>
      <c r="G87">
        <f>IF(B87="BUY",(F87-E87)/Settings!$B$3,IF(B87="SELL",(E87-F87)/Settings!$B$3,0))</f>
        <v/>
      </c>
      <c r="H87">
        <f>G87*D87*Settings!$B$4</f>
        <v/>
      </c>
      <c r="I87">
        <f>CurrentPositions!I77</f>
        <v/>
      </c>
      <c r="J87">
        <f>CurrentPositions!J77</f>
        <v/>
      </c>
      <c r="K87">
        <f>IF(AND(B87="SELL",H87&lt;0),H87,"")</f>
        <v/>
      </c>
      <c r="L87">
        <f>IF(K87&lt;&gt;"",A87,"")</f>
        <v/>
      </c>
    </row>
    <row r="88">
      <c r="A88">
        <f>CurrentPositions!A78</f>
        <v/>
      </c>
      <c r="B88">
        <f>CurrentPositions!B78</f>
        <v/>
      </c>
      <c r="C88">
        <f>CurrentPositions!C78</f>
        <v/>
      </c>
      <c r="D88">
        <f>CurrentPositions!D78</f>
        <v/>
      </c>
      <c r="E88">
        <f>CurrentPositions!E78</f>
        <v/>
      </c>
      <c r="F88">
        <f>IF(B88="BUY",$B$5,IF(B88="SELL",$B$6,""))</f>
        <v/>
      </c>
      <c r="G88">
        <f>IF(B88="BUY",(F88-E88)/Settings!$B$3,IF(B88="SELL",(E88-F88)/Settings!$B$3,0))</f>
        <v/>
      </c>
      <c r="H88">
        <f>G88*D88*Settings!$B$4</f>
        <v/>
      </c>
      <c r="I88">
        <f>CurrentPositions!I78</f>
        <v/>
      </c>
      <c r="J88">
        <f>CurrentPositions!J78</f>
        <v/>
      </c>
      <c r="K88">
        <f>IF(AND(B88="SELL",H88&lt;0),H88,"")</f>
        <v/>
      </c>
      <c r="L88">
        <f>IF(K88&lt;&gt;"",A88,"")</f>
        <v/>
      </c>
    </row>
    <row r="89">
      <c r="A89">
        <f>CurrentPositions!A79</f>
        <v/>
      </c>
      <c r="B89">
        <f>CurrentPositions!B79</f>
        <v/>
      </c>
      <c r="C89">
        <f>CurrentPositions!C79</f>
        <v/>
      </c>
      <c r="D89">
        <f>CurrentPositions!D79</f>
        <v/>
      </c>
      <c r="E89">
        <f>CurrentPositions!E79</f>
        <v/>
      </c>
      <c r="F89">
        <f>IF(B89="BUY",$B$5,IF(B89="SELL",$B$6,""))</f>
        <v/>
      </c>
      <c r="G89">
        <f>IF(B89="BUY",(F89-E89)/Settings!$B$3,IF(B89="SELL",(E89-F89)/Settings!$B$3,0))</f>
        <v/>
      </c>
      <c r="H89">
        <f>G89*D89*Settings!$B$4</f>
        <v/>
      </c>
      <c r="I89">
        <f>CurrentPositions!I79</f>
        <v/>
      </c>
      <c r="J89">
        <f>CurrentPositions!J79</f>
        <v/>
      </c>
      <c r="K89">
        <f>IF(AND(B89="SELL",H89&lt;0),H89,"")</f>
        <v/>
      </c>
      <c r="L89">
        <f>IF(K89&lt;&gt;"",A89,"")</f>
        <v/>
      </c>
    </row>
    <row r="90">
      <c r="A90">
        <f>CurrentPositions!A80</f>
        <v/>
      </c>
      <c r="B90">
        <f>CurrentPositions!B80</f>
        <v/>
      </c>
      <c r="C90">
        <f>CurrentPositions!C80</f>
        <v/>
      </c>
      <c r="D90">
        <f>CurrentPositions!D80</f>
        <v/>
      </c>
      <c r="E90">
        <f>CurrentPositions!E80</f>
        <v/>
      </c>
      <c r="F90">
        <f>IF(B90="BUY",$B$5,IF(B90="SELL",$B$6,""))</f>
        <v/>
      </c>
      <c r="G90">
        <f>IF(B90="BUY",(F90-E90)/Settings!$B$3,IF(B90="SELL",(E90-F90)/Settings!$B$3,0))</f>
        <v/>
      </c>
      <c r="H90">
        <f>G90*D90*Settings!$B$4</f>
        <v/>
      </c>
      <c r="I90">
        <f>CurrentPositions!I80</f>
        <v/>
      </c>
      <c r="J90">
        <f>CurrentPositions!J80</f>
        <v/>
      </c>
      <c r="K90">
        <f>IF(AND(B90="SELL",H90&lt;0),H90,"")</f>
        <v/>
      </c>
      <c r="L90">
        <f>IF(K90&lt;&gt;"",A90,"")</f>
        <v/>
      </c>
    </row>
    <row r="91">
      <c r="A91">
        <f>CurrentPositions!A81</f>
        <v/>
      </c>
      <c r="B91">
        <f>CurrentPositions!B81</f>
        <v/>
      </c>
      <c r="C91">
        <f>CurrentPositions!C81</f>
        <v/>
      </c>
      <c r="D91">
        <f>CurrentPositions!D81</f>
        <v/>
      </c>
      <c r="E91">
        <f>CurrentPositions!E81</f>
        <v/>
      </c>
      <c r="F91">
        <f>IF(B91="BUY",$B$5,IF(B91="SELL",$B$6,""))</f>
        <v/>
      </c>
      <c r="G91">
        <f>IF(B91="BUY",(F91-E91)/Settings!$B$3,IF(B91="SELL",(E91-F91)/Settings!$B$3,0))</f>
        <v/>
      </c>
      <c r="H91">
        <f>G91*D91*Settings!$B$4</f>
        <v/>
      </c>
      <c r="I91">
        <f>CurrentPositions!I81</f>
        <v/>
      </c>
      <c r="J91">
        <f>CurrentPositions!J81</f>
        <v/>
      </c>
      <c r="K91">
        <f>IF(AND(B91="SELL",H91&lt;0),H91,"")</f>
        <v/>
      </c>
      <c r="L91">
        <f>IF(K91&lt;&gt;"",A91,"")</f>
        <v/>
      </c>
    </row>
    <row r="92">
      <c r="A92">
        <f>CurrentPositions!A82</f>
        <v/>
      </c>
      <c r="B92">
        <f>CurrentPositions!B82</f>
        <v/>
      </c>
      <c r="C92">
        <f>CurrentPositions!C82</f>
        <v/>
      </c>
      <c r="D92">
        <f>CurrentPositions!D82</f>
        <v/>
      </c>
      <c r="E92">
        <f>CurrentPositions!E82</f>
        <v/>
      </c>
      <c r="F92">
        <f>IF(B92="BUY",$B$5,IF(B92="SELL",$B$6,""))</f>
        <v/>
      </c>
      <c r="G92">
        <f>IF(B92="BUY",(F92-E92)/Settings!$B$3,IF(B92="SELL",(E92-F92)/Settings!$B$3,0))</f>
        <v/>
      </c>
      <c r="H92">
        <f>G92*D92*Settings!$B$4</f>
        <v/>
      </c>
      <c r="I92">
        <f>CurrentPositions!I82</f>
        <v/>
      </c>
      <c r="J92">
        <f>CurrentPositions!J82</f>
        <v/>
      </c>
      <c r="K92">
        <f>IF(AND(B92="SELL",H92&lt;0),H92,"")</f>
        <v/>
      </c>
      <c r="L92">
        <f>IF(K92&lt;&gt;"",A92,"")</f>
        <v/>
      </c>
    </row>
    <row r="93">
      <c r="A93">
        <f>CurrentPositions!A83</f>
        <v/>
      </c>
      <c r="B93">
        <f>CurrentPositions!B83</f>
        <v/>
      </c>
      <c r="C93">
        <f>CurrentPositions!C83</f>
        <v/>
      </c>
      <c r="D93">
        <f>CurrentPositions!D83</f>
        <v/>
      </c>
      <c r="E93">
        <f>CurrentPositions!E83</f>
        <v/>
      </c>
      <c r="F93">
        <f>IF(B93="BUY",$B$5,IF(B93="SELL",$B$6,""))</f>
        <v/>
      </c>
      <c r="G93">
        <f>IF(B93="BUY",(F93-E93)/Settings!$B$3,IF(B93="SELL",(E93-F93)/Settings!$B$3,0))</f>
        <v/>
      </c>
      <c r="H93">
        <f>G93*D93*Settings!$B$4</f>
        <v/>
      </c>
      <c r="I93">
        <f>CurrentPositions!I83</f>
        <v/>
      </c>
      <c r="J93">
        <f>CurrentPositions!J83</f>
        <v/>
      </c>
      <c r="K93">
        <f>IF(AND(B93="SELL",H93&lt;0),H93,"")</f>
        <v/>
      </c>
      <c r="L93">
        <f>IF(K93&lt;&gt;"",A93,"")</f>
        <v/>
      </c>
    </row>
    <row r="94">
      <c r="A94">
        <f>CurrentPositions!A84</f>
        <v/>
      </c>
      <c r="B94">
        <f>CurrentPositions!B84</f>
        <v/>
      </c>
      <c r="C94">
        <f>CurrentPositions!C84</f>
        <v/>
      </c>
      <c r="D94">
        <f>CurrentPositions!D84</f>
        <v/>
      </c>
      <c r="E94">
        <f>CurrentPositions!E84</f>
        <v/>
      </c>
      <c r="F94">
        <f>IF(B94="BUY",$B$5,IF(B94="SELL",$B$6,""))</f>
        <v/>
      </c>
      <c r="G94">
        <f>IF(B94="BUY",(F94-E94)/Settings!$B$3,IF(B94="SELL",(E94-F94)/Settings!$B$3,0))</f>
        <v/>
      </c>
      <c r="H94">
        <f>G94*D94*Settings!$B$4</f>
        <v/>
      </c>
      <c r="I94">
        <f>CurrentPositions!I84</f>
        <v/>
      </c>
      <c r="J94">
        <f>CurrentPositions!J84</f>
        <v/>
      </c>
      <c r="K94">
        <f>IF(AND(B94="SELL",H94&lt;0),H94,"")</f>
        <v/>
      </c>
      <c r="L94">
        <f>IF(K94&lt;&gt;"",A94,"")</f>
        <v/>
      </c>
    </row>
    <row r="95">
      <c r="A95">
        <f>CurrentPositions!A85</f>
        <v/>
      </c>
      <c r="B95">
        <f>CurrentPositions!B85</f>
        <v/>
      </c>
      <c r="C95">
        <f>CurrentPositions!C85</f>
        <v/>
      </c>
      <c r="D95">
        <f>CurrentPositions!D85</f>
        <v/>
      </c>
      <c r="E95">
        <f>CurrentPositions!E85</f>
        <v/>
      </c>
      <c r="F95">
        <f>IF(B95="BUY",$B$5,IF(B95="SELL",$B$6,""))</f>
        <v/>
      </c>
      <c r="G95">
        <f>IF(B95="BUY",(F95-E95)/Settings!$B$3,IF(B95="SELL",(E95-F95)/Settings!$B$3,0))</f>
        <v/>
      </c>
      <c r="H95">
        <f>G95*D95*Settings!$B$4</f>
        <v/>
      </c>
      <c r="I95">
        <f>CurrentPositions!I85</f>
        <v/>
      </c>
      <c r="J95">
        <f>CurrentPositions!J85</f>
        <v/>
      </c>
      <c r="K95">
        <f>IF(AND(B95="SELL",H95&lt;0),H95,"")</f>
        <v/>
      </c>
      <c r="L95">
        <f>IF(K95&lt;&gt;"",A95,"")</f>
        <v/>
      </c>
    </row>
    <row r="96">
      <c r="A96">
        <f>CurrentPositions!A86</f>
        <v/>
      </c>
      <c r="B96">
        <f>CurrentPositions!B86</f>
        <v/>
      </c>
      <c r="C96">
        <f>CurrentPositions!C86</f>
        <v/>
      </c>
      <c r="D96">
        <f>CurrentPositions!D86</f>
        <v/>
      </c>
      <c r="E96">
        <f>CurrentPositions!E86</f>
        <v/>
      </c>
      <c r="F96">
        <f>IF(B96="BUY",$B$5,IF(B96="SELL",$B$6,""))</f>
        <v/>
      </c>
      <c r="G96">
        <f>IF(B96="BUY",(F96-E96)/Settings!$B$3,IF(B96="SELL",(E96-F96)/Settings!$B$3,0))</f>
        <v/>
      </c>
      <c r="H96">
        <f>G96*D96*Settings!$B$4</f>
        <v/>
      </c>
      <c r="I96">
        <f>CurrentPositions!I86</f>
        <v/>
      </c>
      <c r="J96">
        <f>CurrentPositions!J86</f>
        <v/>
      </c>
      <c r="K96">
        <f>IF(AND(B96="SELL",H96&lt;0),H96,"")</f>
        <v/>
      </c>
      <c r="L96">
        <f>IF(K96&lt;&gt;"",A96,"")</f>
        <v/>
      </c>
    </row>
    <row r="97">
      <c r="A97">
        <f>CurrentPositions!A87</f>
        <v/>
      </c>
      <c r="B97">
        <f>CurrentPositions!B87</f>
        <v/>
      </c>
      <c r="C97">
        <f>CurrentPositions!C87</f>
        <v/>
      </c>
      <c r="D97">
        <f>CurrentPositions!D87</f>
        <v/>
      </c>
      <c r="E97">
        <f>CurrentPositions!E87</f>
        <v/>
      </c>
      <c r="F97">
        <f>IF(B97="BUY",$B$5,IF(B97="SELL",$B$6,""))</f>
        <v/>
      </c>
      <c r="G97">
        <f>IF(B97="BUY",(F97-E97)/Settings!$B$3,IF(B97="SELL",(E97-F97)/Settings!$B$3,0))</f>
        <v/>
      </c>
      <c r="H97">
        <f>G97*D97*Settings!$B$4</f>
        <v/>
      </c>
      <c r="I97">
        <f>CurrentPositions!I87</f>
        <v/>
      </c>
      <c r="J97">
        <f>CurrentPositions!J87</f>
        <v/>
      </c>
      <c r="K97">
        <f>IF(AND(B97="SELL",H97&lt;0),H97,"")</f>
        <v/>
      </c>
      <c r="L97">
        <f>IF(K97&lt;&gt;"",A97,"")</f>
        <v/>
      </c>
    </row>
    <row r="98">
      <c r="A98">
        <f>CurrentPositions!A88</f>
        <v/>
      </c>
      <c r="B98">
        <f>CurrentPositions!B88</f>
        <v/>
      </c>
      <c r="C98">
        <f>CurrentPositions!C88</f>
        <v/>
      </c>
      <c r="D98">
        <f>CurrentPositions!D88</f>
        <v/>
      </c>
      <c r="E98">
        <f>CurrentPositions!E88</f>
        <v/>
      </c>
      <c r="F98">
        <f>IF(B98="BUY",$B$5,IF(B98="SELL",$B$6,""))</f>
        <v/>
      </c>
      <c r="G98">
        <f>IF(B98="BUY",(F98-E98)/Settings!$B$3,IF(B98="SELL",(E98-F98)/Settings!$B$3,0))</f>
        <v/>
      </c>
      <c r="H98">
        <f>G98*D98*Settings!$B$4</f>
        <v/>
      </c>
      <c r="I98">
        <f>CurrentPositions!I88</f>
        <v/>
      </c>
      <c r="J98">
        <f>CurrentPositions!J88</f>
        <v/>
      </c>
      <c r="K98">
        <f>IF(AND(B98="SELL",H98&lt;0),H98,"")</f>
        <v/>
      </c>
      <c r="L98">
        <f>IF(K98&lt;&gt;"",A98,"")</f>
        <v/>
      </c>
    </row>
    <row r="99">
      <c r="A99">
        <f>CurrentPositions!A89</f>
        <v/>
      </c>
      <c r="B99">
        <f>CurrentPositions!B89</f>
        <v/>
      </c>
      <c r="C99">
        <f>CurrentPositions!C89</f>
        <v/>
      </c>
      <c r="D99">
        <f>CurrentPositions!D89</f>
        <v/>
      </c>
      <c r="E99">
        <f>CurrentPositions!E89</f>
        <v/>
      </c>
      <c r="F99">
        <f>IF(B99="BUY",$B$5,IF(B99="SELL",$B$6,""))</f>
        <v/>
      </c>
      <c r="G99">
        <f>IF(B99="BUY",(F99-E99)/Settings!$B$3,IF(B99="SELL",(E99-F99)/Settings!$B$3,0))</f>
        <v/>
      </c>
      <c r="H99">
        <f>G99*D99*Settings!$B$4</f>
        <v/>
      </c>
      <c r="I99">
        <f>CurrentPositions!I89</f>
        <v/>
      </c>
      <c r="J99">
        <f>CurrentPositions!J89</f>
        <v/>
      </c>
      <c r="K99">
        <f>IF(AND(B99="SELL",H99&lt;0),H99,"")</f>
        <v/>
      </c>
      <c r="L99">
        <f>IF(K99&lt;&gt;"",A99,"")</f>
        <v/>
      </c>
    </row>
    <row r="100">
      <c r="A100">
        <f>CurrentPositions!A90</f>
        <v/>
      </c>
      <c r="B100">
        <f>CurrentPositions!B90</f>
        <v/>
      </c>
      <c r="C100">
        <f>CurrentPositions!C90</f>
        <v/>
      </c>
      <c r="D100">
        <f>CurrentPositions!D90</f>
        <v/>
      </c>
      <c r="E100">
        <f>CurrentPositions!E90</f>
        <v/>
      </c>
      <c r="F100">
        <f>IF(B100="BUY",$B$5,IF(B100="SELL",$B$6,""))</f>
        <v/>
      </c>
      <c r="G100">
        <f>IF(B100="BUY",(F100-E100)/Settings!$B$3,IF(B100="SELL",(E100-F100)/Settings!$B$3,0))</f>
        <v/>
      </c>
      <c r="H100">
        <f>G100*D100*Settings!$B$4</f>
        <v/>
      </c>
      <c r="I100">
        <f>CurrentPositions!I90</f>
        <v/>
      </c>
      <c r="J100">
        <f>CurrentPositions!J90</f>
        <v/>
      </c>
      <c r="K100">
        <f>IF(AND(B100="SELL",H100&lt;0),H100,"")</f>
        <v/>
      </c>
      <c r="L100">
        <f>IF(K100&lt;&gt;"",A100,"")</f>
        <v/>
      </c>
    </row>
    <row r="101">
      <c r="A101">
        <f>CurrentPositions!A91</f>
        <v/>
      </c>
      <c r="B101">
        <f>CurrentPositions!B91</f>
        <v/>
      </c>
      <c r="C101">
        <f>CurrentPositions!C91</f>
        <v/>
      </c>
      <c r="D101">
        <f>CurrentPositions!D91</f>
        <v/>
      </c>
      <c r="E101">
        <f>CurrentPositions!E91</f>
        <v/>
      </c>
      <c r="F101">
        <f>IF(B101="BUY",$B$5,IF(B101="SELL",$B$6,""))</f>
        <v/>
      </c>
      <c r="G101">
        <f>IF(B101="BUY",(F101-E101)/Settings!$B$3,IF(B101="SELL",(E101-F101)/Settings!$B$3,0))</f>
        <v/>
      </c>
      <c r="H101">
        <f>G101*D101*Settings!$B$4</f>
        <v/>
      </c>
      <c r="I101">
        <f>CurrentPositions!I91</f>
        <v/>
      </c>
      <c r="J101">
        <f>CurrentPositions!J91</f>
        <v/>
      </c>
      <c r="K101">
        <f>IF(AND(B101="SELL",H101&lt;0),H101,"")</f>
        <v/>
      </c>
      <c r="L101">
        <f>IF(K101&lt;&gt;"",A101,"")</f>
        <v/>
      </c>
    </row>
    <row r="102">
      <c r="A102">
        <f>CurrentPositions!A92</f>
        <v/>
      </c>
      <c r="B102">
        <f>CurrentPositions!B92</f>
        <v/>
      </c>
      <c r="C102">
        <f>CurrentPositions!C92</f>
        <v/>
      </c>
      <c r="D102">
        <f>CurrentPositions!D92</f>
        <v/>
      </c>
      <c r="E102">
        <f>CurrentPositions!E92</f>
        <v/>
      </c>
      <c r="F102">
        <f>IF(B102="BUY",$B$5,IF(B102="SELL",$B$6,""))</f>
        <v/>
      </c>
      <c r="G102">
        <f>IF(B102="BUY",(F102-E102)/Settings!$B$3,IF(B102="SELL",(E102-F102)/Settings!$B$3,0))</f>
        <v/>
      </c>
      <c r="H102">
        <f>G102*D102*Settings!$B$4</f>
        <v/>
      </c>
      <c r="I102">
        <f>CurrentPositions!I92</f>
        <v/>
      </c>
      <c r="J102">
        <f>CurrentPositions!J92</f>
        <v/>
      </c>
      <c r="K102">
        <f>IF(AND(B102="SELL",H102&lt;0),H102,"")</f>
        <v/>
      </c>
      <c r="L102">
        <f>IF(K102&lt;&gt;"",A102,"")</f>
        <v/>
      </c>
    </row>
    <row r="103">
      <c r="A103">
        <f>CurrentPositions!A93</f>
        <v/>
      </c>
      <c r="B103">
        <f>CurrentPositions!B93</f>
        <v/>
      </c>
      <c r="C103">
        <f>CurrentPositions!C93</f>
        <v/>
      </c>
      <c r="D103">
        <f>CurrentPositions!D93</f>
        <v/>
      </c>
      <c r="E103">
        <f>CurrentPositions!E93</f>
        <v/>
      </c>
      <c r="F103">
        <f>IF(B103="BUY",$B$5,IF(B103="SELL",$B$6,""))</f>
        <v/>
      </c>
      <c r="G103">
        <f>IF(B103="BUY",(F103-E103)/Settings!$B$3,IF(B103="SELL",(E103-F103)/Settings!$B$3,0))</f>
        <v/>
      </c>
      <c r="H103">
        <f>G103*D103*Settings!$B$4</f>
        <v/>
      </c>
      <c r="I103">
        <f>CurrentPositions!I93</f>
        <v/>
      </c>
      <c r="J103">
        <f>CurrentPositions!J93</f>
        <v/>
      </c>
      <c r="K103">
        <f>IF(AND(B103="SELL",H103&lt;0),H103,"")</f>
        <v/>
      </c>
      <c r="L103">
        <f>IF(K103&lt;&gt;"",A103,"")</f>
        <v/>
      </c>
    </row>
    <row r="104">
      <c r="A104">
        <f>CurrentPositions!A94</f>
        <v/>
      </c>
      <c r="B104">
        <f>CurrentPositions!B94</f>
        <v/>
      </c>
      <c r="C104">
        <f>CurrentPositions!C94</f>
        <v/>
      </c>
      <c r="D104">
        <f>CurrentPositions!D94</f>
        <v/>
      </c>
      <c r="E104">
        <f>CurrentPositions!E94</f>
        <v/>
      </c>
      <c r="F104">
        <f>IF(B104="BUY",$B$5,IF(B104="SELL",$B$6,""))</f>
        <v/>
      </c>
      <c r="G104">
        <f>IF(B104="BUY",(F104-E104)/Settings!$B$3,IF(B104="SELL",(E104-F104)/Settings!$B$3,0))</f>
        <v/>
      </c>
      <c r="H104">
        <f>G104*D104*Settings!$B$4</f>
        <v/>
      </c>
      <c r="I104">
        <f>CurrentPositions!I94</f>
        <v/>
      </c>
      <c r="J104">
        <f>CurrentPositions!J94</f>
        <v/>
      </c>
      <c r="K104">
        <f>IF(AND(B104="SELL",H104&lt;0),H104,"")</f>
        <v/>
      </c>
      <c r="L104">
        <f>IF(K104&lt;&gt;"",A104,"")</f>
        <v/>
      </c>
    </row>
    <row r="105">
      <c r="A105">
        <f>CurrentPositions!A95</f>
        <v/>
      </c>
      <c r="B105">
        <f>CurrentPositions!B95</f>
        <v/>
      </c>
      <c r="C105">
        <f>CurrentPositions!C95</f>
        <v/>
      </c>
      <c r="D105">
        <f>CurrentPositions!D95</f>
        <v/>
      </c>
      <c r="E105">
        <f>CurrentPositions!E95</f>
        <v/>
      </c>
      <c r="F105">
        <f>IF(B105="BUY",$B$5,IF(B105="SELL",$B$6,""))</f>
        <v/>
      </c>
      <c r="G105">
        <f>IF(B105="BUY",(F105-E105)/Settings!$B$3,IF(B105="SELL",(E105-F105)/Settings!$B$3,0))</f>
        <v/>
      </c>
      <c r="H105">
        <f>G105*D105*Settings!$B$4</f>
        <v/>
      </c>
      <c r="I105">
        <f>CurrentPositions!I95</f>
        <v/>
      </c>
      <c r="J105">
        <f>CurrentPositions!J95</f>
        <v/>
      </c>
      <c r="K105">
        <f>IF(AND(B105="SELL",H105&lt;0),H105,"")</f>
        <v/>
      </c>
      <c r="L105">
        <f>IF(K105&lt;&gt;"",A105,"")</f>
        <v/>
      </c>
    </row>
    <row r="106">
      <c r="A106">
        <f>CurrentPositions!A96</f>
        <v/>
      </c>
      <c r="B106">
        <f>CurrentPositions!B96</f>
        <v/>
      </c>
      <c r="C106">
        <f>CurrentPositions!C96</f>
        <v/>
      </c>
      <c r="D106">
        <f>CurrentPositions!D96</f>
        <v/>
      </c>
      <c r="E106">
        <f>CurrentPositions!E96</f>
        <v/>
      </c>
      <c r="F106">
        <f>IF(B106="BUY",$B$5,IF(B106="SELL",$B$6,""))</f>
        <v/>
      </c>
      <c r="G106">
        <f>IF(B106="BUY",(F106-E106)/Settings!$B$3,IF(B106="SELL",(E106-F106)/Settings!$B$3,0))</f>
        <v/>
      </c>
      <c r="H106">
        <f>G106*D106*Settings!$B$4</f>
        <v/>
      </c>
      <c r="I106">
        <f>CurrentPositions!I96</f>
        <v/>
      </c>
      <c r="J106">
        <f>CurrentPositions!J96</f>
        <v/>
      </c>
      <c r="K106">
        <f>IF(AND(B106="SELL",H106&lt;0),H106,"")</f>
        <v/>
      </c>
      <c r="L106">
        <f>IF(K106&lt;&gt;"",A106,"")</f>
        <v/>
      </c>
    </row>
    <row r="107">
      <c r="A107">
        <f>CurrentPositions!A97</f>
        <v/>
      </c>
      <c r="B107">
        <f>CurrentPositions!B97</f>
        <v/>
      </c>
      <c r="C107">
        <f>CurrentPositions!C97</f>
        <v/>
      </c>
      <c r="D107">
        <f>CurrentPositions!D97</f>
        <v/>
      </c>
      <c r="E107">
        <f>CurrentPositions!E97</f>
        <v/>
      </c>
      <c r="F107">
        <f>IF(B107="BUY",$B$5,IF(B107="SELL",$B$6,""))</f>
        <v/>
      </c>
      <c r="G107">
        <f>IF(B107="BUY",(F107-E107)/Settings!$B$3,IF(B107="SELL",(E107-F107)/Settings!$B$3,0))</f>
        <v/>
      </c>
      <c r="H107">
        <f>G107*D107*Settings!$B$4</f>
        <v/>
      </c>
      <c r="I107">
        <f>CurrentPositions!I97</f>
        <v/>
      </c>
      <c r="J107">
        <f>CurrentPositions!J97</f>
        <v/>
      </c>
      <c r="K107">
        <f>IF(AND(B107="SELL",H107&lt;0),H107,"")</f>
        <v/>
      </c>
      <c r="L107">
        <f>IF(K107&lt;&gt;"",A107,"")</f>
        <v/>
      </c>
    </row>
    <row r="108">
      <c r="A108">
        <f>CurrentPositions!A98</f>
        <v/>
      </c>
      <c r="B108">
        <f>CurrentPositions!B98</f>
        <v/>
      </c>
      <c r="C108">
        <f>CurrentPositions!C98</f>
        <v/>
      </c>
      <c r="D108">
        <f>CurrentPositions!D98</f>
        <v/>
      </c>
      <c r="E108">
        <f>CurrentPositions!E98</f>
        <v/>
      </c>
      <c r="F108">
        <f>IF(B108="BUY",$B$5,IF(B108="SELL",$B$6,""))</f>
        <v/>
      </c>
      <c r="G108">
        <f>IF(B108="BUY",(F108-E108)/Settings!$B$3,IF(B108="SELL",(E108-F108)/Settings!$B$3,0))</f>
        <v/>
      </c>
      <c r="H108">
        <f>G108*D108*Settings!$B$4</f>
        <v/>
      </c>
      <c r="I108">
        <f>CurrentPositions!I98</f>
        <v/>
      </c>
      <c r="J108">
        <f>CurrentPositions!J98</f>
        <v/>
      </c>
      <c r="K108">
        <f>IF(AND(B108="SELL",H108&lt;0),H108,"")</f>
        <v/>
      </c>
      <c r="L108">
        <f>IF(K108&lt;&gt;"",A108,"")</f>
        <v/>
      </c>
    </row>
    <row r="109">
      <c r="A109">
        <f>CurrentPositions!A99</f>
        <v/>
      </c>
      <c r="B109">
        <f>CurrentPositions!B99</f>
        <v/>
      </c>
      <c r="C109">
        <f>CurrentPositions!C99</f>
        <v/>
      </c>
      <c r="D109">
        <f>CurrentPositions!D99</f>
        <v/>
      </c>
      <c r="E109">
        <f>CurrentPositions!E99</f>
        <v/>
      </c>
      <c r="F109">
        <f>IF(B109="BUY",$B$5,IF(B109="SELL",$B$6,""))</f>
        <v/>
      </c>
      <c r="G109">
        <f>IF(B109="BUY",(F109-E109)/Settings!$B$3,IF(B109="SELL",(E109-F109)/Settings!$B$3,0))</f>
        <v/>
      </c>
      <c r="H109">
        <f>G109*D109*Settings!$B$4</f>
        <v/>
      </c>
      <c r="I109">
        <f>CurrentPositions!I99</f>
        <v/>
      </c>
      <c r="J109">
        <f>CurrentPositions!J99</f>
        <v/>
      </c>
      <c r="K109">
        <f>IF(AND(B109="SELL",H109&lt;0),H109,"")</f>
        <v/>
      </c>
      <c r="L109">
        <f>IF(K109&lt;&gt;"",A109,"")</f>
        <v/>
      </c>
    </row>
    <row r="110">
      <c r="A110">
        <f>CurrentPositions!A100</f>
        <v/>
      </c>
      <c r="B110">
        <f>CurrentPositions!B100</f>
        <v/>
      </c>
      <c r="C110">
        <f>CurrentPositions!C100</f>
        <v/>
      </c>
      <c r="D110">
        <f>CurrentPositions!D100</f>
        <v/>
      </c>
      <c r="E110">
        <f>CurrentPositions!E100</f>
        <v/>
      </c>
      <c r="F110">
        <f>IF(B110="BUY",$B$5,IF(B110="SELL",$B$6,""))</f>
        <v/>
      </c>
      <c r="G110">
        <f>IF(B110="BUY",(F110-E110)/Settings!$B$3,IF(B110="SELL",(E110-F110)/Settings!$B$3,0))</f>
        <v/>
      </c>
      <c r="H110">
        <f>G110*D110*Settings!$B$4</f>
        <v/>
      </c>
      <c r="I110">
        <f>CurrentPositions!I100</f>
        <v/>
      </c>
      <c r="J110">
        <f>CurrentPositions!J100</f>
        <v/>
      </c>
      <c r="K110">
        <f>IF(AND(B110="SELL",H110&lt;0),H110,"")</f>
        <v/>
      </c>
      <c r="L110">
        <f>IF(K110&lt;&gt;"",A110,"")</f>
        <v/>
      </c>
    </row>
    <row r="111">
      <c r="A111">
        <f>CurrentPositions!A101</f>
        <v/>
      </c>
      <c r="B111">
        <f>CurrentPositions!B101</f>
        <v/>
      </c>
      <c r="C111">
        <f>CurrentPositions!C101</f>
        <v/>
      </c>
      <c r="D111">
        <f>CurrentPositions!D101</f>
        <v/>
      </c>
      <c r="E111">
        <f>CurrentPositions!E101</f>
        <v/>
      </c>
      <c r="F111">
        <f>IF(B111="BUY",$B$5,IF(B111="SELL",$B$6,""))</f>
        <v/>
      </c>
      <c r="G111">
        <f>IF(B111="BUY",(F111-E111)/Settings!$B$3,IF(B111="SELL",(E111-F111)/Settings!$B$3,0))</f>
        <v/>
      </c>
      <c r="H111">
        <f>G111*D111*Settings!$B$4</f>
        <v/>
      </c>
      <c r="I111">
        <f>CurrentPositions!I101</f>
        <v/>
      </c>
      <c r="J111">
        <f>CurrentPositions!J101</f>
        <v/>
      </c>
      <c r="K111">
        <f>IF(AND(B111="SELL",H111&lt;0),H111,"")</f>
        <v/>
      </c>
      <c r="L111">
        <f>IF(K111&lt;&gt;"",A111,"")</f>
        <v/>
      </c>
    </row>
    <row r="112">
      <c r="A112">
        <f>CurrentPositions!A102</f>
        <v/>
      </c>
      <c r="B112">
        <f>CurrentPositions!B102</f>
        <v/>
      </c>
      <c r="C112">
        <f>CurrentPositions!C102</f>
        <v/>
      </c>
      <c r="D112">
        <f>CurrentPositions!D102</f>
        <v/>
      </c>
      <c r="E112">
        <f>CurrentPositions!E102</f>
        <v/>
      </c>
      <c r="F112">
        <f>IF(B112="BUY",$B$5,IF(B112="SELL",$B$6,""))</f>
        <v/>
      </c>
      <c r="G112">
        <f>IF(B112="BUY",(F112-E112)/Settings!$B$3,IF(B112="SELL",(E112-F112)/Settings!$B$3,0))</f>
        <v/>
      </c>
      <c r="H112">
        <f>G112*D112*Settings!$B$4</f>
        <v/>
      </c>
      <c r="I112">
        <f>CurrentPositions!I102</f>
        <v/>
      </c>
      <c r="J112">
        <f>CurrentPositions!J102</f>
        <v/>
      </c>
      <c r="K112">
        <f>IF(AND(B112="SELL",H112&lt;0),H112,"")</f>
        <v/>
      </c>
      <c r="L112">
        <f>IF(K112&lt;&gt;"",A112,"")</f>
        <v/>
      </c>
    </row>
    <row r="113">
      <c r="A113">
        <f>CurrentPositions!A103</f>
        <v/>
      </c>
      <c r="B113">
        <f>CurrentPositions!B103</f>
        <v/>
      </c>
      <c r="C113">
        <f>CurrentPositions!C103</f>
        <v/>
      </c>
      <c r="D113">
        <f>CurrentPositions!D103</f>
        <v/>
      </c>
      <c r="E113">
        <f>CurrentPositions!E103</f>
        <v/>
      </c>
      <c r="F113">
        <f>IF(B113="BUY",$B$5,IF(B113="SELL",$B$6,""))</f>
        <v/>
      </c>
      <c r="G113">
        <f>IF(B113="BUY",(F113-E113)/Settings!$B$3,IF(B113="SELL",(E113-F113)/Settings!$B$3,0))</f>
        <v/>
      </c>
      <c r="H113">
        <f>G113*D113*Settings!$B$4</f>
        <v/>
      </c>
      <c r="I113">
        <f>CurrentPositions!I103</f>
        <v/>
      </c>
      <c r="J113">
        <f>CurrentPositions!J103</f>
        <v/>
      </c>
      <c r="K113">
        <f>IF(AND(B113="SELL",H113&lt;0),H113,"")</f>
        <v/>
      </c>
      <c r="L113">
        <f>IF(K113&lt;&gt;"",A113,"")</f>
        <v/>
      </c>
    </row>
    <row r="114">
      <c r="A114">
        <f>CurrentPositions!A104</f>
        <v/>
      </c>
      <c r="B114">
        <f>CurrentPositions!B104</f>
        <v/>
      </c>
      <c r="C114">
        <f>CurrentPositions!C104</f>
        <v/>
      </c>
      <c r="D114">
        <f>CurrentPositions!D104</f>
        <v/>
      </c>
      <c r="E114">
        <f>CurrentPositions!E104</f>
        <v/>
      </c>
      <c r="F114">
        <f>IF(B114="BUY",$B$5,IF(B114="SELL",$B$6,""))</f>
        <v/>
      </c>
      <c r="G114">
        <f>IF(B114="BUY",(F114-E114)/Settings!$B$3,IF(B114="SELL",(E114-F114)/Settings!$B$3,0))</f>
        <v/>
      </c>
      <c r="H114">
        <f>G114*D114*Settings!$B$4</f>
        <v/>
      </c>
      <c r="I114">
        <f>CurrentPositions!I104</f>
        <v/>
      </c>
      <c r="J114">
        <f>CurrentPositions!J104</f>
        <v/>
      </c>
      <c r="K114">
        <f>IF(AND(B114="SELL",H114&lt;0),H114,"")</f>
        <v/>
      </c>
      <c r="L114">
        <f>IF(K114&lt;&gt;"",A114,"")</f>
        <v/>
      </c>
    </row>
    <row r="115">
      <c r="A115">
        <f>CurrentPositions!A105</f>
        <v/>
      </c>
      <c r="B115">
        <f>CurrentPositions!B105</f>
        <v/>
      </c>
      <c r="C115">
        <f>CurrentPositions!C105</f>
        <v/>
      </c>
      <c r="D115">
        <f>CurrentPositions!D105</f>
        <v/>
      </c>
      <c r="E115">
        <f>CurrentPositions!E105</f>
        <v/>
      </c>
      <c r="F115">
        <f>IF(B115="BUY",$B$5,IF(B115="SELL",$B$6,""))</f>
        <v/>
      </c>
      <c r="G115">
        <f>IF(B115="BUY",(F115-E115)/Settings!$B$3,IF(B115="SELL",(E115-F115)/Settings!$B$3,0))</f>
        <v/>
      </c>
      <c r="H115">
        <f>G115*D115*Settings!$B$4</f>
        <v/>
      </c>
      <c r="I115">
        <f>CurrentPositions!I105</f>
        <v/>
      </c>
      <c r="J115">
        <f>CurrentPositions!J105</f>
        <v/>
      </c>
      <c r="K115">
        <f>IF(AND(B115="SELL",H115&lt;0),H115,"")</f>
        <v/>
      </c>
      <c r="L115">
        <f>IF(K115&lt;&gt;"",A115,"")</f>
        <v/>
      </c>
    </row>
    <row r="116">
      <c r="A116">
        <f>CurrentPositions!A106</f>
        <v/>
      </c>
      <c r="B116">
        <f>CurrentPositions!B106</f>
        <v/>
      </c>
      <c r="C116">
        <f>CurrentPositions!C106</f>
        <v/>
      </c>
      <c r="D116">
        <f>CurrentPositions!D106</f>
        <v/>
      </c>
      <c r="E116">
        <f>CurrentPositions!E106</f>
        <v/>
      </c>
      <c r="F116">
        <f>IF(B116="BUY",$B$5,IF(B116="SELL",$B$6,""))</f>
        <v/>
      </c>
      <c r="G116">
        <f>IF(B116="BUY",(F116-E116)/Settings!$B$3,IF(B116="SELL",(E116-F116)/Settings!$B$3,0))</f>
        <v/>
      </c>
      <c r="H116">
        <f>G116*D116*Settings!$B$4</f>
        <v/>
      </c>
      <c r="I116">
        <f>CurrentPositions!I106</f>
        <v/>
      </c>
      <c r="J116">
        <f>CurrentPositions!J106</f>
        <v/>
      </c>
      <c r="K116">
        <f>IF(AND(B116="SELL",H116&lt;0),H116,"")</f>
        <v/>
      </c>
      <c r="L116">
        <f>IF(K116&lt;&gt;"",A116,"")</f>
        <v/>
      </c>
    </row>
    <row r="117">
      <c r="A117">
        <f>CurrentPositions!A107</f>
        <v/>
      </c>
      <c r="B117">
        <f>CurrentPositions!B107</f>
        <v/>
      </c>
      <c r="C117">
        <f>CurrentPositions!C107</f>
        <v/>
      </c>
      <c r="D117">
        <f>CurrentPositions!D107</f>
        <v/>
      </c>
      <c r="E117">
        <f>CurrentPositions!E107</f>
        <v/>
      </c>
      <c r="F117">
        <f>IF(B117="BUY",$B$5,IF(B117="SELL",$B$6,""))</f>
        <v/>
      </c>
      <c r="G117">
        <f>IF(B117="BUY",(F117-E117)/Settings!$B$3,IF(B117="SELL",(E117-F117)/Settings!$B$3,0))</f>
        <v/>
      </c>
      <c r="H117">
        <f>G117*D117*Settings!$B$4</f>
        <v/>
      </c>
      <c r="I117">
        <f>CurrentPositions!I107</f>
        <v/>
      </c>
      <c r="J117">
        <f>CurrentPositions!J107</f>
        <v/>
      </c>
      <c r="K117">
        <f>IF(AND(B117="SELL",H117&lt;0),H117,"")</f>
        <v/>
      </c>
      <c r="L117">
        <f>IF(K117&lt;&gt;"",A117,"")</f>
        <v/>
      </c>
    </row>
    <row r="118">
      <c r="A118">
        <f>CurrentPositions!A108</f>
        <v/>
      </c>
      <c r="B118">
        <f>CurrentPositions!B108</f>
        <v/>
      </c>
      <c r="C118">
        <f>CurrentPositions!C108</f>
        <v/>
      </c>
      <c r="D118">
        <f>CurrentPositions!D108</f>
        <v/>
      </c>
      <c r="E118">
        <f>CurrentPositions!E108</f>
        <v/>
      </c>
      <c r="F118">
        <f>IF(B118="BUY",$B$5,IF(B118="SELL",$B$6,""))</f>
        <v/>
      </c>
      <c r="G118">
        <f>IF(B118="BUY",(F118-E118)/Settings!$B$3,IF(B118="SELL",(E118-F118)/Settings!$B$3,0))</f>
        <v/>
      </c>
      <c r="H118">
        <f>G118*D118*Settings!$B$4</f>
        <v/>
      </c>
      <c r="I118">
        <f>CurrentPositions!I108</f>
        <v/>
      </c>
      <c r="J118">
        <f>CurrentPositions!J108</f>
        <v/>
      </c>
      <c r="K118">
        <f>IF(AND(B118="SELL",H118&lt;0),H118,"")</f>
        <v/>
      </c>
      <c r="L118">
        <f>IF(K118&lt;&gt;"",A118,"")</f>
        <v/>
      </c>
    </row>
    <row r="119">
      <c r="A119">
        <f>CurrentPositions!A109</f>
        <v/>
      </c>
      <c r="B119">
        <f>CurrentPositions!B109</f>
        <v/>
      </c>
      <c r="C119">
        <f>CurrentPositions!C109</f>
        <v/>
      </c>
      <c r="D119">
        <f>CurrentPositions!D109</f>
        <v/>
      </c>
      <c r="E119">
        <f>CurrentPositions!E109</f>
        <v/>
      </c>
      <c r="F119">
        <f>IF(B119="BUY",$B$5,IF(B119="SELL",$B$6,""))</f>
        <v/>
      </c>
      <c r="G119">
        <f>IF(B119="BUY",(F119-E119)/Settings!$B$3,IF(B119="SELL",(E119-F119)/Settings!$B$3,0))</f>
        <v/>
      </c>
      <c r="H119">
        <f>G119*D119*Settings!$B$4</f>
        <v/>
      </c>
      <c r="I119">
        <f>CurrentPositions!I109</f>
        <v/>
      </c>
      <c r="J119">
        <f>CurrentPositions!J109</f>
        <v/>
      </c>
      <c r="K119">
        <f>IF(AND(B119="SELL",H119&lt;0),H119,"")</f>
        <v/>
      </c>
      <c r="L119">
        <f>IF(K119&lt;&gt;"",A119,"")</f>
        <v/>
      </c>
    </row>
    <row r="120">
      <c r="A120">
        <f>CurrentPositions!A110</f>
        <v/>
      </c>
      <c r="B120">
        <f>CurrentPositions!B110</f>
        <v/>
      </c>
      <c r="C120">
        <f>CurrentPositions!C110</f>
        <v/>
      </c>
      <c r="D120">
        <f>CurrentPositions!D110</f>
        <v/>
      </c>
      <c r="E120">
        <f>CurrentPositions!E110</f>
        <v/>
      </c>
      <c r="F120">
        <f>IF(B120="BUY",$B$5,IF(B120="SELL",$B$6,""))</f>
        <v/>
      </c>
      <c r="G120">
        <f>IF(B120="BUY",(F120-E120)/Settings!$B$3,IF(B120="SELL",(E120-F120)/Settings!$B$3,0))</f>
        <v/>
      </c>
      <c r="H120">
        <f>G120*D120*Settings!$B$4</f>
        <v/>
      </c>
      <c r="I120">
        <f>CurrentPositions!I110</f>
        <v/>
      </c>
      <c r="J120">
        <f>CurrentPositions!J110</f>
        <v/>
      </c>
      <c r="K120">
        <f>IF(AND(B120="SELL",H120&lt;0),H120,"")</f>
        <v/>
      </c>
      <c r="L120">
        <f>IF(K120&lt;&gt;"",A120,"")</f>
        <v/>
      </c>
    </row>
    <row r="121">
      <c r="A121">
        <f>CurrentPositions!A111</f>
        <v/>
      </c>
      <c r="B121">
        <f>CurrentPositions!B111</f>
        <v/>
      </c>
      <c r="C121">
        <f>CurrentPositions!C111</f>
        <v/>
      </c>
      <c r="D121">
        <f>CurrentPositions!D111</f>
        <v/>
      </c>
      <c r="E121">
        <f>CurrentPositions!E111</f>
        <v/>
      </c>
      <c r="F121">
        <f>IF(B121="BUY",$B$5,IF(B121="SELL",$B$6,""))</f>
        <v/>
      </c>
      <c r="G121">
        <f>IF(B121="BUY",(F121-E121)/Settings!$B$3,IF(B121="SELL",(E121-F121)/Settings!$B$3,0))</f>
        <v/>
      </c>
      <c r="H121">
        <f>G121*D121*Settings!$B$4</f>
        <v/>
      </c>
      <c r="I121">
        <f>CurrentPositions!I111</f>
        <v/>
      </c>
      <c r="J121">
        <f>CurrentPositions!J111</f>
        <v/>
      </c>
      <c r="K121">
        <f>IF(AND(B121="SELL",H121&lt;0),H121,"")</f>
        <v/>
      </c>
      <c r="L121">
        <f>IF(K121&lt;&gt;"",A121,"")</f>
        <v/>
      </c>
    </row>
    <row r="122">
      <c r="A122">
        <f>CurrentPositions!A112</f>
        <v/>
      </c>
      <c r="B122">
        <f>CurrentPositions!B112</f>
        <v/>
      </c>
      <c r="C122">
        <f>CurrentPositions!C112</f>
        <v/>
      </c>
      <c r="D122">
        <f>CurrentPositions!D112</f>
        <v/>
      </c>
      <c r="E122">
        <f>CurrentPositions!E112</f>
        <v/>
      </c>
      <c r="F122">
        <f>IF(B122="BUY",$B$5,IF(B122="SELL",$B$6,""))</f>
        <v/>
      </c>
      <c r="G122">
        <f>IF(B122="BUY",(F122-E122)/Settings!$B$3,IF(B122="SELL",(E122-F122)/Settings!$B$3,0))</f>
        <v/>
      </c>
      <c r="H122">
        <f>G122*D122*Settings!$B$4</f>
        <v/>
      </c>
      <c r="I122">
        <f>CurrentPositions!I112</f>
        <v/>
      </c>
      <c r="J122">
        <f>CurrentPositions!J112</f>
        <v/>
      </c>
      <c r="K122">
        <f>IF(AND(B122="SELL",H122&lt;0),H122,"")</f>
        <v/>
      </c>
      <c r="L122">
        <f>IF(K122&lt;&gt;"",A122,"")</f>
        <v/>
      </c>
    </row>
    <row r="123">
      <c r="A123">
        <f>CurrentPositions!A113</f>
        <v/>
      </c>
      <c r="B123">
        <f>CurrentPositions!B113</f>
        <v/>
      </c>
      <c r="C123">
        <f>CurrentPositions!C113</f>
        <v/>
      </c>
      <c r="D123">
        <f>CurrentPositions!D113</f>
        <v/>
      </c>
      <c r="E123">
        <f>CurrentPositions!E113</f>
        <v/>
      </c>
      <c r="F123">
        <f>IF(B123="BUY",$B$5,IF(B123="SELL",$B$6,""))</f>
        <v/>
      </c>
      <c r="G123">
        <f>IF(B123="BUY",(F123-E123)/Settings!$B$3,IF(B123="SELL",(E123-F123)/Settings!$B$3,0))</f>
        <v/>
      </c>
      <c r="H123">
        <f>G123*D123*Settings!$B$4</f>
        <v/>
      </c>
      <c r="I123">
        <f>CurrentPositions!I113</f>
        <v/>
      </c>
      <c r="J123">
        <f>CurrentPositions!J113</f>
        <v/>
      </c>
      <c r="K123">
        <f>IF(AND(B123="SELL",H123&lt;0),H123,"")</f>
        <v/>
      </c>
      <c r="L123">
        <f>IF(K123&lt;&gt;"",A123,"")</f>
        <v/>
      </c>
    </row>
    <row r="124">
      <c r="A124">
        <f>CurrentPositions!A114</f>
        <v/>
      </c>
      <c r="B124">
        <f>CurrentPositions!B114</f>
        <v/>
      </c>
      <c r="C124">
        <f>CurrentPositions!C114</f>
        <v/>
      </c>
      <c r="D124">
        <f>CurrentPositions!D114</f>
        <v/>
      </c>
      <c r="E124">
        <f>CurrentPositions!E114</f>
        <v/>
      </c>
      <c r="F124">
        <f>IF(B124="BUY",$B$5,IF(B124="SELL",$B$6,""))</f>
        <v/>
      </c>
      <c r="G124">
        <f>IF(B124="BUY",(F124-E124)/Settings!$B$3,IF(B124="SELL",(E124-F124)/Settings!$B$3,0))</f>
        <v/>
      </c>
      <c r="H124">
        <f>G124*D124*Settings!$B$4</f>
        <v/>
      </c>
      <c r="I124">
        <f>CurrentPositions!I114</f>
        <v/>
      </c>
      <c r="J124">
        <f>CurrentPositions!J114</f>
        <v/>
      </c>
      <c r="K124">
        <f>IF(AND(B124="SELL",H124&lt;0),H124,"")</f>
        <v/>
      </c>
      <c r="L124">
        <f>IF(K124&lt;&gt;"",A124,"")</f>
        <v/>
      </c>
    </row>
    <row r="125">
      <c r="A125">
        <f>CurrentPositions!A115</f>
        <v/>
      </c>
      <c r="B125">
        <f>CurrentPositions!B115</f>
        <v/>
      </c>
      <c r="C125">
        <f>CurrentPositions!C115</f>
        <v/>
      </c>
      <c r="D125">
        <f>CurrentPositions!D115</f>
        <v/>
      </c>
      <c r="E125">
        <f>CurrentPositions!E115</f>
        <v/>
      </c>
      <c r="F125">
        <f>IF(B125="BUY",$B$5,IF(B125="SELL",$B$6,""))</f>
        <v/>
      </c>
      <c r="G125">
        <f>IF(B125="BUY",(F125-E125)/Settings!$B$3,IF(B125="SELL",(E125-F125)/Settings!$B$3,0))</f>
        <v/>
      </c>
      <c r="H125">
        <f>G125*D125*Settings!$B$4</f>
        <v/>
      </c>
      <c r="I125">
        <f>CurrentPositions!I115</f>
        <v/>
      </c>
      <c r="J125">
        <f>CurrentPositions!J115</f>
        <v/>
      </c>
      <c r="K125">
        <f>IF(AND(B125="SELL",H125&lt;0),H125,"")</f>
        <v/>
      </c>
      <c r="L125">
        <f>IF(K125&lt;&gt;"",A125,"")</f>
        <v/>
      </c>
    </row>
    <row r="126">
      <c r="A126">
        <f>CurrentPositions!A116</f>
        <v/>
      </c>
      <c r="B126">
        <f>CurrentPositions!B116</f>
        <v/>
      </c>
      <c r="C126">
        <f>CurrentPositions!C116</f>
        <v/>
      </c>
      <c r="D126">
        <f>CurrentPositions!D116</f>
        <v/>
      </c>
      <c r="E126">
        <f>CurrentPositions!E116</f>
        <v/>
      </c>
      <c r="F126">
        <f>IF(B126="BUY",$B$5,IF(B126="SELL",$B$6,""))</f>
        <v/>
      </c>
      <c r="G126">
        <f>IF(B126="BUY",(F126-E126)/Settings!$B$3,IF(B126="SELL",(E126-F126)/Settings!$B$3,0))</f>
        <v/>
      </c>
      <c r="H126">
        <f>G126*D126*Settings!$B$4</f>
        <v/>
      </c>
      <c r="I126">
        <f>CurrentPositions!I116</f>
        <v/>
      </c>
      <c r="J126">
        <f>CurrentPositions!J116</f>
        <v/>
      </c>
      <c r="K126">
        <f>IF(AND(B126="SELL",H126&lt;0),H126,"")</f>
        <v/>
      </c>
      <c r="L126">
        <f>IF(K126&lt;&gt;"",A126,"")</f>
        <v/>
      </c>
    </row>
    <row r="127">
      <c r="A127">
        <f>CurrentPositions!A117</f>
        <v/>
      </c>
      <c r="B127">
        <f>CurrentPositions!B117</f>
        <v/>
      </c>
      <c r="C127">
        <f>CurrentPositions!C117</f>
        <v/>
      </c>
      <c r="D127">
        <f>CurrentPositions!D117</f>
        <v/>
      </c>
      <c r="E127">
        <f>CurrentPositions!E117</f>
        <v/>
      </c>
      <c r="F127">
        <f>IF(B127="BUY",$B$5,IF(B127="SELL",$B$6,""))</f>
        <v/>
      </c>
      <c r="G127">
        <f>IF(B127="BUY",(F127-E127)/Settings!$B$3,IF(B127="SELL",(E127-F127)/Settings!$B$3,0))</f>
        <v/>
      </c>
      <c r="H127">
        <f>G127*D127*Settings!$B$4</f>
        <v/>
      </c>
      <c r="I127">
        <f>CurrentPositions!I117</f>
        <v/>
      </c>
      <c r="J127">
        <f>CurrentPositions!J117</f>
        <v/>
      </c>
      <c r="K127">
        <f>IF(AND(B127="SELL",H127&lt;0),H127,"")</f>
        <v/>
      </c>
      <c r="L127">
        <f>IF(K127&lt;&gt;"",A127,"")</f>
        <v/>
      </c>
    </row>
    <row r="128">
      <c r="A128">
        <f>CurrentPositions!A118</f>
        <v/>
      </c>
      <c r="B128">
        <f>CurrentPositions!B118</f>
        <v/>
      </c>
      <c r="C128">
        <f>CurrentPositions!C118</f>
        <v/>
      </c>
      <c r="D128">
        <f>CurrentPositions!D118</f>
        <v/>
      </c>
      <c r="E128">
        <f>CurrentPositions!E118</f>
        <v/>
      </c>
      <c r="F128">
        <f>IF(B128="BUY",$B$5,IF(B128="SELL",$B$6,""))</f>
        <v/>
      </c>
      <c r="G128">
        <f>IF(B128="BUY",(F128-E128)/Settings!$B$3,IF(B128="SELL",(E128-F128)/Settings!$B$3,0))</f>
        <v/>
      </c>
      <c r="H128">
        <f>G128*D128*Settings!$B$4</f>
        <v/>
      </c>
      <c r="I128">
        <f>CurrentPositions!I118</f>
        <v/>
      </c>
      <c r="J128">
        <f>CurrentPositions!J118</f>
        <v/>
      </c>
      <c r="K128">
        <f>IF(AND(B128="SELL",H128&lt;0),H128,"")</f>
        <v/>
      </c>
      <c r="L128">
        <f>IF(K128&lt;&gt;"",A128,"")</f>
        <v/>
      </c>
    </row>
    <row r="129">
      <c r="A129">
        <f>CurrentPositions!A119</f>
        <v/>
      </c>
      <c r="B129">
        <f>CurrentPositions!B119</f>
        <v/>
      </c>
      <c r="C129">
        <f>CurrentPositions!C119</f>
        <v/>
      </c>
      <c r="D129">
        <f>CurrentPositions!D119</f>
        <v/>
      </c>
      <c r="E129">
        <f>CurrentPositions!E119</f>
        <v/>
      </c>
      <c r="F129">
        <f>IF(B129="BUY",$B$5,IF(B129="SELL",$B$6,""))</f>
        <v/>
      </c>
      <c r="G129">
        <f>IF(B129="BUY",(F129-E129)/Settings!$B$3,IF(B129="SELL",(E129-F129)/Settings!$B$3,0))</f>
        <v/>
      </c>
      <c r="H129">
        <f>G129*D129*Settings!$B$4</f>
        <v/>
      </c>
      <c r="I129">
        <f>CurrentPositions!I119</f>
        <v/>
      </c>
      <c r="J129">
        <f>CurrentPositions!J119</f>
        <v/>
      </c>
      <c r="K129">
        <f>IF(AND(B129="SELL",H129&lt;0),H129,"")</f>
        <v/>
      </c>
      <c r="L129">
        <f>IF(K129&lt;&gt;"",A129,"")</f>
        <v/>
      </c>
    </row>
    <row r="130">
      <c r="A130">
        <f>CurrentPositions!A120</f>
        <v/>
      </c>
      <c r="B130">
        <f>CurrentPositions!B120</f>
        <v/>
      </c>
      <c r="C130">
        <f>CurrentPositions!C120</f>
        <v/>
      </c>
      <c r="D130">
        <f>CurrentPositions!D120</f>
        <v/>
      </c>
      <c r="E130">
        <f>CurrentPositions!E120</f>
        <v/>
      </c>
      <c r="F130">
        <f>IF(B130="BUY",$B$5,IF(B130="SELL",$B$6,""))</f>
        <v/>
      </c>
      <c r="G130">
        <f>IF(B130="BUY",(F130-E130)/Settings!$B$3,IF(B130="SELL",(E130-F130)/Settings!$B$3,0))</f>
        <v/>
      </c>
      <c r="H130">
        <f>G130*D130*Settings!$B$4</f>
        <v/>
      </c>
      <c r="I130">
        <f>CurrentPositions!I120</f>
        <v/>
      </c>
      <c r="J130">
        <f>CurrentPositions!J120</f>
        <v/>
      </c>
      <c r="K130">
        <f>IF(AND(B130="SELL",H130&lt;0),H130,"")</f>
        <v/>
      </c>
      <c r="L130">
        <f>IF(K130&lt;&gt;"",A130,"")</f>
        <v/>
      </c>
    </row>
    <row r="131">
      <c r="A131">
        <f>CurrentPositions!A121</f>
        <v/>
      </c>
      <c r="B131">
        <f>CurrentPositions!B121</f>
        <v/>
      </c>
      <c r="C131">
        <f>CurrentPositions!C121</f>
        <v/>
      </c>
      <c r="D131">
        <f>CurrentPositions!D121</f>
        <v/>
      </c>
      <c r="E131">
        <f>CurrentPositions!E121</f>
        <v/>
      </c>
      <c r="F131">
        <f>IF(B131="BUY",$B$5,IF(B131="SELL",$B$6,""))</f>
        <v/>
      </c>
      <c r="G131">
        <f>IF(B131="BUY",(F131-E131)/Settings!$B$3,IF(B131="SELL",(E131-F131)/Settings!$B$3,0))</f>
        <v/>
      </c>
      <c r="H131">
        <f>G131*D131*Settings!$B$4</f>
        <v/>
      </c>
      <c r="I131">
        <f>CurrentPositions!I121</f>
        <v/>
      </c>
      <c r="J131">
        <f>CurrentPositions!J121</f>
        <v/>
      </c>
      <c r="K131">
        <f>IF(AND(B131="SELL",H131&lt;0),H131,"")</f>
        <v/>
      </c>
      <c r="L131">
        <f>IF(K131&lt;&gt;"",A131,"")</f>
        <v/>
      </c>
    </row>
    <row r="132">
      <c r="A132">
        <f>CurrentPositions!A122</f>
        <v/>
      </c>
      <c r="B132">
        <f>CurrentPositions!B122</f>
        <v/>
      </c>
      <c r="C132">
        <f>CurrentPositions!C122</f>
        <v/>
      </c>
      <c r="D132">
        <f>CurrentPositions!D122</f>
        <v/>
      </c>
      <c r="E132">
        <f>CurrentPositions!E122</f>
        <v/>
      </c>
      <c r="F132">
        <f>IF(B132="BUY",$B$5,IF(B132="SELL",$B$6,""))</f>
        <v/>
      </c>
      <c r="G132">
        <f>IF(B132="BUY",(F132-E132)/Settings!$B$3,IF(B132="SELL",(E132-F132)/Settings!$B$3,0))</f>
        <v/>
      </c>
      <c r="H132">
        <f>G132*D132*Settings!$B$4</f>
        <v/>
      </c>
      <c r="I132">
        <f>CurrentPositions!I122</f>
        <v/>
      </c>
      <c r="J132">
        <f>CurrentPositions!J122</f>
        <v/>
      </c>
      <c r="K132">
        <f>IF(AND(B132="SELL",H132&lt;0),H132,"")</f>
        <v/>
      </c>
      <c r="L132">
        <f>IF(K132&lt;&gt;"",A132,"")</f>
        <v/>
      </c>
    </row>
    <row r="133">
      <c r="A133">
        <f>CurrentPositions!A123</f>
        <v/>
      </c>
      <c r="B133">
        <f>CurrentPositions!B123</f>
        <v/>
      </c>
      <c r="C133">
        <f>CurrentPositions!C123</f>
        <v/>
      </c>
      <c r="D133">
        <f>CurrentPositions!D123</f>
        <v/>
      </c>
      <c r="E133">
        <f>CurrentPositions!E123</f>
        <v/>
      </c>
      <c r="F133">
        <f>IF(B133="BUY",$B$5,IF(B133="SELL",$B$6,""))</f>
        <v/>
      </c>
      <c r="G133">
        <f>IF(B133="BUY",(F133-E133)/Settings!$B$3,IF(B133="SELL",(E133-F133)/Settings!$B$3,0))</f>
        <v/>
      </c>
      <c r="H133">
        <f>G133*D133*Settings!$B$4</f>
        <v/>
      </c>
      <c r="I133">
        <f>CurrentPositions!I123</f>
        <v/>
      </c>
      <c r="J133">
        <f>CurrentPositions!J123</f>
        <v/>
      </c>
      <c r="K133">
        <f>IF(AND(B133="SELL",H133&lt;0),H133,"")</f>
        <v/>
      </c>
      <c r="L133">
        <f>IF(K133&lt;&gt;"",A133,"")</f>
        <v/>
      </c>
    </row>
    <row r="134">
      <c r="A134">
        <f>CurrentPositions!A124</f>
        <v/>
      </c>
      <c r="B134">
        <f>CurrentPositions!B124</f>
        <v/>
      </c>
      <c r="C134">
        <f>CurrentPositions!C124</f>
        <v/>
      </c>
      <c r="D134">
        <f>CurrentPositions!D124</f>
        <v/>
      </c>
      <c r="E134">
        <f>CurrentPositions!E124</f>
        <v/>
      </c>
      <c r="F134">
        <f>IF(B134="BUY",$B$5,IF(B134="SELL",$B$6,""))</f>
        <v/>
      </c>
      <c r="G134">
        <f>IF(B134="BUY",(F134-E134)/Settings!$B$3,IF(B134="SELL",(E134-F134)/Settings!$B$3,0))</f>
        <v/>
      </c>
      <c r="H134">
        <f>G134*D134*Settings!$B$4</f>
        <v/>
      </c>
      <c r="I134">
        <f>CurrentPositions!I124</f>
        <v/>
      </c>
      <c r="J134">
        <f>CurrentPositions!J124</f>
        <v/>
      </c>
      <c r="K134">
        <f>IF(AND(B134="SELL",H134&lt;0),H134,"")</f>
        <v/>
      </c>
      <c r="L134">
        <f>IF(K134&lt;&gt;"",A134,"")</f>
        <v/>
      </c>
    </row>
    <row r="135">
      <c r="A135">
        <f>CurrentPositions!A125</f>
        <v/>
      </c>
      <c r="B135">
        <f>CurrentPositions!B125</f>
        <v/>
      </c>
      <c r="C135">
        <f>CurrentPositions!C125</f>
        <v/>
      </c>
      <c r="D135">
        <f>CurrentPositions!D125</f>
        <v/>
      </c>
      <c r="E135">
        <f>CurrentPositions!E125</f>
        <v/>
      </c>
      <c r="F135">
        <f>IF(B135="BUY",$B$5,IF(B135="SELL",$B$6,""))</f>
        <v/>
      </c>
      <c r="G135">
        <f>IF(B135="BUY",(F135-E135)/Settings!$B$3,IF(B135="SELL",(E135-F135)/Settings!$B$3,0))</f>
        <v/>
      </c>
      <c r="H135">
        <f>G135*D135*Settings!$B$4</f>
        <v/>
      </c>
      <c r="I135">
        <f>CurrentPositions!I125</f>
        <v/>
      </c>
      <c r="J135">
        <f>CurrentPositions!J125</f>
        <v/>
      </c>
      <c r="K135">
        <f>IF(AND(B135="SELL",H135&lt;0),H135,"")</f>
        <v/>
      </c>
      <c r="L135">
        <f>IF(K135&lt;&gt;"",A135,"")</f>
        <v/>
      </c>
    </row>
    <row r="136">
      <c r="A136">
        <f>CurrentPositions!A126</f>
        <v/>
      </c>
      <c r="B136">
        <f>CurrentPositions!B126</f>
        <v/>
      </c>
      <c r="C136">
        <f>CurrentPositions!C126</f>
        <v/>
      </c>
      <c r="D136">
        <f>CurrentPositions!D126</f>
        <v/>
      </c>
      <c r="E136">
        <f>CurrentPositions!E126</f>
        <v/>
      </c>
      <c r="F136">
        <f>IF(B136="BUY",$B$5,IF(B136="SELL",$B$6,""))</f>
        <v/>
      </c>
      <c r="G136">
        <f>IF(B136="BUY",(F136-E136)/Settings!$B$3,IF(B136="SELL",(E136-F136)/Settings!$B$3,0))</f>
        <v/>
      </c>
      <c r="H136">
        <f>G136*D136*Settings!$B$4</f>
        <v/>
      </c>
      <c r="I136">
        <f>CurrentPositions!I126</f>
        <v/>
      </c>
      <c r="J136">
        <f>CurrentPositions!J126</f>
        <v/>
      </c>
      <c r="K136">
        <f>IF(AND(B136="SELL",H136&lt;0),H136,"")</f>
        <v/>
      </c>
      <c r="L136">
        <f>IF(K136&lt;&gt;"",A136,"")</f>
        <v/>
      </c>
    </row>
    <row r="137">
      <c r="A137">
        <f>CurrentPositions!A127</f>
        <v/>
      </c>
      <c r="B137">
        <f>CurrentPositions!B127</f>
        <v/>
      </c>
      <c r="C137">
        <f>CurrentPositions!C127</f>
        <v/>
      </c>
      <c r="D137">
        <f>CurrentPositions!D127</f>
        <v/>
      </c>
      <c r="E137">
        <f>CurrentPositions!E127</f>
        <v/>
      </c>
      <c r="F137">
        <f>IF(B137="BUY",$B$5,IF(B137="SELL",$B$6,""))</f>
        <v/>
      </c>
      <c r="G137">
        <f>IF(B137="BUY",(F137-E137)/Settings!$B$3,IF(B137="SELL",(E137-F137)/Settings!$B$3,0))</f>
        <v/>
      </c>
      <c r="H137">
        <f>G137*D137*Settings!$B$4</f>
        <v/>
      </c>
      <c r="I137">
        <f>CurrentPositions!I127</f>
        <v/>
      </c>
      <c r="J137">
        <f>CurrentPositions!J127</f>
        <v/>
      </c>
      <c r="K137">
        <f>IF(AND(B137="SELL",H137&lt;0),H137,"")</f>
        <v/>
      </c>
      <c r="L137">
        <f>IF(K137&lt;&gt;"",A137,"")</f>
        <v/>
      </c>
    </row>
    <row r="138">
      <c r="A138">
        <f>CurrentPositions!A128</f>
        <v/>
      </c>
      <c r="B138">
        <f>CurrentPositions!B128</f>
        <v/>
      </c>
      <c r="C138">
        <f>CurrentPositions!C128</f>
        <v/>
      </c>
      <c r="D138">
        <f>CurrentPositions!D128</f>
        <v/>
      </c>
      <c r="E138">
        <f>CurrentPositions!E128</f>
        <v/>
      </c>
      <c r="F138">
        <f>IF(B138="BUY",$B$5,IF(B138="SELL",$B$6,""))</f>
        <v/>
      </c>
      <c r="G138">
        <f>IF(B138="BUY",(F138-E138)/Settings!$B$3,IF(B138="SELL",(E138-F138)/Settings!$B$3,0))</f>
        <v/>
      </c>
      <c r="H138">
        <f>G138*D138*Settings!$B$4</f>
        <v/>
      </c>
      <c r="I138">
        <f>CurrentPositions!I128</f>
        <v/>
      </c>
      <c r="J138">
        <f>CurrentPositions!J128</f>
        <v/>
      </c>
      <c r="K138">
        <f>IF(AND(B138="SELL",H138&lt;0),H138,"")</f>
        <v/>
      </c>
      <c r="L138">
        <f>IF(K138&lt;&gt;"",A138,"")</f>
        <v/>
      </c>
    </row>
    <row r="139">
      <c r="A139">
        <f>CurrentPositions!A129</f>
        <v/>
      </c>
      <c r="B139">
        <f>CurrentPositions!B129</f>
        <v/>
      </c>
      <c r="C139">
        <f>CurrentPositions!C129</f>
        <v/>
      </c>
      <c r="D139">
        <f>CurrentPositions!D129</f>
        <v/>
      </c>
      <c r="E139">
        <f>CurrentPositions!E129</f>
        <v/>
      </c>
      <c r="F139">
        <f>IF(B139="BUY",$B$5,IF(B139="SELL",$B$6,""))</f>
        <v/>
      </c>
      <c r="G139">
        <f>IF(B139="BUY",(F139-E139)/Settings!$B$3,IF(B139="SELL",(E139-F139)/Settings!$B$3,0))</f>
        <v/>
      </c>
      <c r="H139">
        <f>G139*D139*Settings!$B$4</f>
        <v/>
      </c>
      <c r="I139">
        <f>CurrentPositions!I129</f>
        <v/>
      </c>
      <c r="J139">
        <f>CurrentPositions!J129</f>
        <v/>
      </c>
      <c r="K139">
        <f>IF(AND(B139="SELL",H139&lt;0),H139,"")</f>
        <v/>
      </c>
      <c r="L139">
        <f>IF(K139&lt;&gt;"",A139,"")</f>
        <v/>
      </c>
    </row>
    <row r="140">
      <c r="A140">
        <f>CurrentPositions!A130</f>
        <v/>
      </c>
      <c r="B140">
        <f>CurrentPositions!B130</f>
        <v/>
      </c>
      <c r="C140">
        <f>CurrentPositions!C130</f>
        <v/>
      </c>
      <c r="D140">
        <f>CurrentPositions!D130</f>
        <v/>
      </c>
      <c r="E140">
        <f>CurrentPositions!E130</f>
        <v/>
      </c>
      <c r="F140">
        <f>IF(B140="BUY",$B$5,IF(B140="SELL",$B$6,""))</f>
        <v/>
      </c>
      <c r="G140">
        <f>IF(B140="BUY",(F140-E140)/Settings!$B$3,IF(B140="SELL",(E140-F140)/Settings!$B$3,0))</f>
        <v/>
      </c>
      <c r="H140">
        <f>G140*D140*Settings!$B$4</f>
        <v/>
      </c>
      <c r="I140">
        <f>CurrentPositions!I130</f>
        <v/>
      </c>
      <c r="J140">
        <f>CurrentPositions!J130</f>
        <v/>
      </c>
      <c r="K140">
        <f>IF(AND(B140="SELL",H140&lt;0),H140,"")</f>
        <v/>
      </c>
      <c r="L140">
        <f>IF(K140&lt;&gt;"",A140,"")</f>
        <v/>
      </c>
    </row>
    <row r="141">
      <c r="A141">
        <f>CurrentPositions!A131</f>
        <v/>
      </c>
      <c r="B141">
        <f>CurrentPositions!B131</f>
        <v/>
      </c>
      <c r="C141">
        <f>CurrentPositions!C131</f>
        <v/>
      </c>
      <c r="D141">
        <f>CurrentPositions!D131</f>
        <v/>
      </c>
      <c r="E141">
        <f>CurrentPositions!E131</f>
        <v/>
      </c>
      <c r="F141">
        <f>IF(B141="BUY",$B$5,IF(B141="SELL",$B$6,""))</f>
        <v/>
      </c>
      <c r="G141">
        <f>IF(B141="BUY",(F141-E141)/Settings!$B$3,IF(B141="SELL",(E141-F141)/Settings!$B$3,0))</f>
        <v/>
      </c>
      <c r="H141">
        <f>G141*D141*Settings!$B$4</f>
        <v/>
      </c>
      <c r="I141">
        <f>CurrentPositions!I131</f>
        <v/>
      </c>
      <c r="J141">
        <f>CurrentPositions!J131</f>
        <v/>
      </c>
      <c r="K141">
        <f>IF(AND(B141="SELL",H141&lt;0),H141,"")</f>
        <v/>
      </c>
      <c r="L141">
        <f>IF(K141&lt;&gt;"",A141,"")</f>
        <v/>
      </c>
    </row>
    <row r="142">
      <c r="A142">
        <f>CurrentPositions!A132</f>
        <v/>
      </c>
      <c r="B142">
        <f>CurrentPositions!B132</f>
        <v/>
      </c>
      <c r="C142">
        <f>CurrentPositions!C132</f>
        <v/>
      </c>
      <c r="D142">
        <f>CurrentPositions!D132</f>
        <v/>
      </c>
      <c r="E142">
        <f>CurrentPositions!E132</f>
        <v/>
      </c>
      <c r="F142">
        <f>IF(B142="BUY",$B$5,IF(B142="SELL",$B$6,""))</f>
        <v/>
      </c>
      <c r="G142">
        <f>IF(B142="BUY",(F142-E142)/Settings!$B$3,IF(B142="SELL",(E142-F142)/Settings!$B$3,0))</f>
        <v/>
      </c>
      <c r="H142">
        <f>G142*D142*Settings!$B$4</f>
        <v/>
      </c>
      <c r="I142">
        <f>CurrentPositions!I132</f>
        <v/>
      </c>
      <c r="J142">
        <f>CurrentPositions!J132</f>
        <v/>
      </c>
      <c r="K142">
        <f>IF(AND(B142="SELL",H142&lt;0),H142,"")</f>
        <v/>
      </c>
      <c r="L142">
        <f>IF(K142&lt;&gt;"",A142,"")</f>
        <v/>
      </c>
    </row>
    <row r="143">
      <c r="A143">
        <f>CurrentPositions!A133</f>
        <v/>
      </c>
      <c r="B143">
        <f>CurrentPositions!B133</f>
        <v/>
      </c>
      <c r="C143">
        <f>CurrentPositions!C133</f>
        <v/>
      </c>
      <c r="D143">
        <f>CurrentPositions!D133</f>
        <v/>
      </c>
      <c r="E143">
        <f>CurrentPositions!E133</f>
        <v/>
      </c>
      <c r="F143">
        <f>IF(B143="BUY",$B$5,IF(B143="SELL",$B$6,""))</f>
        <v/>
      </c>
      <c r="G143">
        <f>IF(B143="BUY",(F143-E143)/Settings!$B$3,IF(B143="SELL",(E143-F143)/Settings!$B$3,0))</f>
        <v/>
      </c>
      <c r="H143">
        <f>G143*D143*Settings!$B$4</f>
        <v/>
      </c>
      <c r="I143">
        <f>CurrentPositions!I133</f>
        <v/>
      </c>
      <c r="J143">
        <f>CurrentPositions!J133</f>
        <v/>
      </c>
      <c r="K143">
        <f>IF(AND(B143="SELL",H143&lt;0),H143,"")</f>
        <v/>
      </c>
      <c r="L143">
        <f>IF(K143&lt;&gt;"",A143,"")</f>
        <v/>
      </c>
    </row>
    <row r="144">
      <c r="A144">
        <f>CurrentPositions!A134</f>
        <v/>
      </c>
      <c r="B144">
        <f>CurrentPositions!B134</f>
        <v/>
      </c>
      <c r="C144">
        <f>CurrentPositions!C134</f>
        <v/>
      </c>
      <c r="D144">
        <f>CurrentPositions!D134</f>
        <v/>
      </c>
      <c r="E144">
        <f>CurrentPositions!E134</f>
        <v/>
      </c>
      <c r="F144">
        <f>IF(B144="BUY",$B$5,IF(B144="SELL",$B$6,""))</f>
        <v/>
      </c>
      <c r="G144">
        <f>IF(B144="BUY",(F144-E144)/Settings!$B$3,IF(B144="SELL",(E144-F144)/Settings!$B$3,0))</f>
        <v/>
      </c>
      <c r="H144">
        <f>G144*D144*Settings!$B$4</f>
        <v/>
      </c>
      <c r="I144">
        <f>CurrentPositions!I134</f>
        <v/>
      </c>
      <c r="J144">
        <f>CurrentPositions!J134</f>
        <v/>
      </c>
      <c r="K144">
        <f>IF(AND(B144="SELL",H144&lt;0),H144,"")</f>
        <v/>
      </c>
      <c r="L144">
        <f>IF(K144&lt;&gt;"",A144,"")</f>
        <v/>
      </c>
    </row>
    <row r="145">
      <c r="A145">
        <f>CurrentPositions!A135</f>
        <v/>
      </c>
      <c r="B145">
        <f>CurrentPositions!B135</f>
        <v/>
      </c>
      <c r="C145">
        <f>CurrentPositions!C135</f>
        <v/>
      </c>
      <c r="D145">
        <f>CurrentPositions!D135</f>
        <v/>
      </c>
      <c r="E145">
        <f>CurrentPositions!E135</f>
        <v/>
      </c>
      <c r="F145">
        <f>IF(B145="BUY",$B$5,IF(B145="SELL",$B$6,""))</f>
        <v/>
      </c>
      <c r="G145">
        <f>IF(B145="BUY",(F145-E145)/Settings!$B$3,IF(B145="SELL",(E145-F145)/Settings!$B$3,0))</f>
        <v/>
      </c>
      <c r="H145">
        <f>G145*D145*Settings!$B$4</f>
        <v/>
      </c>
      <c r="I145">
        <f>CurrentPositions!I135</f>
        <v/>
      </c>
      <c r="J145">
        <f>CurrentPositions!J135</f>
        <v/>
      </c>
      <c r="K145">
        <f>IF(AND(B145="SELL",H145&lt;0),H145,"")</f>
        <v/>
      </c>
      <c r="L145">
        <f>IF(K145&lt;&gt;"",A145,"")</f>
        <v/>
      </c>
    </row>
    <row r="146">
      <c r="A146">
        <f>CurrentPositions!A136</f>
        <v/>
      </c>
      <c r="B146">
        <f>CurrentPositions!B136</f>
        <v/>
      </c>
      <c r="C146">
        <f>CurrentPositions!C136</f>
        <v/>
      </c>
      <c r="D146">
        <f>CurrentPositions!D136</f>
        <v/>
      </c>
      <c r="E146">
        <f>CurrentPositions!E136</f>
        <v/>
      </c>
      <c r="F146">
        <f>IF(B146="BUY",$B$5,IF(B146="SELL",$B$6,""))</f>
        <v/>
      </c>
      <c r="G146">
        <f>IF(B146="BUY",(F146-E146)/Settings!$B$3,IF(B146="SELL",(E146-F146)/Settings!$B$3,0))</f>
        <v/>
      </c>
      <c r="H146">
        <f>G146*D146*Settings!$B$4</f>
        <v/>
      </c>
      <c r="I146">
        <f>CurrentPositions!I136</f>
        <v/>
      </c>
      <c r="J146">
        <f>CurrentPositions!J136</f>
        <v/>
      </c>
      <c r="K146">
        <f>IF(AND(B146="SELL",H146&lt;0),H146,"")</f>
        <v/>
      </c>
      <c r="L146">
        <f>IF(K146&lt;&gt;"",A146,"")</f>
        <v/>
      </c>
    </row>
    <row r="147">
      <c r="A147">
        <f>CurrentPositions!A137</f>
        <v/>
      </c>
      <c r="B147">
        <f>CurrentPositions!B137</f>
        <v/>
      </c>
      <c r="C147">
        <f>CurrentPositions!C137</f>
        <v/>
      </c>
      <c r="D147">
        <f>CurrentPositions!D137</f>
        <v/>
      </c>
      <c r="E147">
        <f>CurrentPositions!E137</f>
        <v/>
      </c>
      <c r="F147">
        <f>IF(B147="BUY",$B$5,IF(B147="SELL",$B$6,""))</f>
        <v/>
      </c>
      <c r="G147">
        <f>IF(B147="BUY",(F147-E147)/Settings!$B$3,IF(B147="SELL",(E147-F147)/Settings!$B$3,0))</f>
        <v/>
      </c>
      <c r="H147">
        <f>G147*D147*Settings!$B$4</f>
        <v/>
      </c>
      <c r="I147">
        <f>CurrentPositions!I137</f>
        <v/>
      </c>
      <c r="J147">
        <f>CurrentPositions!J137</f>
        <v/>
      </c>
      <c r="K147">
        <f>IF(AND(B147="SELL",H147&lt;0),H147,"")</f>
        <v/>
      </c>
      <c r="L147">
        <f>IF(K147&lt;&gt;"",A147,"")</f>
        <v/>
      </c>
    </row>
    <row r="148">
      <c r="A148">
        <f>CurrentPositions!A138</f>
        <v/>
      </c>
      <c r="B148">
        <f>CurrentPositions!B138</f>
        <v/>
      </c>
      <c r="C148">
        <f>CurrentPositions!C138</f>
        <v/>
      </c>
      <c r="D148">
        <f>CurrentPositions!D138</f>
        <v/>
      </c>
      <c r="E148">
        <f>CurrentPositions!E138</f>
        <v/>
      </c>
      <c r="F148">
        <f>IF(B148="BUY",$B$5,IF(B148="SELL",$B$6,""))</f>
        <v/>
      </c>
      <c r="G148">
        <f>IF(B148="BUY",(F148-E148)/Settings!$B$3,IF(B148="SELL",(E148-F148)/Settings!$B$3,0))</f>
        <v/>
      </c>
      <c r="H148">
        <f>G148*D148*Settings!$B$4</f>
        <v/>
      </c>
      <c r="I148">
        <f>CurrentPositions!I138</f>
        <v/>
      </c>
      <c r="J148">
        <f>CurrentPositions!J138</f>
        <v/>
      </c>
      <c r="K148">
        <f>IF(AND(B148="SELL",H148&lt;0),H148,"")</f>
        <v/>
      </c>
      <c r="L148">
        <f>IF(K148&lt;&gt;"",A148,"")</f>
        <v/>
      </c>
    </row>
    <row r="149">
      <c r="A149">
        <f>CurrentPositions!A139</f>
        <v/>
      </c>
      <c r="B149">
        <f>CurrentPositions!B139</f>
        <v/>
      </c>
      <c r="C149">
        <f>CurrentPositions!C139</f>
        <v/>
      </c>
      <c r="D149">
        <f>CurrentPositions!D139</f>
        <v/>
      </c>
      <c r="E149">
        <f>CurrentPositions!E139</f>
        <v/>
      </c>
      <c r="F149">
        <f>IF(B149="BUY",$B$5,IF(B149="SELL",$B$6,""))</f>
        <v/>
      </c>
      <c r="G149">
        <f>IF(B149="BUY",(F149-E149)/Settings!$B$3,IF(B149="SELL",(E149-F149)/Settings!$B$3,0))</f>
        <v/>
      </c>
      <c r="H149">
        <f>G149*D149*Settings!$B$4</f>
        <v/>
      </c>
      <c r="I149">
        <f>CurrentPositions!I139</f>
        <v/>
      </c>
      <c r="J149">
        <f>CurrentPositions!J139</f>
        <v/>
      </c>
      <c r="K149">
        <f>IF(AND(B149="SELL",H149&lt;0),H149,"")</f>
        <v/>
      </c>
      <c r="L149">
        <f>IF(K149&lt;&gt;"",A149,"")</f>
        <v/>
      </c>
    </row>
    <row r="150">
      <c r="A150">
        <f>CurrentPositions!A140</f>
        <v/>
      </c>
      <c r="B150">
        <f>CurrentPositions!B140</f>
        <v/>
      </c>
      <c r="C150">
        <f>CurrentPositions!C140</f>
        <v/>
      </c>
      <c r="D150">
        <f>CurrentPositions!D140</f>
        <v/>
      </c>
      <c r="E150">
        <f>CurrentPositions!E140</f>
        <v/>
      </c>
      <c r="F150">
        <f>IF(B150="BUY",$B$5,IF(B150="SELL",$B$6,""))</f>
        <v/>
      </c>
      <c r="G150">
        <f>IF(B150="BUY",(F150-E150)/Settings!$B$3,IF(B150="SELL",(E150-F150)/Settings!$B$3,0))</f>
        <v/>
      </c>
      <c r="H150">
        <f>G150*D150*Settings!$B$4</f>
        <v/>
      </c>
      <c r="I150">
        <f>CurrentPositions!I140</f>
        <v/>
      </c>
      <c r="J150">
        <f>CurrentPositions!J140</f>
        <v/>
      </c>
      <c r="K150">
        <f>IF(AND(B150="SELL",H150&lt;0),H150,"")</f>
        <v/>
      </c>
      <c r="L150">
        <f>IF(K150&lt;&gt;"",A150,"")</f>
        <v/>
      </c>
    </row>
    <row r="151">
      <c r="A151">
        <f>CurrentPositions!A141</f>
        <v/>
      </c>
      <c r="B151">
        <f>CurrentPositions!B141</f>
        <v/>
      </c>
      <c r="C151">
        <f>CurrentPositions!C141</f>
        <v/>
      </c>
      <c r="D151">
        <f>CurrentPositions!D141</f>
        <v/>
      </c>
      <c r="E151">
        <f>CurrentPositions!E141</f>
        <v/>
      </c>
      <c r="F151">
        <f>IF(B151="BUY",$B$5,IF(B151="SELL",$B$6,""))</f>
        <v/>
      </c>
      <c r="G151">
        <f>IF(B151="BUY",(F151-E151)/Settings!$B$3,IF(B151="SELL",(E151-F151)/Settings!$B$3,0))</f>
        <v/>
      </c>
      <c r="H151">
        <f>G151*D151*Settings!$B$4</f>
        <v/>
      </c>
      <c r="I151">
        <f>CurrentPositions!I141</f>
        <v/>
      </c>
      <c r="J151">
        <f>CurrentPositions!J141</f>
        <v/>
      </c>
      <c r="K151">
        <f>IF(AND(B151="SELL",H151&lt;0),H151,"")</f>
        <v/>
      </c>
      <c r="L151">
        <f>IF(K151&lt;&gt;"",A151,"")</f>
        <v/>
      </c>
    </row>
    <row r="152">
      <c r="A152">
        <f>CurrentPositions!A142</f>
        <v/>
      </c>
      <c r="B152">
        <f>CurrentPositions!B142</f>
        <v/>
      </c>
      <c r="C152">
        <f>CurrentPositions!C142</f>
        <v/>
      </c>
      <c r="D152">
        <f>CurrentPositions!D142</f>
        <v/>
      </c>
      <c r="E152">
        <f>CurrentPositions!E142</f>
        <v/>
      </c>
      <c r="F152">
        <f>IF(B152="BUY",$B$5,IF(B152="SELL",$B$6,""))</f>
        <v/>
      </c>
      <c r="G152">
        <f>IF(B152="BUY",(F152-E152)/Settings!$B$3,IF(B152="SELL",(E152-F152)/Settings!$B$3,0))</f>
        <v/>
      </c>
      <c r="H152">
        <f>G152*D152*Settings!$B$4</f>
        <v/>
      </c>
      <c r="I152">
        <f>CurrentPositions!I142</f>
        <v/>
      </c>
      <c r="J152">
        <f>CurrentPositions!J142</f>
        <v/>
      </c>
      <c r="K152">
        <f>IF(AND(B152="SELL",H152&lt;0),H152,"")</f>
        <v/>
      </c>
      <c r="L152">
        <f>IF(K152&lt;&gt;"",A152,"")</f>
        <v/>
      </c>
    </row>
    <row r="153">
      <c r="A153">
        <f>CurrentPositions!A143</f>
        <v/>
      </c>
      <c r="B153">
        <f>CurrentPositions!B143</f>
        <v/>
      </c>
      <c r="C153">
        <f>CurrentPositions!C143</f>
        <v/>
      </c>
      <c r="D153">
        <f>CurrentPositions!D143</f>
        <v/>
      </c>
      <c r="E153">
        <f>CurrentPositions!E143</f>
        <v/>
      </c>
      <c r="F153">
        <f>IF(B153="BUY",$B$5,IF(B153="SELL",$B$6,""))</f>
        <v/>
      </c>
      <c r="G153">
        <f>IF(B153="BUY",(F153-E153)/Settings!$B$3,IF(B153="SELL",(E153-F153)/Settings!$B$3,0))</f>
        <v/>
      </c>
      <c r="H153">
        <f>G153*D153*Settings!$B$4</f>
        <v/>
      </c>
      <c r="I153">
        <f>CurrentPositions!I143</f>
        <v/>
      </c>
      <c r="J153">
        <f>CurrentPositions!J143</f>
        <v/>
      </c>
      <c r="K153">
        <f>IF(AND(B153="SELL",H153&lt;0),H153,"")</f>
        <v/>
      </c>
      <c r="L153">
        <f>IF(K153&lt;&gt;"",A153,"")</f>
        <v/>
      </c>
    </row>
    <row r="154">
      <c r="A154">
        <f>CurrentPositions!A144</f>
        <v/>
      </c>
      <c r="B154">
        <f>CurrentPositions!B144</f>
        <v/>
      </c>
      <c r="C154">
        <f>CurrentPositions!C144</f>
        <v/>
      </c>
      <c r="D154">
        <f>CurrentPositions!D144</f>
        <v/>
      </c>
      <c r="E154">
        <f>CurrentPositions!E144</f>
        <v/>
      </c>
      <c r="F154">
        <f>IF(B154="BUY",$B$5,IF(B154="SELL",$B$6,""))</f>
        <v/>
      </c>
      <c r="G154">
        <f>IF(B154="BUY",(F154-E154)/Settings!$B$3,IF(B154="SELL",(E154-F154)/Settings!$B$3,0))</f>
        <v/>
      </c>
      <c r="H154">
        <f>G154*D154*Settings!$B$4</f>
        <v/>
      </c>
      <c r="I154">
        <f>CurrentPositions!I144</f>
        <v/>
      </c>
      <c r="J154">
        <f>CurrentPositions!J144</f>
        <v/>
      </c>
      <c r="K154">
        <f>IF(AND(B154="SELL",H154&lt;0),H154,"")</f>
        <v/>
      </c>
      <c r="L154">
        <f>IF(K154&lt;&gt;"",A154,"")</f>
        <v/>
      </c>
    </row>
    <row r="155">
      <c r="A155">
        <f>CurrentPositions!A145</f>
        <v/>
      </c>
      <c r="B155">
        <f>CurrentPositions!B145</f>
        <v/>
      </c>
      <c r="C155">
        <f>CurrentPositions!C145</f>
        <v/>
      </c>
      <c r="D155">
        <f>CurrentPositions!D145</f>
        <v/>
      </c>
      <c r="E155">
        <f>CurrentPositions!E145</f>
        <v/>
      </c>
      <c r="F155">
        <f>IF(B155="BUY",$B$5,IF(B155="SELL",$B$6,""))</f>
        <v/>
      </c>
      <c r="G155">
        <f>IF(B155="BUY",(F155-E155)/Settings!$B$3,IF(B155="SELL",(E155-F155)/Settings!$B$3,0))</f>
        <v/>
      </c>
      <c r="H155">
        <f>G155*D155*Settings!$B$4</f>
        <v/>
      </c>
      <c r="I155">
        <f>CurrentPositions!I145</f>
        <v/>
      </c>
      <c r="J155">
        <f>CurrentPositions!J145</f>
        <v/>
      </c>
      <c r="K155">
        <f>IF(AND(B155="SELL",H155&lt;0),H155,"")</f>
        <v/>
      </c>
      <c r="L155">
        <f>IF(K155&lt;&gt;"",A155,"")</f>
        <v/>
      </c>
    </row>
    <row r="156">
      <c r="A156">
        <f>CurrentPositions!A146</f>
        <v/>
      </c>
      <c r="B156">
        <f>CurrentPositions!B146</f>
        <v/>
      </c>
      <c r="C156">
        <f>CurrentPositions!C146</f>
        <v/>
      </c>
      <c r="D156">
        <f>CurrentPositions!D146</f>
        <v/>
      </c>
      <c r="E156">
        <f>CurrentPositions!E146</f>
        <v/>
      </c>
      <c r="F156">
        <f>IF(B156="BUY",$B$5,IF(B156="SELL",$B$6,""))</f>
        <v/>
      </c>
      <c r="G156">
        <f>IF(B156="BUY",(F156-E156)/Settings!$B$3,IF(B156="SELL",(E156-F156)/Settings!$B$3,0))</f>
        <v/>
      </c>
      <c r="H156">
        <f>G156*D156*Settings!$B$4</f>
        <v/>
      </c>
      <c r="I156">
        <f>CurrentPositions!I146</f>
        <v/>
      </c>
      <c r="J156">
        <f>CurrentPositions!J146</f>
        <v/>
      </c>
      <c r="K156">
        <f>IF(AND(B156="SELL",H156&lt;0),H156,"")</f>
        <v/>
      </c>
      <c r="L156">
        <f>IF(K156&lt;&gt;"",A156,"")</f>
        <v/>
      </c>
    </row>
    <row r="157">
      <c r="A157">
        <f>CurrentPositions!A147</f>
        <v/>
      </c>
      <c r="B157">
        <f>CurrentPositions!B147</f>
        <v/>
      </c>
      <c r="C157">
        <f>CurrentPositions!C147</f>
        <v/>
      </c>
      <c r="D157">
        <f>CurrentPositions!D147</f>
        <v/>
      </c>
      <c r="E157">
        <f>CurrentPositions!E147</f>
        <v/>
      </c>
      <c r="F157">
        <f>IF(B157="BUY",$B$5,IF(B157="SELL",$B$6,""))</f>
        <v/>
      </c>
      <c r="G157">
        <f>IF(B157="BUY",(F157-E157)/Settings!$B$3,IF(B157="SELL",(E157-F157)/Settings!$B$3,0))</f>
        <v/>
      </c>
      <c r="H157">
        <f>G157*D157*Settings!$B$4</f>
        <v/>
      </c>
      <c r="I157">
        <f>CurrentPositions!I147</f>
        <v/>
      </c>
      <c r="J157">
        <f>CurrentPositions!J147</f>
        <v/>
      </c>
      <c r="K157">
        <f>IF(AND(B157="SELL",H157&lt;0),H157,"")</f>
        <v/>
      </c>
      <c r="L157">
        <f>IF(K157&lt;&gt;"",A157,"")</f>
        <v/>
      </c>
    </row>
    <row r="158">
      <c r="A158">
        <f>CurrentPositions!A148</f>
        <v/>
      </c>
      <c r="B158">
        <f>CurrentPositions!B148</f>
        <v/>
      </c>
      <c r="C158">
        <f>CurrentPositions!C148</f>
        <v/>
      </c>
      <c r="D158">
        <f>CurrentPositions!D148</f>
        <v/>
      </c>
      <c r="E158">
        <f>CurrentPositions!E148</f>
        <v/>
      </c>
      <c r="F158">
        <f>IF(B158="BUY",$B$5,IF(B158="SELL",$B$6,""))</f>
        <v/>
      </c>
      <c r="G158">
        <f>IF(B158="BUY",(F158-E158)/Settings!$B$3,IF(B158="SELL",(E158-F158)/Settings!$B$3,0))</f>
        <v/>
      </c>
      <c r="H158">
        <f>G158*D158*Settings!$B$4</f>
        <v/>
      </c>
      <c r="I158">
        <f>CurrentPositions!I148</f>
        <v/>
      </c>
      <c r="J158">
        <f>CurrentPositions!J148</f>
        <v/>
      </c>
      <c r="K158">
        <f>IF(AND(B158="SELL",H158&lt;0),H158,"")</f>
        <v/>
      </c>
      <c r="L158">
        <f>IF(K158&lt;&gt;"",A158,"")</f>
        <v/>
      </c>
    </row>
    <row r="159">
      <c r="A159">
        <f>CurrentPositions!A149</f>
        <v/>
      </c>
      <c r="B159">
        <f>CurrentPositions!B149</f>
        <v/>
      </c>
      <c r="C159">
        <f>CurrentPositions!C149</f>
        <v/>
      </c>
      <c r="D159">
        <f>CurrentPositions!D149</f>
        <v/>
      </c>
      <c r="E159">
        <f>CurrentPositions!E149</f>
        <v/>
      </c>
      <c r="F159">
        <f>IF(B159="BUY",$B$5,IF(B159="SELL",$B$6,""))</f>
        <v/>
      </c>
      <c r="G159">
        <f>IF(B159="BUY",(F159-E159)/Settings!$B$3,IF(B159="SELL",(E159-F159)/Settings!$B$3,0))</f>
        <v/>
      </c>
      <c r="H159">
        <f>G159*D159*Settings!$B$4</f>
        <v/>
      </c>
      <c r="I159">
        <f>CurrentPositions!I149</f>
        <v/>
      </c>
      <c r="J159">
        <f>CurrentPositions!J149</f>
        <v/>
      </c>
      <c r="K159">
        <f>IF(AND(B159="SELL",H159&lt;0),H159,"")</f>
        <v/>
      </c>
      <c r="L159">
        <f>IF(K159&lt;&gt;"",A159,"")</f>
        <v/>
      </c>
    </row>
    <row r="160">
      <c r="A160">
        <f>CurrentPositions!A150</f>
        <v/>
      </c>
      <c r="B160">
        <f>CurrentPositions!B150</f>
        <v/>
      </c>
      <c r="C160">
        <f>CurrentPositions!C150</f>
        <v/>
      </c>
      <c r="D160">
        <f>CurrentPositions!D150</f>
        <v/>
      </c>
      <c r="E160">
        <f>CurrentPositions!E150</f>
        <v/>
      </c>
      <c r="F160">
        <f>IF(B160="BUY",$B$5,IF(B160="SELL",$B$6,""))</f>
        <v/>
      </c>
      <c r="G160">
        <f>IF(B160="BUY",(F160-E160)/Settings!$B$3,IF(B160="SELL",(E160-F160)/Settings!$B$3,0))</f>
        <v/>
      </c>
      <c r="H160">
        <f>G160*D160*Settings!$B$4</f>
        <v/>
      </c>
      <c r="I160">
        <f>CurrentPositions!I150</f>
        <v/>
      </c>
      <c r="J160">
        <f>CurrentPositions!J150</f>
        <v/>
      </c>
      <c r="K160">
        <f>IF(AND(B160="SELL",H160&lt;0),H160,"")</f>
        <v/>
      </c>
      <c r="L160">
        <f>IF(K160&lt;&gt;"",A160,"")</f>
        <v/>
      </c>
    </row>
    <row r="161">
      <c r="A161">
        <f>CurrentPositions!A151</f>
        <v/>
      </c>
      <c r="B161">
        <f>CurrentPositions!B151</f>
        <v/>
      </c>
      <c r="C161">
        <f>CurrentPositions!C151</f>
        <v/>
      </c>
      <c r="D161">
        <f>CurrentPositions!D151</f>
        <v/>
      </c>
      <c r="E161">
        <f>CurrentPositions!E151</f>
        <v/>
      </c>
      <c r="F161">
        <f>IF(B161="BUY",$B$5,IF(B161="SELL",$B$6,""))</f>
        <v/>
      </c>
      <c r="G161">
        <f>IF(B161="BUY",(F161-E161)/Settings!$B$3,IF(B161="SELL",(E161-F161)/Settings!$B$3,0))</f>
        <v/>
      </c>
      <c r="H161">
        <f>G161*D161*Settings!$B$4</f>
        <v/>
      </c>
      <c r="I161">
        <f>CurrentPositions!I151</f>
        <v/>
      </c>
      <c r="J161">
        <f>CurrentPositions!J151</f>
        <v/>
      </c>
      <c r="K161">
        <f>IF(AND(B161="SELL",H161&lt;0),H161,"")</f>
        <v/>
      </c>
      <c r="L161">
        <f>IF(K161&lt;&gt;"",A161,"")</f>
        <v/>
      </c>
    </row>
    <row r="162">
      <c r="A162">
        <f>CurrentPositions!A152</f>
        <v/>
      </c>
      <c r="B162">
        <f>CurrentPositions!B152</f>
        <v/>
      </c>
      <c r="C162">
        <f>CurrentPositions!C152</f>
        <v/>
      </c>
      <c r="D162">
        <f>CurrentPositions!D152</f>
        <v/>
      </c>
      <c r="E162">
        <f>CurrentPositions!E152</f>
        <v/>
      </c>
      <c r="F162">
        <f>IF(B162="BUY",$B$5,IF(B162="SELL",$B$6,""))</f>
        <v/>
      </c>
      <c r="G162">
        <f>IF(B162="BUY",(F162-E162)/Settings!$B$3,IF(B162="SELL",(E162-F162)/Settings!$B$3,0))</f>
        <v/>
      </c>
      <c r="H162">
        <f>G162*D162*Settings!$B$4</f>
        <v/>
      </c>
      <c r="I162">
        <f>CurrentPositions!I152</f>
        <v/>
      </c>
      <c r="J162">
        <f>CurrentPositions!J152</f>
        <v/>
      </c>
      <c r="K162">
        <f>IF(AND(B162="SELL",H162&lt;0),H162,"")</f>
        <v/>
      </c>
      <c r="L162">
        <f>IF(K162&lt;&gt;"",A162,"")</f>
        <v/>
      </c>
    </row>
    <row r="163">
      <c r="A163">
        <f>CurrentPositions!A153</f>
        <v/>
      </c>
      <c r="B163">
        <f>CurrentPositions!B153</f>
        <v/>
      </c>
      <c r="C163">
        <f>CurrentPositions!C153</f>
        <v/>
      </c>
      <c r="D163">
        <f>CurrentPositions!D153</f>
        <v/>
      </c>
      <c r="E163">
        <f>CurrentPositions!E153</f>
        <v/>
      </c>
      <c r="F163">
        <f>IF(B163="BUY",$B$5,IF(B163="SELL",$B$6,""))</f>
        <v/>
      </c>
      <c r="G163">
        <f>IF(B163="BUY",(F163-E163)/Settings!$B$3,IF(B163="SELL",(E163-F163)/Settings!$B$3,0))</f>
        <v/>
      </c>
      <c r="H163">
        <f>G163*D163*Settings!$B$4</f>
        <v/>
      </c>
      <c r="I163">
        <f>CurrentPositions!I153</f>
        <v/>
      </c>
      <c r="J163">
        <f>CurrentPositions!J153</f>
        <v/>
      </c>
      <c r="K163">
        <f>IF(AND(B163="SELL",H163&lt;0),H163,"")</f>
        <v/>
      </c>
      <c r="L163">
        <f>IF(K163&lt;&gt;"",A163,"")</f>
        <v/>
      </c>
    </row>
    <row r="164">
      <c r="A164">
        <f>CurrentPositions!A154</f>
        <v/>
      </c>
      <c r="B164">
        <f>CurrentPositions!B154</f>
        <v/>
      </c>
      <c r="C164">
        <f>CurrentPositions!C154</f>
        <v/>
      </c>
      <c r="D164">
        <f>CurrentPositions!D154</f>
        <v/>
      </c>
      <c r="E164">
        <f>CurrentPositions!E154</f>
        <v/>
      </c>
      <c r="F164">
        <f>IF(B164="BUY",$B$5,IF(B164="SELL",$B$6,""))</f>
        <v/>
      </c>
      <c r="G164">
        <f>IF(B164="BUY",(F164-E164)/Settings!$B$3,IF(B164="SELL",(E164-F164)/Settings!$B$3,0))</f>
        <v/>
      </c>
      <c r="H164">
        <f>G164*D164*Settings!$B$4</f>
        <v/>
      </c>
      <c r="I164">
        <f>CurrentPositions!I154</f>
        <v/>
      </c>
      <c r="J164">
        <f>CurrentPositions!J154</f>
        <v/>
      </c>
      <c r="K164">
        <f>IF(AND(B164="SELL",H164&lt;0),H164,"")</f>
        <v/>
      </c>
      <c r="L164">
        <f>IF(K164&lt;&gt;"",A164,"")</f>
        <v/>
      </c>
    </row>
    <row r="165">
      <c r="A165">
        <f>CurrentPositions!A155</f>
        <v/>
      </c>
      <c r="B165">
        <f>CurrentPositions!B155</f>
        <v/>
      </c>
      <c r="C165">
        <f>CurrentPositions!C155</f>
        <v/>
      </c>
      <c r="D165">
        <f>CurrentPositions!D155</f>
        <v/>
      </c>
      <c r="E165">
        <f>CurrentPositions!E155</f>
        <v/>
      </c>
      <c r="F165">
        <f>IF(B165="BUY",$B$5,IF(B165="SELL",$B$6,""))</f>
        <v/>
      </c>
      <c r="G165">
        <f>IF(B165="BUY",(F165-E165)/Settings!$B$3,IF(B165="SELL",(E165-F165)/Settings!$B$3,0))</f>
        <v/>
      </c>
      <c r="H165">
        <f>G165*D165*Settings!$B$4</f>
        <v/>
      </c>
      <c r="I165">
        <f>CurrentPositions!I155</f>
        <v/>
      </c>
      <c r="J165">
        <f>CurrentPositions!J155</f>
        <v/>
      </c>
      <c r="K165">
        <f>IF(AND(B165="SELL",H165&lt;0),H165,"")</f>
        <v/>
      </c>
      <c r="L165">
        <f>IF(K165&lt;&gt;"",A165,"")</f>
        <v/>
      </c>
    </row>
    <row r="166">
      <c r="A166">
        <f>CurrentPositions!A156</f>
        <v/>
      </c>
      <c r="B166">
        <f>CurrentPositions!B156</f>
        <v/>
      </c>
      <c r="C166">
        <f>CurrentPositions!C156</f>
        <v/>
      </c>
      <c r="D166">
        <f>CurrentPositions!D156</f>
        <v/>
      </c>
      <c r="E166">
        <f>CurrentPositions!E156</f>
        <v/>
      </c>
      <c r="F166">
        <f>IF(B166="BUY",$B$5,IF(B166="SELL",$B$6,""))</f>
        <v/>
      </c>
      <c r="G166">
        <f>IF(B166="BUY",(F166-E166)/Settings!$B$3,IF(B166="SELL",(E166-F166)/Settings!$B$3,0))</f>
        <v/>
      </c>
      <c r="H166">
        <f>G166*D166*Settings!$B$4</f>
        <v/>
      </c>
      <c r="I166">
        <f>CurrentPositions!I156</f>
        <v/>
      </c>
      <c r="J166">
        <f>CurrentPositions!J156</f>
        <v/>
      </c>
      <c r="K166">
        <f>IF(AND(B166="SELL",H166&lt;0),H166,"")</f>
        <v/>
      </c>
      <c r="L166">
        <f>IF(K166&lt;&gt;"",A166,"")</f>
        <v/>
      </c>
    </row>
    <row r="167">
      <c r="A167">
        <f>CurrentPositions!A157</f>
        <v/>
      </c>
      <c r="B167">
        <f>CurrentPositions!B157</f>
        <v/>
      </c>
      <c r="C167">
        <f>CurrentPositions!C157</f>
        <v/>
      </c>
      <c r="D167">
        <f>CurrentPositions!D157</f>
        <v/>
      </c>
      <c r="E167">
        <f>CurrentPositions!E157</f>
        <v/>
      </c>
      <c r="F167">
        <f>IF(B167="BUY",$B$5,IF(B167="SELL",$B$6,""))</f>
        <v/>
      </c>
      <c r="G167">
        <f>IF(B167="BUY",(F167-E167)/Settings!$B$3,IF(B167="SELL",(E167-F167)/Settings!$B$3,0))</f>
        <v/>
      </c>
      <c r="H167">
        <f>G167*D167*Settings!$B$4</f>
        <v/>
      </c>
      <c r="I167">
        <f>CurrentPositions!I157</f>
        <v/>
      </c>
      <c r="J167">
        <f>CurrentPositions!J157</f>
        <v/>
      </c>
      <c r="K167">
        <f>IF(AND(B167="SELL",H167&lt;0),H167,"")</f>
        <v/>
      </c>
      <c r="L167">
        <f>IF(K167&lt;&gt;"",A167,"")</f>
        <v/>
      </c>
    </row>
    <row r="168">
      <c r="A168">
        <f>CurrentPositions!A158</f>
        <v/>
      </c>
      <c r="B168">
        <f>CurrentPositions!B158</f>
        <v/>
      </c>
      <c r="C168">
        <f>CurrentPositions!C158</f>
        <v/>
      </c>
      <c r="D168">
        <f>CurrentPositions!D158</f>
        <v/>
      </c>
      <c r="E168">
        <f>CurrentPositions!E158</f>
        <v/>
      </c>
      <c r="F168">
        <f>IF(B168="BUY",$B$5,IF(B168="SELL",$B$6,""))</f>
        <v/>
      </c>
      <c r="G168">
        <f>IF(B168="BUY",(F168-E168)/Settings!$B$3,IF(B168="SELL",(E168-F168)/Settings!$B$3,0))</f>
        <v/>
      </c>
      <c r="H168">
        <f>G168*D168*Settings!$B$4</f>
        <v/>
      </c>
      <c r="I168">
        <f>CurrentPositions!I158</f>
        <v/>
      </c>
      <c r="J168">
        <f>CurrentPositions!J158</f>
        <v/>
      </c>
      <c r="K168">
        <f>IF(AND(B168="SELL",H168&lt;0),H168,"")</f>
        <v/>
      </c>
      <c r="L168">
        <f>IF(K168&lt;&gt;"",A168,"")</f>
        <v/>
      </c>
    </row>
    <row r="169">
      <c r="A169">
        <f>CurrentPositions!A159</f>
        <v/>
      </c>
      <c r="B169">
        <f>CurrentPositions!B159</f>
        <v/>
      </c>
      <c r="C169">
        <f>CurrentPositions!C159</f>
        <v/>
      </c>
      <c r="D169">
        <f>CurrentPositions!D159</f>
        <v/>
      </c>
      <c r="E169">
        <f>CurrentPositions!E159</f>
        <v/>
      </c>
      <c r="F169">
        <f>IF(B169="BUY",$B$5,IF(B169="SELL",$B$6,""))</f>
        <v/>
      </c>
      <c r="G169">
        <f>IF(B169="BUY",(F169-E169)/Settings!$B$3,IF(B169="SELL",(E169-F169)/Settings!$B$3,0))</f>
        <v/>
      </c>
      <c r="H169">
        <f>G169*D169*Settings!$B$4</f>
        <v/>
      </c>
      <c r="I169">
        <f>CurrentPositions!I159</f>
        <v/>
      </c>
      <c r="J169">
        <f>CurrentPositions!J159</f>
        <v/>
      </c>
      <c r="K169">
        <f>IF(AND(B169="SELL",H169&lt;0),H169,"")</f>
        <v/>
      </c>
      <c r="L169">
        <f>IF(K169&lt;&gt;"",A169,"")</f>
        <v/>
      </c>
    </row>
    <row r="170">
      <c r="A170">
        <f>CurrentPositions!A160</f>
        <v/>
      </c>
      <c r="B170">
        <f>CurrentPositions!B160</f>
        <v/>
      </c>
      <c r="C170">
        <f>CurrentPositions!C160</f>
        <v/>
      </c>
      <c r="D170">
        <f>CurrentPositions!D160</f>
        <v/>
      </c>
      <c r="E170">
        <f>CurrentPositions!E160</f>
        <v/>
      </c>
      <c r="F170">
        <f>IF(B170="BUY",$B$5,IF(B170="SELL",$B$6,""))</f>
        <v/>
      </c>
      <c r="G170">
        <f>IF(B170="BUY",(F170-E170)/Settings!$B$3,IF(B170="SELL",(E170-F170)/Settings!$B$3,0))</f>
        <v/>
      </c>
      <c r="H170">
        <f>G170*D170*Settings!$B$4</f>
        <v/>
      </c>
      <c r="I170">
        <f>CurrentPositions!I160</f>
        <v/>
      </c>
      <c r="J170">
        <f>CurrentPositions!J160</f>
        <v/>
      </c>
      <c r="K170">
        <f>IF(AND(B170="SELL",H170&lt;0),H170,"")</f>
        <v/>
      </c>
      <c r="L170">
        <f>IF(K170&lt;&gt;"",A170,"")</f>
        <v/>
      </c>
    </row>
    <row r="171">
      <c r="A171">
        <f>CurrentPositions!A161</f>
        <v/>
      </c>
      <c r="B171">
        <f>CurrentPositions!B161</f>
        <v/>
      </c>
      <c r="C171">
        <f>CurrentPositions!C161</f>
        <v/>
      </c>
      <c r="D171">
        <f>CurrentPositions!D161</f>
        <v/>
      </c>
      <c r="E171">
        <f>CurrentPositions!E161</f>
        <v/>
      </c>
      <c r="F171">
        <f>IF(B171="BUY",$B$5,IF(B171="SELL",$B$6,""))</f>
        <v/>
      </c>
      <c r="G171">
        <f>IF(B171="BUY",(F171-E171)/Settings!$B$3,IF(B171="SELL",(E171-F171)/Settings!$B$3,0))</f>
        <v/>
      </c>
      <c r="H171">
        <f>G171*D171*Settings!$B$4</f>
        <v/>
      </c>
      <c r="I171">
        <f>CurrentPositions!I161</f>
        <v/>
      </c>
      <c r="J171">
        <f>CurrentPositions!J161</f>
        <v/>
      </c>
      <c r="K171">
        <f>IF(AND(B171="SELL",H171&lt;0),H171,"")</f>
        <v/>
      </c>
      <c r="L171">
        <f>IF(K171&lt;&gt;"",A171,"")</f>
        <v/>
      </c>
    </row>
    <row r="172">
      <c r="A172">
        <f>CurrentPositions!A162</f>
        <v/>
      </c>
      <c r="B172">
        <f>CurrentPositions!B162</f>
        <v/>
      </c>
      <c r="C172">
        <f>CurrentPositions!C162</f>
        <v/>
      </c>
      <c r="D172">
        <f>CurrentPositions!D162</f>
        <v/>
      </c>
      <c r="E172">
        <f>CurrentPositions!E162</f>
        <v/>
      </c>
      <c r="F172">
        <f>IF(B172="BUY",$B$5,IF(B172="SELL",$B$6,""))</f>
        <v/>
      </c>
      <c r="G172">
        <f>IF(B172="BUY",(F172-E172)/Settings!$B$3,IF(B172="SELL",(E172-F172)/Settings!$B$3,0))</f>
        <v/>
      </c>
      <c r="H172">
        <f>G172*D172*Settings!$B$4</f>
        <v/>
      </c>
      <c r="I172">
        <f>CurrentPositions!I162</f>
        <v/>
      </c>
      <c r="J172">
        <f>CurrentPositions!J162</f>
        <v/>
      </c>
      <c r="K172">
        <f>IF(AND(B172="SELL",H172&lt;0),H172,"")</f>
        <v/>
      </c>
      <c r="L172">
        <f>IF(K172&lt;&gt;"",A172,"")</f>
        <v/>
      </c>
    </row>
    <row r="173">
      <c r="A173">
        <f>CurrentPositions!A163</f>
        <v/>
      </c>
      <c r="B173">
        <f>CurrentPositions!B163</f>
        <v/>
      </c>
      <c r="C173">
        <f>CurrentPositions!C163</f>
        <v/>
      </c>
      <c r="D173">
        <f>CurrentPositions!D163</f>
        <v/>
      </c>
      <c r="E173">
        <f>CurrentPositions!E163</f>
        <v/>
      </c>
      <c r="F173">
        <f>IF(B173="BUY",$B$5,IF(B173="SELL",$B$6,""))</f>
        <v/>
      </c>
      <c r="G173">
        <f>IF(B173="BUY",(F173-E173)/Settings!$B$3,IF(B173="SELL",(E173-F173)/Settings!$B$3,0))</f>
        <v/>
      </c>
      <c r="H173">
        <f>G173*D173*Settings!$B$4</f>
        <v/>
      </c>
      <c r="I173">
        <f>CurrentPositions!I163</f>
        <v/>
      </c>
      <c r="J173">
        <f>CurrentPositions!J163</f>
        <v/>
      </c>
      <c r="K173">
        <f>IF(AND(B173="SELL",H173&lt;0),H173,"")</f>
        <v/>
      </c>
      <c r="L173">
        <f>IF(K173&lt;&gt;"",A173,"")</f>
        <v/>
      </c>
    </row>
    <row r="174">
      <c r="A174">
        <f>CurrentPositions!A164</f>
        <v/>
      </c>
      <c r="B174">
        <f>CurrentPositions!B164</f>
        <v/>
      </c>
      <c r="C174">
        <f>CurrentPositions!C164</f>
        <v/>
      </c>
      <c r="D174">
        <f>CurrentPositions!D164</f>
        <v/>
      </c>
      <c r="E174">
        <f>CurrentPositions!E164</f>
        <v/>
      </c>
      <c r="F174">
        <f>IF(B174="BUY",$B$5,IF(B174="SELL",$B$6,""))</f>
        <v/>
      </c>
      <c r="G174">
        <f>IF(B174="BUY",(F174-E174)/Settings!$B$3,IF(B174="SELL",(E174-F174)/Settings!$B$3,0))</f>
        <v/>
      </c>
      <c r="H174">
        <f>G174*D174*Settings!$B$4</f>
        <v/>
      </c>
      <c r="I174">
        <f>CurrentPositions!I164</f>
        <v/>
      </c>
      <c r="J174">
        <f>CurrentPositions!J164</f>
        <v/>
      </c>
      <c r="K174">
        <f>IF(AND(B174="SELL",H174&lt;0),H174,"")</f>
        <v/>
      </c>
      <c r="L174">
        <f>IF(K174&lt;&gt;"",A174,"")</f>
        <v/>
      </c>
    </row>
    <row r="175">
      <c r="A175">
        <f>CurrentPositions!A165</f>
        <v/>
      </c>
      <c r="B175">
        <f>CurrentPositions!B165</f>
        <v/>
      </c>
      <c r="C175">
        <f>CurrentPositions!C165</f>
        <v/>
      </c>
      <c r="D175">
        <f>CurrentPositions!D165</f>
        <v/>
      </c>
      <c r="E175">
        <f>CurrentPositions!E165</f>
        <v/>
      </c>
      <c r="F175">
        <f>IF(B175="BUY",$B$5,IF(B175="SELL",$B$6,""))</f>
        <v/>
      </c>
      <c r="G175">
        <f>IF(B175="BUY",(F175-E175)/Settings!$B$3,IF(B175="SELL",(E175-F175)/Settings!$B$3,0))</f>
        <v/>
      </c>
      <c r="H175">
        <f>G175*D175*Settings!$B$4</f>
        <v/>
      </c>
      <c r="I175">
        <f>CurrentPositions!I165</f>
        <v/>
      </c>
      <c r="J175">
        <f>CurrentPositions!J165</f>
        <v/>
      </c>
      <c r="K175">
        <f>IF(AND(B175="SELL",H175&lt;0),H175,"")</f>
        <v/>
      </c>
      <c r="L175">
        <f>IF(K175&lt;&gt;"",A175,"")</f>
        <v/>
      </c>
    </row>
    <row r="176">
      <c r="A176">
        <f>CurrentPositions!A166</f>
        <v/>
      </c>
      <c r="B176">
        <f>CurrentPositions!B166</f>
        <v/>
      </c>
      <c r="C176">
        <f>CurrentPositions!C166</f>
        <v/>
      </c>
      <c r="D176">
        <f>CurrentPositions!D166</f>
        <v/>
      </c>
      <c r="E176">
        <f>CurrentPositions!E166</f>
        <v/>
      </c>
      <c r="F176">
        <f>IF(B176="BUY",$B$5,IF(B176="SELL",$B$6,""))</f>
        <v/>
      </c>
      <c r="G176">
        <f>IF(B176="BUY",(F176-E176)/Settings!$B$3,IF(B176="SELL",(E176-F176)/Settings!$B$3,0))</f>
        <v/>
      </c>
      <c r="H176">
        <f>G176*D176*Settings!$B$4</f>
        <v/>
      </c>
      <c r="I176">
        <f>CurrentPositions!I166</f>
        <v/>
      </c>
      <c r="J176">
        <f>CurrentPositions!J166</f>
        <v/>
      </c>
      <c r="K176">
        <f>IF(AND(B176="SELL",H176&lt;0),H176,"")</f>
        <v/>
      </c>
      <c r="L176">
        <f>IF(K176&lt;&gt;"",A176,"")</f>
        <v/>
      </c>
    </row>
    <row r="177">
      <c r="A177">
        <f>CurrentPositions!A167</f>
        <v/>
      </c>
      <c r="B177">
        <f>CurrentPositions!B167</f>
        <v/>
      </c>
      <c r="C177">
        <f>CurrentPositions!C167</f>
        <v/>
      </c>
      <c r="D177">
        <f>CurrentPositions!D167</f>
        <v/>
      </c>
      <c r="E177">
        <f>CurrentPositions!E167</f>
        <v/>
      </c>
      <c r="F177">
        <f>IF(B177="BUY",$B$5,IF(B177="SELL",$B$6,""))</f>
        <v/>
      </c>
      <c r="G177">
        <f>IF(B177="BUY",(F177-E177)/Settings!$B$3,IF(B177="SELL",(E177-F177)/Settings!$B$3,0))</f>
        <v/>
      </c>
      <c r="H177">
        <f>G177*D177*Settings!$B$4</f>
        <v/>
      </c>
      <c r="I177">
        <f>CurrentPositions!I167</f>
        <v/>
      </c>
      <c r="J177">
        <f>CurrentPositions!J167</f>
        <v/>
      </c>
      <c r="K177">
        <f>IF(AND(B177="SELL",H177&lt;0),H177,"")</f>
        <v/>
      </c>
      <c r="L177">
        <f>IF(K177&lt;&gt;"",A177,"")</f>
        <v/>
      </c>
    </row>
    <row r="178">
      <c r="A178">
        <f>CurrentPositions!A168</f>
        <v/>
      </c>
      <c r="B178">
        <f>CurrentPositions!B168</f>
        <v/>
      </c>
      <c r="C178">
        <f>CurrentPositions!C168</f>
        <v/>
      </c>
      <c r="D178">
        <f>CurrentPositions!D168</f>
        <v/>
      </c>
      <c r="E178">
        <f>CurrentPositions!E168</f>
        <v/>
      </c>
      <c r="F178">
        <f>IF(B178="BUY",$B$5,IF(B178="SELL",$B$6,""))</f>
        <v/>
      </c>
      <c r="G178">
        <f>IF(B178="BUY",(F178-E178)/Settings!$B$3,IF(B178="SELL",(E178-F178)/Settings!$B$3,0))</f>
        <v/>
      </c>
      <c r="H178">
        <f>G178*D178*Settings!$B$4</f>
        <v/>
      </c>
      <c r="I178">
        <f>CurrentPositions!I168</f>
        <v/>
      </c>
      <c r="J178">
        <f>CurrentPositions!J168</f>
        <v/>
      </c>
      <c r="K178">
        <f>IF(AND(B178="SELL",H178&lt;0),H178,"")</f>
        <v/>
      </c>
      <c r="L178">
        <f>IF(K178&lt;&gt;"",A178,"")</f>
        <v/>
      </c>
    </row>
    <row r="179">
      <c r="A179">
        <f>CurrentPositions!A169</f>
        <v/>
      </c>
      <c r="B179">
        <f>CurrentPositions!B169</f>
        <v/>
      </c>
      <c r="C179">
        <f>CurrentPositions!C169</f>
        <v/>
      </c>
      <c r="D179">
        <f>CurrentPositions!D169</f>
        <v/>
      </c>
      <c r="E179">
        <f>CurrentPositions!E169</f>
        <v/>
      </c>
      <c r="F179">
        <f>IF(B179="BUY",$B$5,IF(B179="SELL",$B$6,""))</f>
        <v/>
      </c>
      <c r="G179">
        <f>IF(B179="BUY",(F179-E179)/Settings!$B$3,IF(B179="SELL",(E179-F179)/Settings!$B$3,0))</f>
        <v/>
      </c>
      <c r="H179">
        <f>G179*D179*Settings!$B$4</f>
        <v/>
      </c>
      <c r="I179">
        <f>CurrentPositions!I169</f>
        <v/>
      </c>
      <c r="J179">
        <f>CurrentPositions!J169</f>
        <v/>
      </c>
      <c r="K179">
        <f>IF(AND(B179="SELL",H179&lt;0),H179,"")</f>
        <v/>
      </c>
      <c r="L179">
        <f>IF(K179&lt;&gt;"",A179,"")</f>
        <v/>
      </c>
    </row>
    <row r="180">
      <c r="A180">
        <f>CurrentPositions!A170</f>
        <v/>
      </c>
      <c r="B180">
        <f>CurrentPositions!B170</f>
        <v/>
      </c>
      <c r="C180">
        <f>CurrentPositions!C170</f>
        <v/>
      </c>
      <c r="D180">
        <f>CurrentPositions!D170</f>
        <v/>
      </c>
      <c r="E180">
        <f>CurrentPositions!E170</f>
        <v/>
      </c>
      <c r="F180">
        <f>IF(B180="BUY",$B$5,IF(B180="SELL",$B$6,""))</f>
        <v/>
      </c>
      <c r="G180">
        <f>IF(B180="BUY",(F180-E180)/Settings!$B$3,IF(B180="SELL",(E180-F180)/Settings!$B$3,0))</f>
        <v/>
      </c>
      <c r="H180">
        <f>G180*D180*Settings!$B$4</f>
        <v/>
      </c>
      <c r="I180">
        <f>CurrentPositions!I170</f>
        <v/>
      </c>
      <c r="J180">
        <f>CurrentPositions!J170</f>
        <v/>
      </c>
      <c r="K180">
        <f>IF(AND(B180="SELL",H180&lt;0),H180,"")</f>
        <v/>
      </c>
      <c r="L180">
        <f>IF(K180&lt;&gt;"",A180,"")</f>
        <v/>
      </c>
    </row>
    <row r="181">
      <c r="A181">
        <f>CurrentPositions!A171</f>
        <v/>
      </c>
      <c r="B181">
        <f>CurrentPositions!B171</f>
        <v/>
      </c>
      <c r="C181">
        <f>CurrentPositions!C171</f>
        <v/>
      </c>
      <c r="D181">
        <f>CurrentPositions!D171</f>
        <v/>
      </c>
      <c r="E181">
        <f>CurrentPositions!E171</f>
        <v/>
      </c>
      <c r="F181">
        <f>IF(B181="BUY",$B$5,IF(B181="SELL",$B$6,""))</f>
        <v/>
      </c>
      <c r="G181">
        <f>IF(B181="BUY",(F181-E181)/Settings!$B$3,IF(B181="SELL",(E181-F181)/Settings!$B$3,0))</f>
        <v/>
      </c>
      <c r="H181">
        <f>G181*D181*Settings!$B$4</f>
        <v/>
      </c>
      <c r="I181">
        <f>CurrentPositions!I171</f>
        <v/>
      </c>
      <c r="J181">
        <f>CurrentPositions!J171</f>
        <v/>
      </c>
      <c r="K181">
        <f>IF(AND(B181="SELL",H181&lt;0),H181,"")</f>
        <v/>
      </c>
      <c r="L181">
        <f>IF(K181&lt;&gt;"",A181,"")</f>
        <v/>
      </c>
    </row>
    <row r="182">
      <c r="A182">
        <f>CurrentPositions!A172</f>
        <v/>
      </c>
      <c r="B182">
        <f>CurrentPositions!B172</f>
        <v/>
      </c>
      <c r="C182">
        <f>CurrentPositions!C172</f>
        <v/>
      </c>
      <c r="D182">
        <f>CurrentPositions!D172</f>
        <v/>
      </c>
      <c r="E182">
        <f>CurrentPositions!E172</f>
        <v/>
      </c>
      <c r="F182">
        <f>IF(B182="BUY",$B$5,IF(B182="SELL",$B$6,""))</f>
        <v/>
      </c>
      <c r="G182">
        <f>IF(B182="BUY",(F182-E182)/Settings!$B$3,IF(B182="SELL",(E182-F182)/Settings!$B$3,0))</f>
        <v/>
      </c>
      <c r="H182">
        <f>G182*D182*Settings!$B$4</f>
        <v/>
      </c>
      <c r="I182">
        <f>CurrentPositions!I172</f>
        <v/>
      </c>
      <c r="J182">
        <f>CurrentPositions!J172</f>
        <v/>
      </c>
      <c r="K182">
        <f>IF(AND(B182="SELL",H182&lt;0),H182,"")</f>
        <v/>
      </c>
      <c r="L182">
        <f>IF(K182&lt;&gt;"",A182,"")</f>
        <v/>
      </c>
    </row>
    <row r="183">
      <c r="A183">
        <f>CurrentPositions!A173</f>
        <v/>
      </c>
      <c r="B183">
        <f>CurrentPositions!B173</f>
        <v/>
      </c>
      <c r="C183">
        <f>CurrentPositions!C173</f>
        <v/>
      </c>
      <c r="D183">
        <f>CurrentPositions!D173</f>
        <v/>
      </c>
      <c r="E183">
        <f>CurrentPositions!E173</f>
        <v/>
      </c>
      <c r="F183">
        <f>IF(B183="BUY",$B$5,IF(B183="SELL",$B$6,""))</f>
        <v/>
      </c>
      <c r="G183">
        <f>IF(B183="BUY",(F183-E183)/Settings!$B$3,IF(B183="SELL",(E183-F183)/Settings!$B$3,0))</f>
        <v/>
      </c>
      <c r="H183">
        <f>G183*D183*Settings!$B$4</f>
        <v/>
      </c>
      <c r="I183">
        <f>CurrentPositions!I173</f>
        <v/>
      </c>
      <c r="J183">
        <f>CurrentPositions!J173</f>
        <v/>
      </c>
      <c r="K183">
        <f>IF(AND(B183="SELL",H183&lt;0),H183,"")</f>
        <v/>
      </c>
      <c r="L183">
        <f>IF(K183&lt;&gt;"",A183,"")</f>
        <v/>
      </c>
    </row>
    <row r="184">
      <c r="A184">
        <f>CurrentPositions!A174</f>
        <v/>
      </c>
      <c r="B184">
        <f>CurrentPositions!B174</f>
        <v/>
      </c>
      <c r="C184">
        <f>CurrentPositions!C174</f>
        <v/>
      </c>
      <c r="D184">
        <f>CurrentPositions!D174</f>
        <v/>
      </c>
      <c r="E184">
        <f>CurrentPositions!E174</f>
        <v/>
      </c>
      <c r="F184">
        <f>IF(B184="BUY",$B$5,IF(B184="SELL",$B$6,""))</f>
        <v/>
      </c>
      <c r="G184">
        <f>IF(B184="BUY",(F184-E184)/Settings!$B$3,IF(B184="SELL",(E184-F184)/Settings!$B$3,0))</f>
        <v/>
      </c>
      <c r="H184">
        <f>G184*D184*Settings!$B$4</f>
        <v/>
      </c>
      <c r="I184">
        <f>CurrentPositions!I174</f>
        <v/>
      </c>
      <c r="J184">
        <f>CurrentPositions!J174</f>
        <v/>
      </c>
      <c r="K184">
        <f>IF(AND(B184="SELL",H184&lt;0),H184,"")</f>
        <v/>
      </c>
      <c r="L184">
        <f>IF(K184&lt;&gt;"",A184,"")</f>
        <v/>
      </c>
    </row>
    <row r="185">
      <c r="A185">
        <f>CurrentPositions!A175</f>
        <v/>
      </c>
      <c r="B185">
        <f>CurrentPositions!B175</f>
        <v/>
      </c>
      <c r="C185">
        <f>CurrentPositions!C175</f>
        <v/>
      </c>
      <c r="D185">
        <f>CurrentPositions!D175</f>
        <v/>
      </c>
      <c r="E185">
        <f>CurrentPositions!E175</f>
        <v/>
      </c>
      <c r="F185">
        <f>IF(B185="BUY",$B$5,IF(B185="SELL",$B$6,""))</f>
        <v/>
      </c>
      <c r="G185">
        <f>IF(B185="BUY",(F185-E185)/Settings!$B$3,IF(B185="SELL",(E185-F185)/Settings!$B$3,0))</f>
        <v/>
      </c>
      <c r="H185">
        <f>G185*D185*Settings!$B$4</f>
        <v/>
      </c>
      <c r="I185">
        <f>CurrentPositions!I175</f>
        <v/>
      </c>
      <c r="J185">
        <f>CurrentPositions!J175</f>
        <v/>
      </c>
      <c r="K185">
        <f>IF(AND(B185="SELL",H185&lt;0),H185,"")</f>
        <v/>
      </c>
      <c r="L185">
        <f>IF(K185&lt;&gt;"",A185,"")</f>
        <v/>
      </c>
    </row>
    <row r="186">
      <c r="A186">
        <f>CurrentPositions!A176</f>
        <v/>
      </c>
      <c r="B186">
        <f>CurrentPositions!B176</f>
        <v/>
      </c>
      <c r="C186">
        <f>CurrentPositions!C176</f>
        <v/>
      </c>
      <c r="D186">
        <f>CurrentPositions!D176</f>
        <v/>
      </c>
      <c r="E186">
        <f>CurrentPositions!E176</f>
        <v/>
      </c>
      <c r="F186">
        <f>IF(B186="BUY",$B$5,IF(B186="SELL",$B$6,""))</f>
        <v/>
      </c>
      <c r="G186">
        <f>IF(B186="BUY",(F186-E186)/Settings!$B$3,IF(B186="SELL",(E186-F186)/Settings!$B$3,0))</f>
        <v/>
      </c>
      <c r="H186">
        <f>G186*D186*Settings!$B$4</f>
        <v/>
      </c>
      <c r="I186">
        <f>CurrentPositions!I176</f>
        <v/>
      </c>
      <c r="J186">
        <f>CurrentPositions!J176</f>
        <v/>
      </c>
      <c r="K186">
        <f>IF(AND(B186="SELL",H186&lt;0),H186,"")</f>
        <v/>
      </c>
      <c r="L186">
        <f>IF(K186&lt;&gt;"",A186,"")</f>
        <v/>
      </c>
    </row>
    <row r="187">
      <c r="A187">
        <f>CurrentPositions!A177</f>
        <v/>
      </c>
      <c r="B187">
        <f>CurrentPositions!B177</f>
        <v/>
      </c>
      <c r="C187">
        <f>CurrentPositions!C177</f>
        <v/>
      </c>
      <c r="D187">
        <f>CurrentPositions!D177</f>
        <v/>
      </c>
      <c r="E187">
        <f>CurrentPositions!E177</f>
        <v/>
      </c>
      <c r="F187">
        <f>IF(B187="BUY",$B$5,IF(B187="SELL",$B$6,""))</f>
        <v/>
      </c>
      <c r="G187">
        <f>IF(B187="BUY",(F187-E187)/Settings!$B$3,IF(B187="SELL",(E187-F187)/Settings!$B$3,0))</f>
        <v/>
      </c>
      <c r="H187">
        <f>G187*D187*Settings!$B$4</f>
        <v/>
      </c>
      <c r="I187">
        <f>CurrentPositions!I177</f>
        <v/>
      </c>
      <c r="J187">
        <f>CurrentPositions!J177</f>
        <v/>
      </c>
      <c r="K187">
        <f>IF(AND(B187="SELL",H187&lt;0),H187,"")</f>
        <v/>
      </c>
      <c r="L187">
        <f>IF(K187&lt;&gt;"",A187,"")</f>
        <v/>
      </c>
    </row>
    <row r="188">
      <c r="A188">
        <f>CurrentPositions!A178</f>
        <v/>
      </c>
      <c r="B188">
        <f>CurrentPositions!B178</f>
        <v/>
      </c>
      <c r="C188">
        <f>CurrentPositions!C178</f>
        <v/>
      </c>
      <c r="D188">
        <f>CurrentPositions!D178</f>
        <v/>
      </c>
      <c r="E188">
        <f>CurrentPositions!E178</f>
        <v/>
      </c>
      <c r="F188">
        <f>IF(B188="BUY",$B$5,IF(B188="SELL",$B$6,""))</f>
        <v/>
      </c>
      <c r="G188">
        <f>IF(B188="BUY",(F188-E188)/Settings!$B$3,IF(B188="SELL",(E188-F188)/Settings!$B$3,0))</f>
        <v/>
      </c>
      <c r="H188">
        <f>G188*D188*Settings!$B$4</f>
        <v/>
      </c>
      <c r="I188">
        <f>CurrentPositions!I178</f>
        <v/>
      </c>
      <c r="J188">
        <f>CurrentPositions!J178</f>
        <v/>
      </c>
      <c r="K188">
        <f>IF(AND(B188="SELL",H188&lt;0),H188,"")</f>
        <v/>
      </c>
      <c r="L188">
        <f>IF(K188&lt;&gt;"",A188,"")</f>
        <v/>
      </c>
    </row>
    <row r="189">
      <c r="A189">
        <f>CurrentPositions!A179</f>
        <v/>
      </c>
      <c r="B189">
        <f>CurrentPositions!B179</f>
        <v/>
      </c>
      <c r="C189">
        <f>CurrentPositions!C179</f>
        <v/>
      </c>
      <c r="D189">
        <f>CurrentPositions!D179</f>
        <v/>
      </c>
      <c r="E189">
        <f>CurrentPositions!E179</f>
        <v/>
      </c>
      <c r="F189">
        <f>IF(B189="BUY",$B$5,IF(B189="SELL",$B$6,""))</f>
        <v/>
      </c>
      <c r="G189">
        <f>IF(B189="BUY",(F189-E189)/Settings!$B$3,IF(B189="SELL",(E189-F189)/Settings!$B$3,0))</f>
        <v/>
      </c>
      <c r="H189">
        <f>G189*D189*Settings!$B$4</f>
        <v/>
      </c>
      <c r="I189">
        <f>CurrentPositions!I179</f>
        <v/>
      </c>
      <c r="J189">
        <f>CurrentPositions!J179</f>
        <v/>
      </c>
      <c r="K189">
        <f>IF(AND(B189="SELL",H189&lt;0),H189,"")</f>
        <v/>
      </c>
      <c r="L189">
        <f>IF(K189&lt;&gt;"",A189,"")</f>
        <v/>
      </c>
    </row>
    <row r="190">
      <c r="A190">
        <f>CurrentPositions!A180</f>
        <v/>
      </c>
      <c r="B190">
        <f>CurrentPositions!B180</f>
        <v/>
      </c>
      <c r="C190">
        <f>CurrentPositions!C180</f>
        <v/>
      </c>
      <c r="D190">
        <f>CurrentPositions!D180</f>
        <v/>
      </c>
      <c r="E190">
        <f>CurrentPositions!E180</f>
        <v/>
      </c>
      <c r="F190">
        <f>IF(B190="BUY",$B$5,IF(B190="SELL",$B$6,""))</f>
        <v/>
      </c>
      <c r="G190">
        <f>IF(B190="BUY",(F190-E190)/Settings!$B$3,IF(B190="SELL",(E190-F190)/Settings!$B$3,0))</f>
        <v/>
      </c>
      <c r="H190">
        <f>G190*D190*Settings!$B$4</f>
        <v/>
      </c>
      <c r="I190">
        <f>CurrentPositions!I180</f>
        <v/>
      </c>
      <c r="J190">
        <f>CurrentPositions!J180</f>
        <v/>
      </c>
      <c r="K190">
        <f>IF(AND(B190="SELL",H190&lt;0),H190,"")</f>
        <v/>
      </c>
      <c r="L190">
        <f>IF(K190&lt;&gt;"",A190,"")</f>
        <v/>
      </c>
    </row>
    <row r="191">
      <c r="A191">
        <f>CurrentPositions!A181</f>
        <v/>
      </c>
      <c r="B191">
        <f>CurrentPositions!B181</f>
        <v/>
      </c>
      <c r="C191">
        <f>CurrentPositions!C181</f>
        <v/>
      </c>
      <c r="D191">
        <f>CurrentPositions!D181</f>
        <v/>
      </c>
      <c r="E191">
        <f>CurrentPositions!E181</f>
        <v/>
      </c>
      <c r="F191">
        <f>IF(B191="BUY",$B$5,IF(B191="SELL",$B$6,""))</f>
        <v/>
      </c>
      <c r="G191">
        <f>IF(B191="BUY",(F191-E191)/Settings!$B$3,IF(B191="SELL",(E191-F191)/Settings!$B$3,0))</f>
        <v/>
      </c>
      <c r="H191">
        <f>G191*D191*Settings!$B$4</f>
        <v/>
      </c>
      <c r="I191">
        <f>CurrentPositions!I181</f>
        <v/>
      </c>
      <c r="J191">
        <f>CurrentPositions!J181</f>
        <v/>
      </c>
      <c r="K191">
        <f>IF(AND(B191="SELL",H191&lt;0),H191,"")</f>
        <v/>
      </c>
      <c r="L191">
        <f>IF(K191&lt;&gt;"",A191,"")</f>
        <v/>
      </c>
    </row>
    <row r="192">
      <c r="A192">
        <f>CurrentPositions!A182</f>
        <v/>
      </c>
      <c r="B192">
        <f>CurrentPositions!B182</f>
        <v/>
      </c>
      <c r="C192">
        <f>CurrentPositions!C182</f>
        <v/>
      </c>
      <c r="D192">
        <f>CurrentPositions!D182</f>
        <v/>
      </c>
      <c r="E192">
        <f>CurrentPositions!E182</f>
        <v/>
      </c>
      <c r="F192">
        <f>IF(B192="BUY",$B$5,IF(B192="SELL",$B$6,""))</f>
        <v/>
      </c>
      <c r="G192">
        <f>IF(B192="BUY",(F192-E192)/Settings!$B$3,IF(B192="SELL",(E192-F192)/Settings!$B$3,0))</f>
        <v/>
      </c>
      <c r="H192">
        <f>G192*D192*Settings!$B$4</f>
        <v/>
      </c>
      <c r="I192">
        <f>CurrentPositions!I182</f>
        <v/>
      </c>
      <c r="J192">
        <f>CurrentPositions!J182</f>
        <v/>
      </c>
      <c r="K192">
        <f>IF(AND(B192="SELL",H192&lt;0),H192,"")</f>
        <v/>
      </c>
      <c r="L192">
        <f>IF(K192&lt;&gt;"",A192,"")</f>
        <v/>
      </c>
    </row>
    <row r="193">
      <c r="A193">
        <f>CurrentPositions!A183</f>
        <v/>
      </c>
      <c r="B193">
        <f>CurrentPositions!B183</f>
        <v/>
      </c>
      <c r="C193">
        <f>CurrentPositions!C183</f>
        <v/>
      </c>
      <c r="D193">
        <f>CurrentPositions!D183</f>
        <v/>
      </c>
      <c r="E193">
        <f>CurrentPositions!E183</f>
        <v/>
      </c>
      <c r="F193">
        <f>IF(B193="BUY",$B$5,IF(B193="SELL",$B$6,""))</f>
        <v/>
      </c>
      <c r="G193">
        <f>IF(B193="BUY",(F193-E193)/Settings!$B$3,IF(B193="SELL",(E193-F193)/Settings!$B$3,0))</f>
        <v/>
      </c>
      <c r="H193">
        <f>G193*D193*Settings!$B$4</f>
        <v/>
      </c>
      <c r="I193">
        <f>CurrentPositions!I183</f>
        <v/>
      </c>
      <c r="J193">
        <f>CurrentPositions!J183</f>
        <v/>
      </c>
      <c r="K193">
        <f>IF(AND(B193="SELL",H193&lt;0),H193,"")</f>
        <v/>
      </c>
      <c r="L193">
        <f>IF(K193&lt;&gt;"",A193,"")</f>
        <v/>
      </c>
    </row>
    <row r="194">
      <c r="A194">
        <f>CurrentPositions!A184</f>
        <v/>
      </c>
      <c r="B194">
        <f>CurrentPositions!B184</f>
        <v/>
      </c>
      <c r="C194">
        <f>CurrentPositions!C184</f>
        <v/>
      </c>
      <c r="D194">
        <f>CurrentPositions!D184</f>
        <v/>
      </c>
      <c r="E194">
        <f>CurrentPositions!E184</f>
        <v/>
      </c>
      <c r="F194">
        <f>IF(B194="BUY",$B$5,IF(B194="SELL",$B$6,""))</f>
        <v/>
      </c>
      <c r="G194">
        <f>IF(B194="BUY",(F194-E194)/Settings!$B$3,IF(B194="SELL",(E194-F194)/Settings!$B$3,0))</f>
        <v/>
      </c>
      <c r="H194">
        <f>G194*D194*Settings!$B$4</f>
        <v/>
      </c>
      <c r="I194">
        <f>CurrentPositions!I184</f>
        <v/>
      </c>
      <c r="J194">
        <f>CurrentPositions!J184</f>
        <v/>
      </c>
      <c r="K194">
        <f>IF(AND(B194="SELL",H194&lt;0),H194,"")</f>
        <v/>
      </c>
      <c r="L194">
        <f>IF(K194&lt;&gt;"",A194,"")</f>
        <v/>
      </c>
    </row>
    <row r="195">
      <c r="A195">
        <f>CurrentPositions!A185</f>
        <v/>
      </c>
      <c r="B195">
        <f>CurrentPositions!B185</f>
        <v/>
      </c>
      <c r="C195">
        <f>CurrentPositions!C185</f>
        <v/>
      </c>
      <c r="D195">
        <f>CurrentPositions!D185</f>
        <v/>
      </c>
      <c r="E195">
        <f>CurrentPositions!E185</f>
        <v/>
      </c>
      <c r="F195">
        <f>IF(B195="BUY",$B$5,IF(B195="SELL",$B$6,""))</f>
        <v/>
      </c>
      <c r="G195">
        <f>IF(B195="BUY",(F195-E195)/Settings!$B$3,IF(B195="SELL",(E195-F195)/Settings!$B$3,0))</f>
        <v/>
      </c>
      <c r="H195">
        <f>G195*D195*Settings!$B$4</f>
        <v/>
      </c>
      <c r="I195">
        <f>CurrentPositions!I185</f>
        <v/>
      </c>
      <c r="J195">
        <f>CurrentPositions!J185</f>
        <v/>
      </c>
      <c r="K195">
        <f>IF(AND(B195="SELL",H195&lt;0),H195,"")</f>
        <v/>
      </c>
      <c r="L195">
        <f>IF(K195&lt;&gt;"",A195,"")</f>
        <v/>
      </c>
    </row>
    <row r="196">
      <c r="A196">
        <f>CurrentPositions!A186</f>
        <v/>
      </c>
      <c r="B196">
        <f>CurrentPositions!B186</f>
        <v/>
      </c>
      <c r="C196">
        <f>CurrentPositions!C186</f>
        <v/>
      </c>
      <c r="D196">
        <f>CurrentPositions!D186</f>
        <v/>
      </c>
      <c r="E196">
        <f>CurrentPositions!E186</f>
        <v/>
      </c>
      <c r="F196">
        <f>IF(B196="BUY",$B$5,IF(B196="SELL",$B$6,""))</f>
        <v/>
      </c>
      <c r="G196">
        <f>IF(B196="BUY",(F196-E196)/Settings!$B$3,IF(B196="SELL",(E196-F196)/Settings!$B$3,0))</f>
        <v/>
      </c>
      <c r="H196">
        <f>G196*D196*Settings!$B$4</f>
        <v/>
      </c>
      <c r="I196">
        <f>CurrentPositions!I186</f>
        <v/>
      </c>
      <c r="J196">
        <f>CurrentPositions!J186</f>
        <v/>
      </c>
      <c r="K196">
        <f>IF(AND(B196="SELL",H196&lt;0),H196,"")</f>
        <v/>
      </c>
      <c r="L196">
        <f>IF(K196&lt;&gt;"",A196,"")</f>
        <v/>
      </c>
    </row>
    <row r="197">
      <c r="A197">
        <f>CurrentPositions!A187</f>
        <v/>
      </c>
      <c r="B197">
        <f>CurrentPositions!B187</f>
        <v/>
      </c>
      <c r="C197">
        <f>CurrentPositions!C187</f>
        <v/>
      </c>
      <c r="D197">
        <f>CurrentPositions!D187</f>
        <v/>
      </c>
      <c r="E197">
        <f>CurrentPositions!E187</f>
        <v/>
      </c>
      <c r="F197">
        <f>IF(B197="BUY",$B$5,IF(B197="SELL",$B$6,""))</f>
        <v/>
      </c>
      <c r="G197">
        <f>IF(B197="BUY",(F197-E197)/Settings!$B$3,IF(B197="SELL",(E197-F197)/Settings!$B$3,0))</f>
        <v/>
      </c>
      <c r="H197">
        <f>G197*D197*Settings!$B$4</f>
        <v/>
      </c>
      <c r="I197">
        <f>CurrentPositions!I187</f>
        <v/>
      </c>
      <c r="J197">
        <f>CurrentPositions!J187</f>
        <v/>
      </c>
      <c r="K197">
        <f>IF(AND(B197="SELL",H197&lt;0),H197,"")</f>
        <v/>
      </c>
      <c r="L197">
        <f>IF(K197&lt;&gt;"",A197,"")</f>
        <v/>
      </c>
    </row>
    <row r="198">
      <c r="A198">
        <f>CurrentPositions!A188</f>
        <v/>
      </c>
      <c r="B198">
        <f>CurrentPositions!B188</f>
        <v/>
      </c>
      <c r="C198">
        <f>CurrentPositions!C188</f>
        <v/>
      </c>
      <c r="D198">
        <f>CurrentPositions!D188</f>
        <v/>
      </c>
      <c r="E198">
        <f>CurrentPositions!E188</f>
        <v/>
      </c>
      <c r="F198">
        <f>IF(B198="BUY",$B$5,IF(B198="SELL",$B$6,""))</f>
        <v/>
      </c>
      <c r="G198">
        <f>IF(B198="BUY",(F198-E198)/Settings!$B$3,IF(B198="SELL",(E198-F198)/Settings!$B$3,0))</f>
        <v/>
      </c>
      <c r="H198">
        <f>G198*D198*Settings!$B$4</f>
        <v/>
      </c>
      <c r="I198">
        <f>CurrentPositions!I188</f>
        <v/>
      </c>
      <c r="J198">
        <f>CurrentPositions!J188</f>
        <v/>
      </c>
      <c r="K198">
        <f>IF(AND(B198="SELL",H198&lt;0),H198,"")</f>
        <v/>
      </c>
      <c r="L198">
        <f>IF(K198&lt;&gt;"",A198,"")</f>
        <v/>
      </c>
    </row>
    <row r="199">
      <c r="A199">
        <f>CurrentPositions!A189</f>
        <v/>
      </c>
      <c r="B199">
        <f>CurrentPositions!B189</f>
        <v/>
      </c>
      <c r="C199">
        <f>CurrentPositions!C189</f>
        <v/>
      </c>
      <c r="D199">
        <f>CurrentPositions!D189</f>
        <v/>
      </c>
      <c r="E199">
        <f>CurrentPositions!E189</f>
        <v/>
      </c>
      <c r="F199">
        <f>IF(B199="BUY",$B$5,IF(B199="SELL",$B$6,""))</f>
        <v/>
      </c>
      <c r="G199">
        <f>IF(B199="BUY",(F199-E199)/Settings!$B$3,IF(B199="SELL",(E199-F199)/Settings!$B$3,0))</f>
        <v/>
      </c>
      <c r="H199">
        <f>G199*D199*Settings!$B$4</f>
        <v/>
      </c>
      <c r="I199">
        <f>CurrentPositions!I189</f>
        <v/>
      </c>
      <c r="J199">
        <f>CurrentPositions!J189</f>
        <v/>
      </c>
      <c r="K199">
        <f>IF(AND(B199="SELL",H199&lt;0),H199,"")</f>
        <v/>
      </c>
      <c r="L199">
        <f>IF(K199&lt;&gt;"",A199,"")</f>
        <v/>
      </c>
    </row>
    <row r="200">
      <c r="A200">
        <f>CurrentPositions!A190</f>
        <v/>
      </c>
      <c r="B200">
        <f>CurrentPositions!B190</f>
        <v/>
      </c>
      <c r="C200">
        <f>CurrentPositions!C190</f>
        <v/>
      </c>
      <c r="D200">
        <f>CurrentPositions!D190</f>
        <v/>
      </c>
      <c r="E200">
        <f>CurrentPositions!E190</f>
        <v/>
      </c>
      <c r="F200">
        <f>IF(B200="BUY",$B$5,IF(B200="SELL",$B$6,""))</f>
        <v/>
      </c>
      <c r="G200">
        <f>IF(B200="BUY",(F200-E200)/Settings!$B$3,IF(B200="SELL",(E200-F200)/Settings!$B$3,0))</f>
        <v/>
      </c>
      <c r="H200">
        <f>G200*D200*Settings!$B$4</f>
        <v/>
      </c>
      <c r="I200">
        <f>CurrentPositions!I190</f>
        <v/>
      </c>
      <c r="J200">
        <f>CurrentPositions!J190</f>
        <v/>
      </c>
      <c r="K200">
        <f>IF(AND(B200="SELL",H200&lt;0),H200,"")</f>
        <v/>
      </c>
      <c r="L200">
        <f>IF(K200&lt;&gt;"",A200,"")</f>
        <v/>
      </c>
    </row>
    <row r="201">
      <c r="A201">
        <f>CurrentPositions!A191</f>
        <v/>
      </c>
      <c r="B201">
        <f>CurrentPositions!B191</f>
        <v/>
      </c>
      <c r="C201">
        <f>CurrentPositions!C191</f>
        <v/>
      </c>
      <c r="D201">
        <f>CurrentPositions!D191</f>
        <v/>
      </c>
      <c r="E201">
        <f>CurrentPositions!E191</f>
        <v/>
      </c>
      <c r="F201">
        <f>IF(B201="BUY",$B$5,IF(B201="SELL",$B$6,""))</f>
        <v/>
      </c>
      <c r="G201">
        <f>IF(B201="BUY",(F201-E201)/Settings!$B$3,IF(B201="SELL",(E201-F201)/Settings!$B$3,0))</f>
        <v/>
      </c>
      <c r="H201">
        <f>G201*D201*Settings!$B$4</f>
        <v/>
      </c>
      <c r="I201">
        <f>CurrentPositions!I191</f>
        <v/>
      </c>
      <c r="J201">
        <f>CurrentPositions!J191</f>
        <v/>
      </c>
      <c r="K201">
        <f>IF(AND(B201="SELL",H201&lt;0),H201,"")</f>
        <v/>
      </c>
      <c r="L201">
        <f>IF(K201&lt;&gt;"",A201,"")</f>
        <v/>
      </c>
    </row>
    <row r="202">
      <c r="A202">
        <f>CurrentPositions!A192</f>
        <v/>
      </c>
      <c r="B202">
        <f>CurrentPositions!B192</f>
        <v/>
      </c>
      <c r="C202">
        <f>CurrentPositions!C192</f>
        <v/>
      </c>
      <c r="D202">
        <f>CurrentPositions!D192</f>
        <v/>
      </c>
      <c r="E202">
        <f>CurrentPositions!E192</f>
        <v/>
      </c>
      <c r="F202">
        <f>IF(B202="BUY",$B$5,IF(B202="SELL",$B$6,""))</f>
        <v/>
      </c>
      <c r="G202">
        <f>IF(B202="BUY",(F202-E202)/Settings!$B$3,IF(B202="SELL",(E202-F202)/Settings!$B$3,0))</f>
        <v/>
      </c>
      <c r="H202">
        <f>G202*D202*Settings!$B$4</f>
        <v/>
      </c>
      <c r="I202">
        <f>CurrentPositions!I192</f>
        <v/>
      </c>
      <c r="J202">
        <f>CurrentPositions!J192</f>
        <v/>
      </c>
      <c r="K202">
        <f>IF(AND(B202="SELL",H202&lt;0),H202,"")</f>
        <v/>
      </c>
      <c r="L202">
        <f>IF(K202&lt;&gt;"",A202,"")</f>
        <v/>
      </c>
    </row>
    <row r="203">
      <c r="A203">
        <f>CurrentPositions!A193</f>
        <v/>
      </c>
      <c r="B203">
        <f>CurrentPositions!B193</f>
        <v/>
      </c>
      <c r="C203">
        <f>CurrentPositions!C193</f>
        <v/>
      </c>
      <c r="D203">
        <f>CurrentPositions!D193</f>
        <v/>
      </c>
      <c r="E203">
        <f>CurrentPositions!E193</f>
        <v/>
      </c>
      <c r="F203">
        <f>IF(B203="BUY",$B$5,IF(B203="SELL",$B$6,""))</f>
        <v/>
      </c>
      <c r="G203">
        <f>IF(B203="BUY",(F203-E203)/Settings!$B$3,IF(B203="SELL",(E203-F203)/Settings!$B$3,0))</f>
        <v/>
      </c>
      <c r="H203">
        <f>G203*D203*Settings!$B$4</f>
        <v/>
      </c>
      <c r="I203">
        <f>CurrentPositions!I193</f>
        <v/>
      </c>
      <c r="J203">
        <f>CurrentPositions!J193</f>
        <v/>
      </c>
      <c r="K203">
        <f>IF(AND(B203="SELL",H203&lt;0),H203,"")</f>
        <v/>
      </c>
      <c r="L203">
        <f>IF(K203&lt;&gt;"",A203,"")</f>
        <v/>
      </c>
    </row>
    <row r="204">
      <c r="A204">
        <f>CurrentPositions!A194</f>
        <v/>
      </c>
      <c r="B204">
        <f>CurrentPositions!B194</f>
        <v/>
      </c>
      <c r="C204">
        <f>CurrentPositions!C194</f>
        <v/>
      </c>
      <c r="D204">
        <f>CurrentPositions!D194</f>
        <v/>
      </c>
      <c r="E204">
        <f>CurrentPositions!E194</f>
        <v/>
      </c>
      <c r="F204">
        <f>IF(B204="BUY",$B$5,IF(B204="SELL",$B$6,""))</f>
        <v/>
      </c>
      <c r="G204">
        <f>IF(B204="BUY",(F204-E204)/Settings!$B$3,IF(B204="SELL",(E204-F204)/Settings!$B$3,0))</f>
        <v/>
      </c>
      <c r="H204">
        <f>G204*D204*Settings!$B$4</f>
        <v/>
      </c>
      <c r="I204">
        <f>CurrentPositions!I194</f>
        <v/>
      </c>
      <c r="J204">
        <f>CurrentPositions!J194</f>
        <v/>
      </c>
      <c r="K204">
        <f>IF(AND(B204="SELL",H204&lt;0),H204,"")</f>
        <v/>
      </c>
      <c r="L204">
        <f>IF(K204&lt;&gt;"",A204,"")</f>
        <v/>
      </c>
    </row>
    <row r="205">
      <c r="A205">
        <f>CurrentPositions!A195</f>
        <v/>
      </c>
      <c r="B205">
        <f>CurrentPositions!B195</f>
        <v/>
      </c>
      <c r="C205">
        <f>CurrentPositions!C195</f>
        <v/>
      </c>
      <c r="D205">
        <f>CurrentPositions!D195</f>
        <v/>
      </c>
      <c r="E205">
        <f>CurrentPositions!E195</f>
        <v/>
      </c>
      <c r="F205">
        <f>IF(B205="BUY",$B$5,IF(B205="SELL",$B$6,""))</f>
        <v/>
      </c>
      <c r="G205">
        <f>IF(B205="BUY",(F205-E205)/Settings!$B$3,IF(B205="SELL",(E205-F205)/Settings!$B$3,0))</f>
        <v/>
      </c>
      <c r="H205">
        <f>G205*D205*Settings!$B$4</f>
        <v/>
      </c>
      <c r="I205">
        <f>CurrentPositions!I195</f>
        <v/>
      </c>
      <c r="J205">
        <f>CurrentPositions!J195</f>
        <v/>
      </c>
      <c r="K205">
        <f>IF(AND(B205="SELL",H205&lt;0),H205,"")</f>
        <v/>
      </c>
      <c r="L205">
        <f>IF(K205&lt;&gt;"",A205,"")</f>
        <v/>
      </c>
    </row>
    <row r="206">
      <c r="A206">
        <f>CurrentPositions!A196</f>
        <v/>
      </c>
      <c r="B206">
        <f>CurrentPositions!B196</f>
        <v/>
      </c>
      <c r="C206">
        <f>CurrentPositions!C196</f>
        <v/>
      </c>
      <c r="D206">
        <f>CurrentPositions!D196</f>
        <v/>
      </c>
      <c r="E206">
        <f>CurrentPositions!E196</f>
        <v/>
      </c>
      <c r="F206">
        <f>IF(B206="BUY",$B$5,IF(B206="SELL",$B$6,""))</f>
        <v/>
      </c>
      <c r="G206">
        <f>IF(B206="BUY",(F206-E206)/Settings!$B$3,IF(B206="SELL",(E206-F206)/Settings!$B$3,0))</f>
        <v/>
      </c>
      <c r="H206">
        <f>G206*D206*Settings!$B$4</f>
        <v/>
      </c>
      <c r="I206">
        <f>CurrentPositions!I196</f>
        <v/>
      </c>
      <c r="J206">
        <f>CurrentPositions!J196</f>
        <v/>
      </c>
      <c r="K206">
        <f>IF(AND(B206="SELL",H206&lt;0),H206,"")</f>
        <v/>
      </c>
      <c r="L206">
        <f>IF(K206&lt;&gt;"",A206,"")</f>
        <v/>
      </c>
    </row>
    <row r="207">
      <c r="A207">
        <f>CurrentPositions!A197</f>
        <v/>
      </c>
      <c r="B207">
        <f>CurrentPositions!B197</f>
        <v/>
      </c>
      <c r="C207">
        <f>CurrentPositions!C197</f>
        <v/>
      </c>
      <c r="D207">
        <f>CurrentPositions!D197</f>
        <v/>
      </c>
      <c r="E207">
        <f>CurrentPositions!E197</f>
        <v/>
      </c>
      <c r="F207">
        <f>IF(B207="BUY",$B$5,IF(B207="SELL",$B$6,""))</f>
        <v/>
      </c>
      <c r="G207">
        <f>IF(B207="BUY",(F207-E207)/Settings!$B$3,IF(B207="SELL",(E207-F207)/Settings!$B$3,0))</f>
        <v/>
      </c>
      <c r="H207">
        <f>G207*D207*Settings!$B$4</f>
        <v/>
      </c>
      <c r="I207">
        <f>CurrentPositions!I197</f>
        <v/>
      </c>
      <c r="J207">
        <f>CurrentPositions!J197</f>
        <v/>
      </c>
      <c r="K207">
        <f>IF(AND(B207="SELL",H207&lt;0),H207,"")</f>
        <v/>
      </c>
      <c r="L207">
        <f>IF(K207&lt;&gt;"",A207,"")</f>
        <v/>
      </c>
    </row>
    <row r="208">
      <c r="A208">
        <f>CurrentPositions!A198</f>
        <v/>
      </c>
      <c r="B208">
        <f>CurrentPositions!B198</f>
        <v/>
      </c>
      <c r="C208">
        <f>CurrentPositions!C198</f>
        <v/>
      </c>
      <c r="D208">
        <f>CurrentPositions!D198</f>
        <v/>
      </c>
      <c r="E208">
        <f>CurrentPositions!E198</f>
        <v/>
      </c>
      <c r="F208">
        <f>IF(B208="BUY",$B$5,IF(B208="SELL",$B$6,""))</f>
        <v/>
      </c>
      <c r="G208">
        <f>IF(B208="BUY",(F208-E208)/Settings!$B$3,IF(B208="SELL",(E208-F208)/Settings!$B$3,0))</f>
        <v/>
      </c>
      <c r="H208">
        <f>G208*D208*Settings!$B$4</f>
        <v/>
      </c>
      <c r="I208">
        <f>CurrentPositions!I198</f>
        <v/>
      </c>
      <c r="J208">
        <f>CurrentPositions!J198</f>
        <v/>
      </c>
      <c r="K208">
        <f>IF(AND(B208="SELL",H208&lt;0),H208,"")</f>
        <v/>
      </c>
      <c r="L208">
        <f>IF(K208&lt;&gt;"",A208,"")</f>
        <v/>
      </c>
    </row>
    <row r="209">
      <c r="A209">
        <f>CurrentPositions!A199</f>
        <v/>
      </c>
      <c r="B209">
        <f>CurrentPositions!B199</f>
        <v/>
      </c>
      <c r="C209">
        <f>CurrentPositions!C199</f>
        <v/>
      </c>
      <c r="D209">
        <f>CurrentPositions!D199</f>
        <v/>
      </c>
      <c r="E209">
        <f>CurrentPositions!E199</f>
        <v/>
      </c>
      <c r="F209">
        <f>IF(B209="BUY",$B$5,IF(B209="SELL",$B$6,""))</f>
        <v/>
      </c>
      <c r="G209">
        <f>IF(B209="BUY",(F209-E209)/Settings!$B$3,IF(B209="SELL",(E209-F209)/Settings!$B$3,0))</f>
        <v/>
      </c>
      <c r="H209">
        <f>G209*D209*Settings!$B$4</f>
        <v/>
      </c>
      <c r="I209">
        <f>CurrentPositions!I199</f>
        <v/>
      </c>
      <c r="J209">
        <f>CurrentPositions!J199</f>
        <v/>
      </c>
      <c r="K209">
        <f>IF(AND(B209="SELL",H209&lt;0),H209,"")</f>
        <v/>
      </c>
      <c r="L209">
        <f>IF(K209&lt;&gt;"",A209,"")</f>
        <v/>
      </c>
    </row>
    <row r="210">
      <c r="A210">
        <f>CurrentPositions!A200</f>
        <v/>
      </c>
      <c r="B210">
        <f>CurrentPositions!B200</f>
        <v/>
      </c>
      <c r="C210">
        <f>CurrentPositions!C200</f>
        <v/>
      </c>
      <c r="D210">
        <f>CurrentPositions!D200</f>
        <v/>
      </c>
      <c r="E210">
        <f>CurrentPositions!E200</f>
        <v/>
      </c>
      <c r="F210">
        <f>IF(B210="BUY",$B$5,IF(B210="SELL",$B$6,""))</f>
        <v/>
      </c>
      <c r="G210">
        <f>IF(B210="BUY",(F210-E210)/Settings!$B$3,IF(B210="SELL",(E210-F210)/Settings!$B$3,0))</f>
        <v/>
      </c>
      <c r="H210">
        <f>G210*D210*Settings!$B$4</f>
        <v/>
      </c>
      <c r="I210">
        <f>CurrentPositions!I200</f>
        <v/>
      </c>
      <c r="J210">
        <f>CurrentPositions!J200</f>
        <v/>
      </c>
      <c r="K210">
        <f>IF(AND(B210="SELL",H210&lt;0),H210,"")</f>
        <v/>
      </c>
      <c r="L210">
        <f>IF(K210&lt;&gt;"",A210,"")</f>
        <v/>
      </c>
    </row>
    <row r="211">
      <c r="A211">
        <f>CurrentPositions!A201</f>
        <v/>
      </c>
      <c r="B211">
        <f>CurrentPositions!B201</f>
        <v/>
      </c>
      <c r="C211">
        <f>CurrentPositions!C201</f>
        <v/>
      </c>
      <c r="D211">
        <f>CurrentPositions!D201</f>
        <v/>
      </c>
      <c r="E211">
        <f>CurrentPositions!E201</f>
        <v/>
      </c>
      <c r="F211">
        <f>IF(B211="BUY",$B$5,IF(B211="SELL",$B$6,""))</f>
        <v/>
      </c>
      <c r="G211">
        <f>IF(B211="BUY",(F211-E211)/Settings!$B$3,IF(B211="SELL",(E211-F211)/Settings!$B$3,0))</f>
        <v/>
      </c>
      <c r="H211">
        <f>G211*D211*Settings!$B$4</f>
        <v/>
      </c>
      <c r="I211">
        <f>CurrentPositions!I201</f>
        <v/>
      </c>
      <c r="J211">
        <f>CurrentPositions!J201</f>
        <v/>
      </c>
      <c r="K211">
        <f>IF(AND(B211="SELL",H211&lt;0),H211,"")</f>
        <v/>
      </c>
      <c r="L211">
        <f>IF(K211&lt;&gt;"",A211,"")</f>
        <v/>
      </c>
    </row>
    <row r="220">
      <c r="A220" t="inlineStr">
        <is>
          <t>TailType</t>
        </is>
      </c>
      <c r="B220" t="inlineStr">
        <is>
          <t>SELL</t>
        </is>
      </c>
    </row>
    <row r="221">
      <c r="A221" t="inlineStr">
        <is>
          <t>TailWorstPnL</t>
        </is>
      </c>
      <c r="B221">
        <f>IF(COUNT(K12:K211)=0,0,MIN(K12:K211))</f>
        <v/>
      </c>
    </row>
    <row r="222">
      <c r="A222" t="inlineStr">
        <is>
          <t>TailTicket</t>
        </is>
      </c>
      <c r="B222">
        <f>IF(B221=0,"N/A",MIN(L12:L211))</f>
        <v/>
      </c>
    </row>
    <row r="223">
      <c r="A223" t="inlineStr">
        <is>
          <t>TailLot</t>
        </is>
      </c>
      <c r="B223">
        <f>IF(B222="N/A",0,INDEX(D12:D211,MATCH(B222,A12:A211,0)))</f>
        <v/>
      </c>
    </row>
    <row r="224">
      <c r="A224" t="inlineStr">
        <is>
          <t>TailLossMoney</t>
        </is>
      </c>
      <c r="B224">
        <f>IF(B222="N/A",0,ABS(INDEX(H12:H211,MATCH(B222,A12:A211,0))))</f>
        <v/>
      </c>
    </row>
    <row r="225">
      <c r="A225" t="inlineStr">
        <is>
          <t>TailLossPerLot</t>
        </is>
      </c>
      <c r="B225">
        <f>IF(B223=0,0,ABS(B224/B223))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M1" t="inlineStr">
        <is>
          <t>AverageBuyPrice</t>
        </is>
      </c>
      <c r="N1">
        <f>IFERROR(SUMPRODUCT((B12:B211="BUY")*E12:E211*D12:D211)/MAX(0.0000001,SUMIFS(D12:D211,B12:B211,"BUY")),0)</f>
        <v/>
      </c>
    </row>
    <row r="2">
      <c r="A2" t="inlineStr">
        <is>
          <t>CurrentBid</t>
        </is>
      </c>
      <c r="B2">
        <f>Settings!$B$31</f>
        <v/>
      </c>
      <c r="M2" t="inlineStr">
        <is>
          <t>AverageSellPrice</t>
        </is>
      </c>
      <c r="N2">
        <f>IFERROR(SUMPRODUCT((B12:B211="SELL")*E12:E211*D12:D211)/MAX(0.0000001,SUMIFS(D12:D211,B12:B211,"SELL")),0)</f>
        <v/>
      </c>
    </row>
    <row r="3">
      <c r="A3" t="inlineStr">
        <is>
          <t>CurrentAsk</t>
        </is>
      </c>
      <c r="B3">
        <f>Settings!$B$32</f>
        <v/>
      </c>
      <c r="M3" t="inlineStr">
        <is>
          <t>Center</t>
        </is>
      </c>
      <c r="N3">
        <f>(N1+N2)/2</f>
        <v/>
      </c>
    </row>
    <row r="4">
      <c r="A4" t="inlineStr">
        <is>
          <t>MoveDownPoints</t>
        </is>
      </c>
      <c r="B4" t="n">
        <v>100</v>
      </c>
      <c r="M4" t="inlineStr">
        <is>
          <t>UpperLevel1</t>
        </is>
      </c>
      <c r="N4">
        <f>IF(N3=0,"Уровень не рассчитан",N3+1*Settings!$B$5*Settings!$B$3)</f>
        <v/>
      </c>
    </row>
    <row r="5">
      <c r="A5" t="inlineStr">
        <is>
          <t>ScenarioBid</t>
        </is>
      </c>
      <c r="B5">
        <f>B2-B4*Settings!$B$3</f>
        <v/>
      </c>
      <c r="M5" t="inlineStr">
        <is>
          <t>UpperLevel2</t>
        </is>
      </c>
      <c r="N5">
        <f>IF(N3=0,"Уровень не рассчитан",N3+2*Settings!$B$5*Settings!$B$3)</f>
        <v/>
      </c>
    </row>
    <row r="6">
      <c r="A6" t="inlineStr">
        <is>
          <t>ScenarioAsk</t>
        </is>
      </c>
      <c r="B6">
        <f>B3-B4*Settings!$B$3</f>
        <v/>
      </c>
      <c r="M6" t="inlineStr">
        <is>
          <t>UpperLevel3</t>
        </is>
      </c>
      <c r="N6">
        <f>IF(N3=0,"Уровень не рассчитан",N3+3*Settings!$B$5*Settings!$B$3)</f>
        <v/>
      </c>
    </row>
    <row r="7">
      <c r="A7" t="inlineStr">
        <is>
          <t>ScenarioMid</t>
        </is>
      </c>
      <c r="B7">
        <f>(B5+B6)/2</f>
        <v/>
      </c>
      <c r="M7" t="inlineStr">
        <is>
          <t>UpperLevel4</t>
        </is>
      </c>
      <c r="N7">
        <f>IF(N3=0,"Уровень не рассчитан",N3+4*Settings!$B$5*Settings!$B$3)</f>
        <v/>
      </c>
    </row>
    <row r="8">
      <c r="A8" t="inlineStr">
        <is>
          <t>ScenarioSpread</t>
        </is>
      </c>
      <c r="B8">
        <f>(B6-B5)/Settings!$B$3</f>
        <v/>
      </c>
    </row>
    <row r="9">
      <c r="M9" t="inlineStr">
        <is>
          <t>LowerLevel1</t>
        </is>
      </c>
      <c r="N9">
        <f>IF(N3=0,"Уровень не рассчитан",N3-1*Settings!$B$5*Settings!$B$3)</f>
        <v/>
      </c>
    </row>
    <row r="10">
      <c r="M10" t="inlineStr">
        <is>
          <t>LowerLevel2</t>
        </is>
      </c>
      <c r="N10">
        <f>IF(N3=0,"Уровень не рассчитан",N3-2*Settings!$B$5*Settings!$B$3)</f>
        <v/>
      </c>
    </row>
    <row r="11">
      <c r="A11" s="1" t="inlineStr">
        <is>
          <t>Ticket</t>
        </is>
      </c>
      <c r="B11" s="1" t="inlineStr">
        <is>
          <t>Type</t>
        </is>
      </c>
      <c r="C11" s="1" t="inlineStr">
        <is>
          <t>Role</t>
        </is>
      </c>
      <c r="D11" s="1" t="inlineStr">
        <is>
          <t>Lot</t>
        </is>
      </c>
      <c r="E11" s="1" t="inlineStr">
        <is>
          <t>OpenPrice</t>
        </is>
      </c>
      <c r="F11" s="1" t="inlineStr">
        <is>
          <t>ScenarioClosePrice</t>
        </is>
      </c>
      <c r="G11" s="1" t="inlineStr">
        <is>
          <t>ScenarioPointsPnL</t>
        </is>
      </c>
      <c r="H11" s="1" t="inlineStr">
        <is>
          <t>ScenarioMoneyPnL</t>
        </is>
      </c>
      <c r="I11" s="1" t="inlineStr">
        <is>
          <t>IsTail</t>
        </is>
      </c>
      <c r="J11" s="1" t="inlineStr">
        <is>
          <t>SectionID</t>
        </is>
      </c>
      <c r="K11" s="1" t="inlineStr">
        <is>
          <t>TailLossHelper</t>
        </is>
      </c>
      <c r="L11" s="1" t="inlineStr">
        <is>
          <t>TailTicketHelper</t>
        </is>
      </c>
      <c r="M11" t="inlineStr">
        <is>
          <t>LowerLevel3</t>
        </is>
      </c>
      <c r="N11">
        <f>IF(N3=0,"Уровень не рассчитан",N3-3*Settings!$B$5*Settings!$B$3)</f>
        <v/>
      </c>
    </row>
    <row r="12">
      <c r="A12">
        <f>CurrentPositions!A2</f>
        <v/>
      </c>
      <c r="B12">
        <f>CurrentPositions!B2</f>
        <v/>
      </c>
      <c r="C12">
        <f>CurrentPositions!C2</f>
        <v/>
      </c>
      <c r="D12">
        <f>CurrentPositions!D2</f>
        <v/>
      </c>
      <c r="E12">
        <f>CurrentPositions!E2</f>
        <v/>
      </c>
      <c r="F12">
        <f>IF(B12="BUY",$B$5,IF(B12="SELL",$B$6,""))</f>
        <v/>
      </c>
      <c r="G12">
        <f>IF(B12="BUY",(F12-E12)/Settings!$B$3,IF(B12="SELL",(E12-F12)/Settings!$B$3,0))</f>
        <v/>
      </c>
      <c r="H12">
        <f>G12*D12*Settings!$B$4</f>
        <v/>
      </c>
      <c r="I12">
        <f>CurrentPositions!I2</f>
        <v/>
      </c>
      <c r="J12">
        <f>CurrentPositions!J2</f>
        <v/>
      </c>
      <c r="K12">
        <f>IF(AND(B12="BUY",H12&lt;0),H12,"")</f>
        <v/>
      </c>
      <c r="L12">
        <f>IF(K12&lt;&gt;"",A12,"")</f>
        <v/>
      </c>
      <c r="M12" t="inlineStr">
        <is>
          <t>LowerLevel4</t>
        </is>
      </c>
      <c r="N12">
        <f>IF(N3=0,"Уровень не рассчитан",N3-4*Settings!$B$5*Settings!$B$3)</f>
        <v/>
      </c>
    </row>
    <row r="13">
      <c r="A13">
        <f>CurrentPositions!A3</f>
        <v/>
      </c>
      <c r="B13">
        <f>CurrentPositions!B3</f>
        <v/>
      </c>
      <c r="C13">
        <f>CurrentPositions!C3</f>
        <v/>
      </c>
      <c r="D13">
        <f>CurrentPositions!D3</f>
        <v/>
      </c>
      <c r="E13">
        <f>CurrentPositions!E3</f>
        <v/>
      </c>
      <c r="F13">
        <f>IF(B13="BUY",$B$5,IF(B13="SELL",$B$6,""))</f>
        <v/>
      </c>
      <c r="G13">
        <f>IF(B13="BUY",(F13-E13)/Settings!$B$3,IF(B13="SELL",(E13-F13)/Settings!$B$3,0))</f>
        <v/>
      </c>
      <c r="H13">
        <f>G13*D13*Settings!$B$4</f>
        <v/>
      </c>
      <c r="I13">
        <f>CurrentPositions!I3</f>
        <v/>
      </c>
      <c r="J13">
        <f>CurrentPositions!J3</f>
        <v/>
      </c>
      <c r="K13">
        <f>IF(AND(B13="BUY",H13&lt;0),H13,"")</f>
        <v/>
      </c>
      <c r="L13">
        <f>IF(K13&lt;&gt;"",A13,"")</f>
        <v/>
      </c>
    </row>
    <row r="14">
      <c r="A14">
        <f>CurrentPositions!A4</f>
        <v/>
      </c>
      <c r="B14">
        <f>CurrentPositions!B4</f>
        <v/>
      </c>
      <c r="C14">
        <f>CurrentPositions!C4</f>
        <v/>
      </c>
      <c r="D14">
        <f>CurrentPositions!D4</f>
        <v/>
      </c>
      <c r="E14">
        <f>CurrentPositions!E4</f>
        <v/>
      </c>
      <c r="F14">
        <f>IF(B14="BUY",$B$5,IF(B14="SELL",$B$6,""))</f>
        <v/>
      </c>
      <c r="G14">
        <f>IF(B14="BUY",(F14-E14)/Settings!$B$3,IF(B14="SELL",(E14-F14)/Settings!$B$3,0))</f>
        <v/>
      </c>
      <c r="H14">
        <f>G14*D14*Settings!$B$4</f>
        <v/>
      </c>
      <c r="I14">
        <f>CurrentPositions!I4</f>
        <v/>
      </c>
      <c r="J14">
        <f>CurrentPositions!J4</f>
        <v/>
      </c>
      <c r="K14">
        <f>IF(AND(B14="BUY",H14&lt;0),H14,"")</f>
        <v/>
      </c>
      <c r="L14">
        <f>IF(K14&lt;&gt;"",A14,"")</f>
        <v/>
      </c>
    </row>
    <row r="15">
      <c r="A15">
        <f>CurrentPositions!A5</f>
        <v/>
      </c>
      <c r="B15">
        <f>CurrentPositions!B5</f>
        <v/>
      </c>
      <c r="C15">
        <f>CurrentPositions!C5</f>
        <v/>
      </c>
      <c r="D15">
        <f>CurrentPositions!D5</f>
        <v/>
      </c>
      <c r="E15">
        <f>CurrentPositions!E5</f>
        <v/>
      </c>
      <c r="F15">
        <f>IF(B15="BUY",$B$5,IF(B15="SELL",$B$6,""))</f>
        <v/>
      </c>
      <c r="G15">
        <f>IF(B15="BUY",(F15-E15)/Settings!$B$3,IF(B15="SELL",(E15-F15)/Settings!$B$3,0))</f>
        <v/>
      </c>
      <c r="H15">
        <f>G15*D15*Settings!$B$4</f>
        <v/>
      </c>
      <c r="I15">
        <f>CurrentPositions!I5</f>
        <v/>
      </c>
      <c r="J15">
        <f>CurrentPositions!J5</f>
        <v/>
      </c>
      <c r="K15">
        <f>IF(AND(B15="BUY",H15&lt;0),H15,"")</f>
        <v/>
      </c>
      <c r="L15">
        <f>IF(K15&lt;&gt;"",A15,"")</f>
        <v/>
      </c>
    </row>
    <row r="16">
      <c r="A16">
        <f>CurrentPositions!A6</f>
        <v/>
      </c>
      <c r="B16">
        <f>CurrentPositions!B6</f>
        <v/>
      </c>
      <c r="C16">
        <f>CurrentPositions!C6</f>
        <v/>
      </c>
      <c r="D16">
        <f>CurrentPositions!D6</f>
        <v/>
      </c>
      <c r="E16">
        <f>CurrentPositions!E6</f>
        <v/>
      </c>
      <c r="F16">
        <f>IF(B16="BUY",$B$5,IF(B16="SELL",$B$6,""))</f>
        <v/>
      </c>
      <c r="G16">
        <f>IF(B16="BUY",(F16-E16)/Settings!$B$3,IF(B16="SELL",(E16-F16)/Settings!$B$3,0))</f>
        <v/>
      </c>
      <c r="H16">
        <f>G16*D16*Settings!$B$4</f>
        <v/>
      </c>
      <c r="I16">
        <f>CurrentPositions!I6</f>
        <v/>
      </c>
      <c r="J16">
        <f>CurrentPositions!J6</f>
        <v/>
      </c>
      <c r="K16">
        <f>IF(AND(B16="BUY",H16&lt;0),H16,"")</f>
        <v/>
      </c>
      <c r="L16">
        <f>IF(K16&lt;&gt;"",A16,"")</f>
        <v/>
      </c>
    </row>
    <row r="17">
      <c r="A17">
        <f>CurrentPositions!A7</f>
        <v/>
      </c>
      <c r="B17">
        <f>CurrentPositions!B7</f>
        <v/>
      </c>
      <c r="C17">
        <f>CurrentPositions!C7</f>
        <v/>
      </c>
      <c r="D17">
        <f>CurrentPositions!D7</f>
        <v/>
      </c>
      <c r="E17">
        <f>CurrentPositions!E7</f>
        <v/>
      </c>
      <c r="F17">
        <f>IF(B17="BUY",$B$5,IF(B17="SELL",$B$6,""))</f>
        <v/>
      </c>
      <c r="G17">
        <f>IF(B17="BUY",(F17-E17)/Settings!$B$3,IF(B17="SELL",(E17-F17)/Settings!$B$3,0))</f>
        <v/>
      </c>
      <c r="H17">
        <f>G17*D17*Settings!$B$4</f>
        <v/>
      </c>
      <c r="I17">
        <f>CurrentPositions!I7</f>
        <v/>
      </c>
      <c r="J17">
        <f>CurrentPositions!J7</f>
        <v/>
      </c>
      <c r="K17">
        <f>IF(AND(B17="BUY",H17&lt;0),H17,"")</f>
        <v/>
      </c>
      <c r="L17">
        <f>IF(K17&lt;&gt;"",A17,"")</f>
        <v/>
      </c>
    </row>
    <row r="18">
      <c r="A18">
        <f>CurrentPositions!A8</f>
        <v/>
      </c>
      <c r="B18">
        <f>CurrentPositions!B8</f>
        <v/>
      </c>
      <c r="C18">
        <f>CurrentPositions!C8</f>
        <v/>
      </c>
      <c r="D18">
        <f>CurrentPositions!D8</f>
        <v/>
      </c>
      <c r="E18">
        <f>CurrentPositions!E8</f>
        <v/>
      </c>
      <c r="F18">
        <f>IF(B18="BUY",$B$5,IF(B18="SELL",$B$6,""))</f>
        <v/>
      </c>
      <c r="G18">
        <f>IF(B18="BUY",(F18-E18)/Settings!$B$3,IF(B18="SELL",(E18-F18)/Settings!$B$3,0))</f>
        <v/>
      </c>
      <c r="H18">
        <f>G18*D18*Settings!$B$4</f>
        <v/>
      </c>
      <c r="I18">
        <f>CurrentPositions!I8</f>
        <v/>
      </c>
      <c r="J18">
        <f>CurrentPositions!J8</f>
        <v/>
      </c>
      <c r="K18">
        <f>IF(AND(B18="BUY",H18&lt;0),H18,"")</f>
        <v/>
      </c>
      <c r="L18">
        <f>IF(K18&lt;&gt;"",A18,"")</f>
        <v/>
      </c>
    </row>
    <row r="19">
      <c r="A19">
        <f>CurrentPositions!A9</f>
        <v/>
      </c>
      <c r="B19">
        <f>CurrentPositions!B9</f>
        <v/>
      </c>
      <c r="C19">
        <f>CurrentPositions!C9</f>
        <v/>
      </c>
      <c r="D19">
        <f>CurrentPositions!D9</f>
        <v/>
      </c>
      <c r="E19">
        <f>CurrentPositions!E9</f>
        <v/>
      </c>
      <c r="F19">
        <f>IF(B19="BUY",$B$5,IF(B19="SELL",$B$6,""))</f>
        <v/>
      </c>
      <c r="G19">
        <f>IF(B19="BUY",(F19-E19)/Settings!$B$3,IF(B19="SELL",(E19-F19)/Settings!$B$3,0))</f>
        <v/>
      </c>
      <c r="H19">
        <f>G19*D19*Settings!$B$4</f>
        <v/>
      </c>
      <c r="I19">
        <f>CurrentPositions!I9</f>
        <v/>
      </c>
      <c r="J19">
        <f>CurrentPositions!J9</f>
        <v/>
      </c>
      <c r="K19">
        <f>IF(AND(B19="BUY",H19&lt;0),H19,"")</f>
        <v/>
      </c>
      <c r="L19">
        <f>IF(K19&lt;&gt;"",A19,"")</f>
        <v/>
      </c>
    </row>
    <row r="20">
      <c r="A20">
        <f>CurrentPositions!A10</f>
        <v/>
      </c>
      <c r="B20">
        <f>CurrentPositions!B10</f>
        <v/>
      </c>
      <c r="C20">
        <f>CurrentPositions!C10</f>
        <v/>
      </c>
      <c r="D20">
        <f>CurrentPositions!D10</f>
        <v/>
      </c>
      <c r="E20">
        <f>CurrentPositions!E10</f>
        <v/>
      </c>
      <c r="F20">
        <f>IF(B20="BUY",$B$5,IF(B20="SELL",$B$6,""))</f>
        <v/>
      </c>
      <c r="G20">
        <f>IF(B20="BUY",(F20-E20)/Settings!$B$3,IF(B20="SELL",(E20-F20)/Settings!$B$3,0))</f>
        <v/>
      </c>
      <c r="H20">
        <f>G20*D20*Settings!$B$4</f>
        <v/>
      </c>
      <c r="I20">
        <f>CurrentPositions!I10</f>
        <v/>
      </c>
      <c r="J20">
        <f>CurrentPositions!J10</f>
        <v/>
      </c>
      <c r="K20">
        <f>IF(AND(B20="BUY",H20&lt;0),H20,"")</f>
        <v/>
      </c>
      <c r="L20">
        <f>IF(K20&lt;&gt;"",A20,"")</f>
        <v/>
      </c>
    </row>
    <row r="21">
      <c r="A21">
        <f>CurrentPositions!A11</f>
        <v/>
      </c>
      <c r="B21">
        <f>CurrentPositions!B11</f>
        <v/>
      </c>
      <c r="C21">
        <f>CurrentPositions!C11</f>
        <v/>
      </c>
      <c r="D21">
        <f>CurrentPositions!D11</f>
        <v/>
      </c>
      <c r="E21">
        <f>CurrentPositions!E11</f>
        <v/>
      </c>
      <c r="F21">
        <f>IF(B21="BUY",$B$5,IF(B21="SELL",$B$6,""))</f>
        <v/>
      </c>
      <c r="G21">
        <f>IF(B21="BUY",(F21-E21)/Settings!$B$3,IF(B21="SELL",(E21-F21)/Settings!$B$3,0))</f>
        <v/>
      </c>
      <c r="H21">
        <f>G21*D21*Settings!$B$4</f>
        <v/>
      </c>
      <c r="I21">
        <f>CurrentPositions!I11</f>
        <v/>
      </c>
      <c r="J21">
        <f>CurrentPositions!J11</f>
        <v/>
      </c>
      <c r="K21">
        <f>IF(AND(B21="BUY",H21&lt;0),H21,"")</f>
        <v/>
      </c>
      <c r="L21">
        <f>IF(K21&lt;&gt;"",A21,"")</f>
        <v/>
      </c>
    </row>
    <row r="22">
      <c r="A22">
        <f>CurrentPositions!A12</f>
        <v/>
      </c>
      <c r="B22">
        <f>CurrentPositions!B12</f>
        <v/>
      </c>
      <c r="C22">
        <f>CurrentPositions!C12</f>
        <v/>
      </c>
      <c r="D22">
        <f>CurrentPositions!D12</f>
        <v/>
      </c>
      <c r="E22">
        <f>CurrentPositions!E12</f>
        <v/>
      </c>
      <c r="F22">
        <f>IF(B22="BUY",$B$5,IF(B22="SELL",$B$6,""))</f>
        <v/>
      </c>
      <c r="G22">
        <f>IF(B22="BUY",(F22-E22)/Settings!$B$3,IF(B22="SELL",(E22-F22)/Settings!$B$3,0))</f>
        <v/>
      </c>
      <c r="H22">
        <f>G22*D22*Settings!$B$4</f>
        <v/>
      </c>
      <c r="I22">
        <f>CurrentPositions!I12</f>
        <v/>
      </c>
      <c r="J22">
        <f>CurrentPositions!J12</f>
        <v/>
      </c>
      <c r="K22">
        <f>IF(AND(B22="BUY",H22&lt;0),H22,"")</f>
        <v/>
      </c>
      <c r="L22">
        <f>IF(K22&lt;&gt;"",A22,"")</f>
        <v/>
      </c>
    </row>
    <row r="23">
      <c r="A23">
        <f>CurrentPositions!A13</f>
        <v/>
      </c>
      <c r="B23">
        <f>CurrentPositions!B13</f>
        <v/>
      </c>
      <c r="C23">
        <f>CurrentPositions!C13</f>
        <v/>
      </c>
      <c r="D23">
        <f>CurrentPositions!D13</f>
        <v/>
      </c>
      <c r="E23">
        <f>CurrentPositions!E13</f>
        <v/>
      </c>
      <c r="F23">
        <f>IF(B23="BUY",$B$5,IF(B23="SELL",$B$6,""))</f>
        <v/>
      </c>
      <c r="G23">
        <f>IF(B23="BUY",(F23-E23)/Settings!$B$3,IF(B23="SELL",(E23-F23)/Settings!$B$3,0))</f>
        <v/>
      </c>
      <c r="H23">
        <f>G23*D23*Settings!$B$4</f>
        <v/>
      </c>
      <c r="I23">
        <f>CurrentPositions!I13</f>
        <v/>
      </c>
      <c r="J23">
        <f>CurrentPositions!J13</f>
        <v/>
      </c>
      <c r="K23">
        <f>IF(AND(B23="BUY",H23&lt;0),H23,"")</f>
        <v/>
      </c>
      <c r="L23">
        <f>IF(K23&lt;&gt;"",A23,"")</f>
        <v/>
      </c>
    </row>
    <row r="24">
      <c r="A24">
        <f>CurrentPositions!A14</f>
        <v/>
      </c>
      <c r="B24">
        <f>CurrentPositions!B14</f>
        <v/>
      </c>
      <c r="C24">
        <f>CurrentPositions!C14</f>
        <v/>
      </c>
      <c r="D24">
        <f>CurrentPositions!D14</f>
        <v/>
      </c>
      <c r="E24">
        <f>CurrentPositions!E14</f>
        <v/>
      </c>
      <c r="F24">
        <f>IF(B24="BUY",$B$5,IF(B24="SELL",$B$6,""))</f>
        <v/>
      </c>
      <c r="G24">
        <f>IF(B24="BUY",(F24-E24)/Settings!$B$3,IF(B24="SELL",(E24-F24)/Settings!$B$3,0))</f>
        <v/>
      </c>
      <c r="H24">
        <f>G24*D24*Settings!$B$4</f>
        <v/>
      </c>
      <c r="I24">
        <f>CurrentPositions!I14</f>
        <v/>
      </c>
      <c r="J24">
        <f>CurrentPositions!J14</f>
        <v/>
      </c>
      <c r="K24">
        <f>IF(AND(B24="BUY",H24&lt;0),H24,"")</f>
        <v/>
      </c>
      <c r="L24">
        <f>IF(K24&lt;&gt;"",A24,"")</f>
        <v/>
      </c>
    </row>
    <row r="25">
      <c r="A25">
        <f>CurrentPositions!A15</f>
        <v/>
      </c>
      <c r="B25">
        <f>CurrentPositions!B15</f>
        <v/>
      </c>
      <c r="C25">
        <f>CurrentPositions!C15</f>
        <v/>
      </c>
      <c r="D25">
        <f>CurrentPositions!D15</f>
        <v/>
      </c>
      <c r="E25">
        <f>CurrentPositions!E15</f>
        <v/>
      </c>
      <c r="F25">
        <f>IF(B25="BUY",$B$5,IF(B25="SELL",$B$6,""))</f>
        <v/>
      </c>
      <c r="G25">
        <f>IF(B25="BUY",(F25-E25)/Settings!$B$3,IF(B25="SELL",(E25-F25)/Settings!$B$3,0))</f>
        <v/>
      </c>
      <c r="H25">
        <f>G25*D25*Settings!$B$4</f>
        <v/>
      </c>
      <c r="I25">
        <f>CurrentPositions!I15</f>
        <v/>
      </c>
      <c r="J25">
        <f>CurrentPositions!J15</f>
        <v/>
      </c>
      <c r="K25">
        <f>IF(AND(B25="BUY",H25&lt;0),H25,"")</f>
        <v/>
      </c>
      <c r="L25">
        <f>IF(K25&lt;&gt;"",A25,"")</f>
        <v/>
      </c>
    </row>
    <row r="26">
      <c r="A26">
        <f>CurrentPositions!A16</f>
        <v/>
      </c>
      <c r="B26">
        <f>CurrentPositions!B16</f>
        <v/>
      </c>
      <c r="C26">
        <f>CurrentPositions!C16</f>
        <v/>
      </c>
      <c r="D26">
        <f>CurrentPositions!D16</f>
        <v/>
      </c>
      <c r="E26">
        <f>CurrentPositions!E16</f>
        <v/>
      </c>
      <c r="F26">
        <f>IF(B26="BUY",$B$5,IF(B26="SELL",$B$6,""))</f>
        <v/>
      </c>
      <c r="G26">
        <f>IF(B26="BUY",(F26-E26)/Settings!$B$3,IF(B26="SELL",(E26-F26)/Settings!$B$3,0))</f>
        <v/>
      </c>
      <c r="H26">
        <f>G26*D26*Settings!$B$4</f>
        <v/>
      </c>
      <c r="I26">
        <f>CurrentPositions!I16</f>
        <v/>
      </c>
      <c r="J26">
        <f>CurrentPositions!J16</f>
        <v/>
      </c>
      <c r="K26">
        <f>IF(AND(B26="BUY",H26&lt;0),H26,"")</f>
        <v/>
      </c>
      <c r="L26">
        <f>IF(K26&lt;&gt;"",A26,"")</f>
        <v/>
      </c>
    </row>
    <row r="27">
      <c r="A27">
        <f>CurrentPositions!A17</f>
        <v/>
      </c>
      <c r="B27">
        <f>CurrentPositions!B17</f>
        <v/>
      </c>
      <c r="C27">
        <f>CurrentPositions!C17</f>
        <v/>
      </c>
      <c r="D27">
        <f>CurrentPositions!D17</f>
        <v/>
      </c>
      <c r="E27">
        <f>CurrentPositions!E17</f>
        <v/>
      </c>
      <c r="F27">
        <f>IF(B27="BUY",$B$5,IF(B27="SELL",$B$6,""))</f>
        <v/>
      </c>
      <c r="G27">
        <f>IF(B27="BUY",(F27-E27)/Settings!$B$3,IF(B27="SELL",(E27-F27)/Settings!$B$3,0))</f>
        <v/>
      </c>
      <c r="H27">
        <f>G27*D27*Settings!$B$4</f>
        <v/>
      </c>
      <c r="I27">
        <f>CurrentPositions!I17</f>
        <v/>
      </c>
      <c r="J27">
        <f>CurrentPositions!J17</f>
        <v/>
      </c>
      <c r="K27">
        <f>IF(AND(B27="BUY",H27&lt;0),H27,"")</f>
        <v/>
      </c>
      <c r="L27">
        <f>IF(K27&lt;&gt;"",A27,"")</f>
        <v/>
      </c>
    </row>
    <row r="28">
      <c r="A28">
        <f>CurrentPositions!A18</f>
        <v/>
      </c>
      <c r="B28">
        <f>CurrentPositions!B18</f>
        <v/>
      </c>
      <c r="C28">
        <f>CurrentPositions!C18</f>
        <v/>
      </c>
      <c r="D28">
        <f>CurrentPositions!D18</f>
        <v/>
      </c>
      <c r="E28">
        <f>CurrentPositions!E18</f>
        <v/>
      </c>
      <c r="F28">
        <f>IF(B28="BUY",$B$5,IF(B28="SELL",$B$6,""))</f>
        <v/>
      </c>
      <c r="G28">
        <f>IF(B28="BUY",(F28-E28)/Settings!$B$3,IF(B28="SELL",(E28-F28)/Settings!$B$3,0))</f>
        <v/>
      </c>
      <c r="H28">
        <f>G28*D28*Settings!$B$4</f>
        <v/>
      </c>
      <c r="I28">
        <f>CurrentPositions!I18</f>
        <v/>
      </c>
      <c r="J28">
        <f>CurrentPositions!J18</f>
        <v/>
      </c>
      <c r="K28">
        <f>IF(AND(B28="BUY",H28&lt;0),H28,"")</f>
        <v/>
      </c>
      <c r="L28">
        <f>IF(K28&lt;&gt;"",A28,"")</f>
        <v/>
      </c>
    </row>
    <row r="29">
      <c r="A29">
        <f>CurrentPositions!A19</f>
        <v/>
      </c>
      <c r="B29">
        <f>CurrentPositions!B19</f>
        <v/>
      </c>
      <c r="C29">
        <f>CurrentPositions!C19</f>
        <v/>
      </c>
      <c r="D29">
        <f>CurrentPositions!D19</f>
        <v/>
      </c>
      <c r="E29">
        <f>CurrentPositions!E19</f>
        <v/>
      </c>
      <c r="F29">
        <f>IF(B29="BUY",$B$5,IF(B29="SELL",$B$6,""))</f>
        <v/>
      </c>
      <c r="G29">
        <f>IF(B29="BUY",(F29-E29)/Settings!$B$3,IF(B29="SELL",(E29-F29)/Settings!$B$3,0))</f>
        <v/>
      </c>
      <c r="H29">
        <f>G29*D29*Settings!$B$4</f>
        <v/>
      </c>
      <c r="I29">
        <f>CurrentPositions!I19</f>
        <v/>
      </c>
      <c r="J29">
        <f>CurrentPositions!J19</f>
        <v/>
      </c>
      <c r="K29">
        <f>IF(AND(B29="BUY",H29&lt;0),H29,"")</f>
        <v/>
      </c>
      <c r="L29">
        <f>IF(K29&lt;&gt;"",A29,"")</f>
        <v/>
      </c>
    </row>
    <row r="30">
      <c r="A30">
        <f>CurrentPositions!A20</f>
        <v/>
      </c>
      <c r="B30">
        <f>CurrentPositions!B20</f>
        <v/>
      </c>
      <c r="C30">
        <f>CurrentPositions!C20</f>
        <v/>
      </c>
      <c r="D30">
        <f>CurrentPositions!D20</f>
        <v/>
      </c>
      <c r="E30">
        <f>CurrentPositions!E20</f>
        <v/>
      </c>
      <c r="F30">
        <f>IF(B30="BUY",$B$5,IF(B30="SELL",$B$6,""))</f>
        <v/>
      </c>
      <c r="G30">
        <f>IF(B30="BUY",(F30-E30)/Settings!$B$3,IF(B30="SELL",(E30-F30)/Settings!$B$3,0))</f>
        <v/>
      </c>
      <c r="H30">
        <f>G30*D30*Settings!$B$4</f>
        <v/>
      </c>
      <c r="I30">
        <f>CurrentPositions!I20</f>
        <v/>
      </c>
      <c r="J30">
        <f>CurrentPositions!J20</f>
        <v/>
      </c>
      <c r="K30">
        <f>IF(AND(B30="BUY",H30&lt;0),H30,"")</f>
        <v/>
      </c>
      <c r="L30">
        <f>IF(K30&lt;&gt;"",A30,"")</f>
        <v/>
      </c>
    </row>
    <row r="31">
      <c r="A31">
        <f>CurrentPositions!A21</f>
        <v/>
      </c>
      <c r="B31">
        <f>CurrentPositions!B21</f>
        <v/>
      </c>
      <c r="C31">
        <f>CurrentPositions!C21</f>
        <v/>
      </c>
      <c r="D31">
        <f>CurrentPositions!D21</f>
        <v/>
      </c>
      <c r="E31">
        <f>CurrentPositions!E21</f>
        <v/>
      </c>
      <c r="F31">
        <f>IF(B31="BUY",$B$5,IF(B31="SELL",$B$6,""))</f>
        <v/>
      </c>
      <c r="G31">
        <f>IF(B31="BUY",(F31-E31)/Settings!$B$3,IF(B31="SELL",(E31-F31)/Settings!$B$3,0))</f>
        <v/>
      </c>
      <c r="H31">
        <f>G31*D31*Settings!$B$4</f>
        <v/>
      </c>
      <c r="I31">
        <f>CurrentPositions!I21</f>
        <v/>
      </c>
      <c r="J31">
        <f>CurrentPositions!J21</f>
        <v/>
      </c>
      <c r="K31">
        <f>IF(AND(B31="BUY",H31&lt;0),H31,"")</f>
        <v/>
      </c>
      <c r="L31">
        <f>IF(K31&lt;&gt;"",A31,"")</f>
        <v/>
      </c>
    </row>
    <row r="32">
      <c r="A32">
        <f>CurrentPositions!A22</f>
        <v/>
      </c>
      <c r="B32">
        <f>CurrentPositions!B22</f>
        <v/>
      </c>
      <c r="C32">
        <f>CurrentPositions!C22</f>
        <v/>
      </c>
      <c r="D32">
        <f>CurrentPositions!D22</f>
        <v/>
      </c>
      <c r="E32">
        <f>CurrentPositions!E22</f>
        <v/>
      </c>
      <c r="F32">
        <f>IF(B32="BUY",$B$5,IF(B32="SELL",$B$6,""))</f>
        <v/>
      </c>
      <c r="G32">
        <f>IF(B32="BUY",(F32-E32)/Settings!$B$3,IF(B32="SELL",(E32-F32)/Settings!$B$3,0))</f>
        <v/>
      </c>
      <c r="H32">
        <f>G32*D32*Settings!$B$4</f>
        <v/>
      </c>
      <c r="I32">
        <f>CurrentPositions!I22</f>
        <v/>
      </c>
      <c r="J32">
        <f>CurrentPositions!J22</f>
        <v/>
      </c>
      <c r="K32">
        <f>IF(AND(B32="BUY",H32&lt;0),H32,"")</f>
        <v/>
      </c>
      <c r="L32">
        <f>IF(K32&lt;&gt;"",A32,"")</f>
        <v/>
      </c>
    </row>
    <row r="33">
      <c r="A33">
        <f>CurrentPositions!A23</f>
        <v/>
      </c>
      <c r="B33">
        <f>CurrentPositions!B23</f>
        <v/>
      </c>
      <c r="C33">
        <f>CurrentPositions!C23</f>
        <v/>
      </c>
      <c r="D33">
        <f>CurrentPositions!D23</f>
        <v/>
      </c>
      <c r="E33">
        <f>CurrentPositions!E23</f>
        <v/>
      </c>
      <c r="F33">
        <f>IF(B33="BUY",$B$5,IF(B33="SELL",$B$6,""))</f>
        <v/>
      </c>
      <c r="G33">
        <f>IF(B33="BUY",(F33-E33)/Settings!$B$3,IF(B33="SELL",(E33-F33)/Settings!$B$3,0))</f>
        <v/>
      </c>
      <c r="H33">
        <f>G33*D33*Settings!$B$4</f>
        <v/>
      </c>
      <c r="I33">
        <f>CurrentPositions!I23</f>
        <v/>
      </c>
      <c r="J33">
        <f>CurrentPositions!J23</f>
        <v/>
      </c>
      <c r="K33">
        <f>IF(AND(B33="BUY",H33&lt;0),H33,"")</f>
        <v/>
      </c>
      <c r="L33">
        <f>IF(K33&lt;&gt;"",A33,"")</f>
        <v/>
      </c>
    </row>
    <row r="34">
      <c r="A34">
        <f>CurrentPositions!A24</f>
        <v/>
      </c>
      <c r="B34">
        <f>CurrentPositions!B24</f>
        <v/>
      </c>
      <c r="C34">
        <f>CurrentPositions!C24</f>
        <v/>
      </c>
      <c r="D34">
        <f>CurrentPositions!D24</f>
        <v/>
      </c>
      <c r="E34">
        <f>CurrentPositions!E24</f>
        <v/>
      </c>
      <c r="F34">
        <f>IF(B34="BUY",$B$5,IF(B34="SELL",$B$6,""))</f>
        <v/>
      </c>
      <c r="G34">
        <f>IF(B34="BUY",(F34-E34)/Settings!$B$3,IF(B34="SELL",(E34-F34)/Settings!$B$3,0))</f>
        <v/>
      </c>
      <c r="H34">
        <f>G34*D34*Settings!$B$4</f>
        <v/>
      </c>
      <c r="I34">
        <f>CurrentPositions!I24</f>
        <v/>
      </c>
      <c r="J34">
        <f>CurrentPositions!J24</f>
        <v/>
      </c>
      <c r="K34">
        <f>IF(AND(B34="BUY",H34&lt;0),H34,"")</f>
        <v/>
      </c>
      <c r="L34">
        <f>IF(K34&lt;&gt;"",A34,"")</f>
        <v/>
      </c>
    </row>
    <row r="35">
      <c r="A35">
        <f>CurrentPositions!A25</f>
        <v/>
      </c>
      <c r="B35">
        <f>CurrentPositions!B25</f>
        <v/>
      </c>
      <c r="C35">
        <f>CurrentPositions!C25</f>
        <v/>
      </c>
      <c r="D35">
        <f>CurrentPositions!D25</f>
        <v/>
      </c>
      <c r="E35">
        <f>CurrentPositions!E25</f>
        <v/>
      </c>
      <c r="F35">
        <f>IF(B35="BUY",$B$5,IF(B35="SELL",$B$6,""))</f>
        <v/>
      </c>
      <c r="G35">
        <f>IF(B35="BUY",(F35-E35)/Settings!$B$3,IF(B35="SELL",(E35-F35)/Settings!$B$3,0))</f>
        <v/>
      </c>
      <c r="H35">
        <f>G35*D35*Settings!$B$4</f>
        <v/>
      </c>
      <c r="I35">
        <f>CurrentPositions!I25</f>
        <v/>
      </c>
      <c r="J35">
        <f>CurrentPositions!J25</f>
        <v/>
      </c>
      <c r="K35">
        <f>IF(AND(B35="BUY",H35&lt;0),H35,"")</f>
        <v/>
      </c>
      <c r="L35">
        <f>IF(K35&lt;&gt;"",A35,"")</f>
        <v/>
      </c>
    </row>
    <row r="36">
      <c r="A36">
        <f>CurrentPositions!A26</f>
        <v/>
      </c>
      <c r="B36">
        <f>CurrentPositions!B26</f>
        <v/>
      </c>
      <c r="C36">
        <f>CurrentPositions!C26</f>
        <v/>
      </c>
      <c r="D36">
        <f>CurrentPositions!D26</f>
        <v/>
      </c>
      <c r="E36">
        <f>CurrentPositions!E26</f>
        <v/>
      </c>
      <c r="F36">
        <f>IF(B36="BUY",$B$5,IF(B36="SELL",$B$6,""))</f>
        <v/>
      </c>
      <c r="G36">
        <f>IF(B36="BUY",(F36-E36)/Settings!$B$3,IF(B36="SELL",(E36-F36)/Settings!$B$3,0))</f>
        <v/>
      </c>
      <c r="H36">
        <f>G36*D36*Settings!$B$4</f>
        <v/>
      </c>
      <c r="I36">
        <f>CurrentPositions!I26</f>
        <v/>
      </c>
      <c r="J36">
        <f>CurrentPositions!J26</f>
        <v/>
      </c>
      <c r="K36">
        <f>IF(AND(B36="BUY",H36&lt;0),H36,"")</f>
        <v/>
      </c>
      <c r="L36">
        <f>IF(K36&lt;&gt;"",A36,"")</f>
        <v/>
      </c>
    </row>
    <row r="37">
      <c r="A37">
        <f>CurrentPositions!A27</f>
        <v/>
      </c>
      <c r="B37">
        <f>CurrentPositions!B27</f>
        <v/>
      </c>
      <c r="C37">
        <f>CurrentPositions!C27</f>
        <v/>
      </c>
      <c r="D37">
        <f>CurrentPositions!D27</f>
        <v/>
      </c>
      <c r="E37">
        <f>CurrentPositions!E27</f>
        <v/>
      </c>
      <c r="F37">
        <f>IF(B37="BUY",$B$5,IF(B37="SELL",$B$6,""))</f>
        <v/>
      </c>
      <c r="G37">
        <f>IF(B37="BUY",(F37-E37)/Settings!$B$3,IF(B37="SELL",(E37-F37)/Settings!$B$3,0))</f>
        <v/>
      </c>
      <c r="H37">
        <f>G37*D37*Settings!$B$4</f>
        <v/>
      </c>
      <c r="I37">
        <f>CurrentPositions!I27</f>
        <v/>
      </c>
      <c r="J37">
        <f>CurrentPositions!J27</f>
        <v/>
      </c>
      <c r="K37">
        <f>IF(AND(B37="BUY",H37&lt;0),H37,"")</f>
        <v/>
      </c>
      <c r="L37">
        <f>IF(K37&lt;&gt;"",A37,"")</f>
        <v/>
      </c>
    </row>
    <row r="38">
      <c r="A38">
        <f>CurrentPositions!A28</f>
        <v/>
      </c>
      <c r="B38">
        <f>CurrentPositions!B28</f>
        <v/>
      </c>
      <c r="C38">
        <f>CurrentPositions!C28</f>
        <v/>
      </c>
      <c r="D38">
        <f>CurrentPositions!D28</f>
        <v/>
      </c>
      <c r="E38">
        <f>CurrentPositions!E28</f>
        <v/>
      </c>
      <c r="F38">
        <f>IF(B38="BUY",$B$5,IF(B38="SELL",$B$6,""))</f>
        <v/>
      </c>
      <c r="G38">
        <f>IF(B38="BUY",(F38-E38)/Settings!$B$3,IF(B38="SELL",(E38-F38)/Settings!$B$3,0))</f>
        <v/>
      </c>
      <c r="H38">
        <f>G38*D38*Settings!$B$4</f>
        <v/>
      </c>
      <c r="I38">
        <f>CurrentPositions!I28</f>
        <v/>
      </c>
      <c r="J38">
        <f>CurrentPositions!J28</f>
        <v/>
      </c>
      <c r="K38">
        <f>IF(AND(B38="BUY",H38&lt;0),H38,"")</f>
        <v/>
      </c>
      <c r="L38">
        <f>IF(K38&lt;&gt;"",A38,"")</f>
        <v/>
      </c>
    </row>
    <row r="39">
      <c r="A39">
        <f>CurrentPositions!A29</f>
        <v/>
      </c>
      <c r="B39">
        <f>CurrentPositions!B29</f>
        <v/>
      </c>
      <c r="C39">
        <f>CurrentPositions!C29</f>
        <v/>
      </c>
      <c r="D39">
        <f>CurrentPositions!D29</f>
        <v/>
      </c>
      <c r="E39">
        <f>CurrentPositions!E29</f>
        <v/>
      </c>
      <c r="F39">
        <f>IF(B39="BUY",$B$5,IF(B39="SELL",$B$6,""))</f>
        <v/>
      </c>
      <c r="G39">
        <f>IF(B39="BUY",(F39-E39)/Settings!$B$3,IF(B39="SELL",(E39-F39)/Settings!$B$3,0))</f>
        <v/>
      </c>
      <c r="H39">
        <f>G39*D39*Settings!$B$4</f>
        <v/>
      </c>
      <c r="I39">
        <f>CurrentPositions!I29</f>
        <v/>
      </c>
      <c r="J39">
        <f>CurrentPositions!J29</f>
        <v/>
      </c>
      <c r="K39">
        <f>IF(AND(B39="BUY",H39&lt;0),H39,"")</f>
        <v/>
      </c>
      <c r="L39">
        <f>IF(K39&lt;&gt;"",A39,"")</f>
        <v/>
      </c>
    </row>
    <row r="40">
      <c r="A40">
        <f>CurrentPositions!A30</f>
        <v/>
      </c>
      <c r="B40">
        <f>CurrentPositions!B30</f>
        <v/>
      </c>
      <c r="C40">
        <f>CurrentPositions!C30</f>
        <v/>
      </c>
      <c r="D40">
        <f>CurrentPositions!D30</f>
        <v/>
      </c>
      <c r="E40">
        <f>CurrentPositions!E30</f>
        <v/>
      </c>
      <c r="F40">
        <f>IF(B40="BUY",$B$5,IF(B40="SELL",$B$6,""))</f>
        <v/>
      </c>
      <c r="G40">
        <f>IF(B40="BUY",(F40-E40)/Settings!$B$3,IF(B40="SELL",(E40-F40)/Settings!$B$3,0))</f>
        <v/>
      </c>
      <c r="H40">
        <f>G40*D40*Settings!$B$4</f>
        <v/>
      </c>
      <c r="I40">
        <f>CurrentPositions!I30</f>
        <v/>
      </c>
      <c r="J40">
        <f>CurrentPositions!J30</f>
        <v/>
      </c>
      <c r="K40">
        <f>IF(AND(B40="BUY",H40&lt;0),H40,"")</f>
        <v/>
      </c>
      <c r="L40">
        <f>IF(K40&lt;&gt;"",A40,"")</f>
        <v/>
      </c>
    </row>
    <row r="41">
      <c r="A41">
        <f>CurrentPositions!A31</f>
        <v/>
      </c>
      <c r="B41">
        <f>CurrentPositions!B31</f>
        <v/>
      </c>
      <c r="C41">
        <f>CurrentPositions!C31</f>
        <v/>
      </c>
      <c r="D41">
        <f>CurrentPositions!D31</f>
        <v/>
      </c>
      <c r="E41">
        <f>CurrentPositions!E31</f>
        <v/>
      </c>
      <c r="F41">
        <f>IF(B41="BUY",$B$5,IF(B41="SELL",$B$6,""))</f>
        <v/>
      </c>
      <c r="G41">
        <f>IF(B41="BUY",(F41-E41)/Settings!$B$3,IF(B41="SELL",(E41-F41)/Settings!$B$3,0))</f>
        <v/>
      </c>
      <c r="H41">
        <f>G41*D41*Settings!$B$4</f>
        <v/>
      </c>
      <c r="I41">
        <f>CurrentPositions!I31</f>
        <v/>
      </c>
      <c r="J41">
        <f>CurrentPositions!J31</f>
        <v/>
      </c>
      <c r="K41">
        <f>IF(AND(B41="BUY",H41&lt;0),H41,"")</f>
        <v/>
      </c>
      <c r="L41">
        <f>IF(K41&lt;&gt;"",A41,"")</f>
        <v/>
      </c>
    </row>
    <row r="42">
      <c r="A42">
        <f>CurrentPositions!A32</f>
        <v/>
      </c>
      <c r="B42">
        <f>CurrentPositions!B32</f>
        <v/>
      </c>
      <c r="C42">
        <f>CurrentPositions!C32</f>
        <v/>
      </c>
      <c r="D42">
        <f>CurrentPositions!D32</f>
        <v/>
      </c>
      <c r="E42">
        <f>CurrentPositions!E32</f>
        <v/>
      </c>
      <c r="F42">
        <f>IF(B42="BUY",$B$5,IF(B42="SELL",$B$6,""))</f>
        <v/>
      </c>
      <c r="G42">
        <f>IF(B42="BUY",(F42-E42)/Settings!$B$3,IF(B42="SELL",(E42-F42)/Settings!$B$3,0))</f>
        <v/>
      </c>
      <c r="H42">
        <f>G42*D42*Settings!$B$4</f>
        <v/>
      </c>
      <c r="I42">
        <f>CurrentPositions!I32</f>
        <v/>
      </c>
      <c r="J42">
        <f>CurrentPositions!J32</f>
        <v/>
      </c>
      <c r="K42">
        <f>IF(AND(B42="BUY",H42&lt;0),H42,"")</f>
        <v/>
      </c>
      <c r="L42">
        <f>IF(K42&lt;&gt;"",A42,"")</f>
        <v/>
      </c>
    </row>
    <row r="43">
      <c r="A43">
        <f>CurrentPositions!A33</f>
        <v/>
      </c>
      <c r="B43">
        <f>CurrentPositions!B33</f>
        <v/>
      </c>
      <c r="C43">
        <f>CurrentPositions!C33</f>
        <v/>
      </c>
      <c r="D43">
        <f>CurrentPositions!D33</f>
        <v/>
      </c>
      <c r="E43">
        <f>CurrentPositions!E33</f>
        <v/>
      </c>
      <c r="F43">
        <f>IF(B43="BUY",$B$5,IF(B43="SELL",$B$6,""))</f>
        <v/>
      </c>
      <c r="G43">
        <f>IF(B43="BUY",(F43-E43)/Settings!$B$3,IF(B43="SELL",(E43-F43)/Settings!$B$3,0))</f>
        <v/>
      </c>
      <c r="H43">
        <f>G43*D43*Settings!$B$4</f>
        <v/>
      </c>
      <c r="I43">
        <f>CurrentPositions!I33</f>
        <v/>
      </c>
      <c r="J43">
        <f>CurrentPositions!J33</f>
        <v/>
      </c>
      <c r="K43">
        <f>IF(AND(B43="BUY",H43&lt;0),H43,"")</f>
        <v/>
      </c>
      <c r="L43">
        <f>IF(K43&lt;&gt;"",A43,"")</f>
        <v/>
      </c>
    </row>
    <row r="44">
      <c r="A44">
        <f>CurrentPositions!A34</f>
        <v/>
      </c>
      <c r="B44">
        <f>CurrentPositions!B34</f>
        <v/>
      </c>
      <c r="C44">
        <f>CurrentPositions!C34</f>
        <v/>
      </c>
      <c r="D44">
        <f>CurrentPositions!D34</f>
        <v/>
      </c>
      <c r="E44">
        <f>CurrentPositions!E34</f>
        <v/>
      </c>
      <c r="F44">
        <f>IF(B44="BUY",$B$5,IF(B44="SELL",$B$6,""))</f>
        <v/>
      </c>
      <c r="G44">
        <f>IF(B44="BUY",(F44-E44)/Settings!$B$3,IF(B44="SELL",(E44-F44)/Settings!$B$3,0))</f>
        <v/>
      </c>
      <c r="H44">
        <f>G44*D44*Settings!$B$4</f>
        <v/>
      </c>
      <c r="I44">
        <f>CurrentPositions!I34</f>
        <v/>
      </c>
      <c r="J44">
        <f>CurrentPositions!J34</f>
        <v/>
      </c>
      <c r="K44">
        <f>IF(AND(B44="BUY",H44&lt;0),H44,"")</f>
        <v/>
      </c>
      <c r="L44">
        <f>IF(K44&lt;&gt;"",A44,"")</f>
        <v/>
      </c>
    </row>
    <row r="45">
      <c r="A45">
        <f>CurrentPositions!A35</f>
        <v/>
      </c>
      <c r="B45">
        <f>CurrentPositions!B35</f>
        <v/>
      </c>
      <c r="C45">
        <f>CurrentPositions!C35</f>
        <v/>
      </c>
      <c r="D45">
        <f>CurrentPositions!D35</f>
        <v/>
      </c>
      <c r="E45">
        <f>CurrentPositions!E35</f>
        <v/>
      </c>
      <c r="F45">
        <f>IF(B45="BUY",$B$5,IF(B45="SELL",$B$6,""))</f>
        <v/>
      </c>
      <c r="G45">
        <f>IF(B45="BUY",(F45-E45)/Settings!$B$3,IF(B45="SELL",(E45-F45)/Settings!$B$3,0))</f>
        <v/>
      </c>
      <c r="H45">
        <f>G45*D45*Settings!$B$4</f>
        <v/>
      </c>
      <c r="I45">
        <f>CurrentPositions!I35</f>
        <v/>
      </c>
      <c r="J45">
        <f>CurrentPositions!J35</f>
        <v/>
      </c>
      <c r="K45">
        <f>IF(AND(B45="BUY",H45&lt;0),H45,"")</f>
        <v/>
      </c>
      <c r="L45">
        <f>IF(K45&lt;&gt;"",A45,"")</f>
        <v/>
      </c>
    </row>
    <row r="46">
      <c r="A46">
        <f>CurrentPositions!A36</f>
        <v/>
      </c>
      <c r="B46">
        <f>CurrentPositions!B36</f>
        <v/>
      </c>
      <c r="C46">
        <f>CurrentPositions!C36</f>
        <v/>
      </c>
      <c r="D46">
        <f>CurrentPositions!D36</f>
        <v/>
      </c>
      <c r="E46">
        <f>CurrentPositions!E36</f>
        <v/>
      </c>
      <c r="F46">
        <f>IF(B46="BUY",$B$5,IF(B46="SELL",$B$6,""))</f>
        <v/>
      </c>
      <c r="G46">
        <f>IF(B46="BUY",(F46-E46)/Settings!$B$3,IF(B46="SELL",(E46-F46)/Settings!$B$3,0))</f>
        <v/>
      </c>
      <c r="H46">
        <f>G46*D46*Settings!$B$4</f>
        <v/>
      </c>
      <c r="I46">
        <f>CurrentPositions!I36</f>
        <v/>
      </c>
      <c r="J46">
        <f>CurrentPositions!J36</f>
        <v/>
      </c>
      <c r="K46">
        <f>IF(AND(B46="BUY",H46&lt;0),H46,"")</f>
        <v/>
      </c>
      <c r="L46">
        <f>IF(K46&lt;&gt;"",A46,"")</f>
        <v/>
      </c>
    </row>
    <row r="47">
      <c r="A47">
        <f>CurrentPositions!A37</f>
        <v/>
      </c>
      <c r="B47">
        <f>CurrentPositions!B37</f>
        <v/>
      </c>
      <c r="C47">
        <f>CurrentPositions!C37</f>
        <v/>
      </c>
      <c r="D47">
        <f>CurrentPositions!D37</f>
        <v/>
      </c>
      <c r="E47">
        <f>CurrentPositions!E37</f>
        <v/>
      </c>
      <c r="F47">
        <f>IF(B47="BUY",$B$5,IF(B47="SELL",$B$6,""))</f>
        <v/>
      </c>
      <c r="G47">
        <f>IF(B47="BUY",(F47-E47)/Settings!$B$3,IF(B47="SELL",(E47-F47)/Settings!$B$3,0))</f>
        <v/>
      </c>
      <c r="H47">
        <f>G47*D47*Settings!$B$4</f>
        <v/>
      </c>
      <c r="I47">
        <f>CurrentPositions!I37</f>
        <v/>
      </c>
      <c r="J47">
        <f>CurrentPositions!J37</f>
        <v/>
      </c>
      <c r="K47">
        <f>IF(AND(B47="BUY",H47&lt;0),H47,"")</f>
        <v/>
      </c>
      <c r="L47">
        <f>IF(K47&lt;&gt;"",A47,"")</f>
        <v/>
      </c>
    </row>
    <row r="48">
      <c r="A48">
        <f>CurrentPositions!A38</f>
        <v/>
      </c>
      <c r="B48">
        <f>CurrentPositions!B38</f>
        <v/>
      </c>
      <c r="C48">
        <f>CurrentPositions!C38</f>
        <v/>
      </c>
      <c r="D48">
        <f>CurrentPositions!D38</f>
        <v/>
      </c>
      <c r="E48">
        <f>CurrentPositions!E38</f>
        <v/>
      </c>
      <c r="F48">
        <f>IF(B48="BUY",$B$5,IF(B48="SELL",$B$6,""))</f>
        <v/>
      </c>
      <c r="G48">
        <f>IF(B48="BUY",(F48-E48)/Settings!$B$3,IF(B48="SELL",(E48-F48)/Settings!$B$3,0))</f>
        <v/>
      </c>
      <c r="H48">
        <f>G48*D48*Settings!$B$4</f>
        <v/>
      </c>
      <c r="I48">
        <f>CurrentPositions!I38</f>
        <v/>
      </c>
      <c r="J48">
        <f>CurrentPositions!J38</f>
        <v/>
      </c>
      <c r="K48">
        <f>IF(AND(B48="BUY",H48&lt;0),H48,"")</f>
        <v/>
      </c>
      <c r="L48">
        <f>IF(K48&lt;&gt;"",A48,"")</f>
        <v/>
      </c>
    </row>
    <row r="49">
      <c r="A49">
        <f>CurrentPositions!A39</f>
        <v/>
      </c>
      <c r="B49">
        <f>CurrentPositions!B39</f>
        <v/>
      </c>
      <c r="C49">
        <f>CurrentPositions!C39</f>
        <v/>
      </c>
      <c r="D49">
        <f>CurrentPositions!D39</f>
        <v/>
      </c>
      <c r="E49">
        <f>CurrentPositions!E39</f>
        <v/>
      </c>
      <c r="F49">
        <f>IF(B49="BUY",$B$5,IF(B49="SELL",$B$6,""))</f>
        <v/>
      </c>
      <c r="G49">
        <f>IF(B49="BUY",(F49-E49)/Settings!$B$3,IF(B49="SELL",(E49-F49)/Settings!$B$3,0))</f>
        <v/>
      </c>
      <c r="H49">
        <f>G49*D49*Settings!$B$4</f>
        <v/>
      </c>
      <c r="I49">
        <f>CurrentPositions!I39</f>
        <v/>
      </c>
      <c r="J49">
        <f>CurrentPositions!J39</f>
        <v/>
      </c>
      <c r="K49">
        <f>IF(AND(B49="BUY",H49&lt;0),H49,"")</f>
        <v/>
      </c>
      <c r="L49">
        <f>IF(K49&lt;&gt;"",A49,"")</f>
        <v/>
      </c>
    </row>
    <row r="50">
      <c r="A50">
        <f>CurrentPositions!A40</f>
        <v/>
      </c>
      <c r="B50">
        <f>CurrentPositions!B40</f>
        <v/>
      </c>
      <c r="C50">
        <f>CurrentPositions!C40</f>
        <v/>
      </c>
      <c r="D50">
        <f>CurrentPositions!D40</f>
        <v/>
      </c>
      <c r="E50">
        <f>CurrentPositions!E40</f>
        <v/>
      </c>
      <c r="F50">
        <f>IF(B50="BUY",$B$5,IF(B50="SELL",$B$6,""))</f>
        <v/>
      </c>
      <c r="G50">
        <f>IF(B50="BUY",(F50-E50)/Settings!$B$3,IF(B50="SELL",(E50-F50)/Settings!$B$3,0))</f>
        <v/>
      </c>
      <c r="H50">
        <f>G50*D50*Settings!$B$4</f>
        <v/>
      </c>
      <c r="I50">
        <f>CurrentPositions!I40</f>
        <v/>
      </c>
      <c r="J50">
        <f>CurrentPositions!J40</f>
        <v/>
      </c>
      <c r="K50">
        <f>IF(AND(B50="BUY",H50&lt;0),H50,"")</f>
        <v/>
      </c>
      <c r="L50">
        <f>IF(K50&lt;&gt;"",A50,"")</f>
        <v/>
      </c>
    </row>
    <row r="51">
      <c r="A51">
        <f>CurrentPositions!A41</f>
        <v/>
      </c>
      <c r="B51">
        <f>CurrentPositions!B41</f>
        <v/>
      </c>
      <c r="C51">
        <f>CurrentPositions!C41</f>
        <v/>
      </c>
      <c r="D51">
        <f>CurrentPositions!D41</f>
        <v/>
      </c>
      <c r="E51">
        <f>CurrentPositions!E41</f>
        <v/>
      </c>
      <c r="F51">
        <f>IF(B51="BUY",$B$5,IF(B51="SELL",$B$6,""))</f>
        <v/>
      </c>
      <c r="G51">
        <f>IF(B51="BUY",(F51-E51)/Settings!$B$3,IF(B51="SELL",(E51-F51)/Settings!$B$3,0))</f>
        <v/>
      </c>
      <c r="H51">
        <f>G51*D51*Settings!$B$4</f>
        <v/>
      </c>
      <c r="I51">
        <f>CurrentPositions!I41</f>
        <v/>
      </c>
      <c r="J51">
        <f>CurrentPositions!J41</f>
        <v/>
      </c>
      <c r="K51">
        <f>IF(AND(B51="BUY",H51&lt;0),H51,"")</f>
        <v/>
      </c>
      <c r="L51">
        <f>IF(K51&lt;&gt;"",A51,"")</f>
        <v/>
      </c>
    </row>
    <row r="52">
      <c r="A52">
        <f>CurrentPositions!A42</f>
        <v/>
      </c>
      <c r="B52">
        <f>CurrentPositions!B42</f>
        <v/>
      </c>
      <c r="C52">
        <f>CurrentPositions!C42</f>
        <v/>
      </c>
      <c r="D52">
        <f>CurrentPositions!D42</f>
        <v/>
      </c>
      <c r="E52">
        <f>CurrentPositions!E42</f>
        <v/>
      </c>
      <c r="F52">
        <f>IF(B52="BUY",$B$5,IF(B52="SELL",$B$6,""))</f>
        <v/>
      </c>
      <c r="G52">
        <f>IF(B52="BUY",(F52-E52)/Settings!$B$3,IF(B52="SELL",(E52-F52)/Settings!$B$3,0))</f>
        <v/>
      </c>
      <c r="H52">
        <f>G52*D52*Settings!$B$4</f>
        <v/>
      </c>
      <c r="I52">
        <f>CurrentPositions!I42</f>
        <v/>
      </c>
      <c r="J52">
        <f>CurrentPositions!J42</f>
        <v/>
      </c>
      <c r="K52">
        <f>IF(AND(B52="BUY",H52&lt;0),H52,"")</f>
        <v/>
      </c>
      <c r="L52">
        <f>IF(K52&lt;&gt;"",A52,"")</f>
        <v/>
      </c>
    </row>
    <row r="53">
      <c r="A53">
        <f>CurrentPositions!A43</f>
        <v/>
      </c>
      <c r="B53">
        <f>CurrentPositions!B43</f>
        <v/>
      </c>
      <c r="C53">
        <f>CurrentPositions!C43</f>
        <v/>
      </c>
      <c r="D53">
        <f>CurrentPositions!D43</f>
        <v/>
      </c>
      <c r="E53">
        <f>CurrentPositions!E43</f>
        <v/>
      </c>
      <c r="F53">
        <f>IF(B53="BUY",$B$5,IF(B53="SELL",$B$6,""))</f>
        <v/>
      </c>
      <c r="G53">
        <f>IF(B53="BUY",(F53-E53)/Settings!$B$3,IF(B53="SELL",(E53-F53)/Settings!$B$3,0))</f>
        <v/>
      </c>
      <c r="H53">
        <f>G53*D53*Settings!$B$4</f>
        <v/>
      </c>
      <c r="I53">
        <f>CurrentPositions!I43</f>
        <v/>
      </c>
      <c r="J53">
        <f>CurrentPositions!J43</f>
        <v/>
      </c>
      <c r="K53">
        <f>IF(AND(B53="BUY",H53&lt;0),H53,"")</f>
        <v/>
      </c>
      <c r="L53">
        <f>IF(K53&lt;&gt;"",A53,"")</f>
        <v/>
      </c>
    </row>
    <row r="54">
      <c r="A54">
        <f>CurrentPositions!A44</f>
        <v/>
      </c>
      <c r="B54">
        <f>CurrentPositions!B44</f>
        <v/>
      </c>
      <c r="C54">
        <f>CurrentPositions!C44</f>
        <v/>
      </c>
      <c r="D54">
        <f>CurrentPositions!D44</f>
        <v/>
      </c>
      <c r="E54">
        <f>CurrentPositions!E44</f>
        <v/>
      </c>
      <c r="F54">
        <f>IF(B54="BUY",$B$5,IF(B54="SELL",$B$6,""))</f>
        <v/>
      </c>
      <c r="G54">
        <f>IF(B54="BUY",(F54-E54)/Settings!$B$3,IF(B54="SELL",(E54-F54)/Settings!$B$3,0))</f>
        <v/>
      </c>
      <c r="H54">
        <f>G54*D54*Settings!$B$4</f>
        <v/>
      </c>
      <c r="I54">
        <f>CurrentPositions!I44</f>
        <v/>
      </c>
      <c r="J54">
        <f>CurrentPositions!J44</f>
        <v/>
      </c>
      <c r="K54">
        <f>IF(AND(B54="BUY",H54&lt;0),H54,"")</f>
        <v/>
      </c>
      <c r="L54">
        <f>IF(K54&lt;&gt;"",A54,"")</f>
        <v/>
      </c>
    </row>
    <row r="55">
      <c r="A55">
        <f>CurrentPositions!A45</f>
        <v/>
      </c>
      <c r="B55">
        <f>CurrentPositions!B45</f>
        <v/>
      </c>
      <c r="C55">
        <f>CurrentPositions!C45</f>
        <v/>
      </c>
      <c r="D55">
        <f>CurrentPositions!D45</f>
        <v/>
      </c>
      <c r="E55">
        <f>CurrentPositions!E45</f>
        <v/>
      </c>
      <c r="F55">
        <f>IF(B55="BUY",$B$5,IF(B55="SELL",$B$6,""))</f>
        <v/>
      </c>
      <c r="G55">
        <f>IF(B55="BUY",(F55-E55)/Settings!$B$3,IF(B55="SELL",(E55-F55)/Settings!$B$3,0))</f>
        <v/>
      </c>
      <c r="H55">
        <f>G55*D55*Settings!$B$4</f>
        <v/>
      </c>
      <c r="I55">
        <f>CurrentPositions!I45</f>
        <v/>
      </c>
      <c r="J55">
        <f>CurrentPositions!J45</f>
        <v/>
      </c>
      <c r="K55">
        <f>IF(AND(B55="BUY",H55&lt;0),H55,"")</f>
        <v/>
      </c>
      <c r="L55">
        <f>IF(K55&lt;&gt;"",A55,"")</f>
        <v/>
      </c>
    </row>
    <row r="56">
      <c r="A56">
        <f>CurrentPositions!A46</f>
        <v/>
      </c>
      <c r="B56">
        <f>CurrentPositions!B46</f>
        <v/>
      </c>
      <c r="C56">
        <f>CurrentPositions!C46</f>
        <v/>
      </c>
      <c r="D56">
        <f>CurrentPositions!D46</f>
        <v/>
      </c>
      <c r="E56">
        <f>CurrentPositions!E46</f>
        <v/>
      </c>
      <c r="F56">
        <f>IF(B56="BUY",$B$5,IF(B56="SELL",$B$6,""))</f>
        <v/>
      </c>
      <c r="G56">
        <f>IF(B56="BUY",(F56-E56)/Settings!$B$3,IF(B56="SELL",(E56-F56)/Settings!$B$3,0))</f>
        <v/>
      </c>
      <c r="H56">
        <f>G56*D56*Settings!$B$4</f>
        <v/>
      </c>
      <c r="I56">
        <f>CurrentPositions!I46</f>
        <v/>
      </c>
      <c r="J56">
        <f>CurrentPositions!J46</f>
        <v/>
      </c>
      <c r="K56">
        <f>IF(AND(B56="BUY",H56&lt;0),H56,"")</f>
        <v/>
      </c>
      <c r="L56">
        <f>IF(K56&lt;&gt;"",A56,"")</f>
        <v/>
      </c>
    </row>
    <row r="57">
      <c r="A57">
        <f>CurrentPositions!A47</f>
        <v/>
      </c>
      <c r="B57">
        <f>CurrentPositions!B47</f>
        <v/>
      </c>
      <c r="C57">
        <f>CurrentPositions!C47</f>
        <v/>
      </c>
      <c r="D57">
        <f>CurrentPositions!D47</f>
        <v/>
      </c>
      <c r="E57">
        <f>CurrentPositions!E47</f>
        <v/>
      </c>
      <c r="F57">
        <f>IF(B57="BUY",$B$5,IF(B57="SELL",$B$6,""))</f>
        <v/>
      </c>
      <c r="G57">
        <f>IF(B57="BUY",(F57-E57)/Settings!$B$3,IF(B57="SELL",(E57-F57)/Settings!$B$3,0))</f>
        <v/>
      </c>
      <c r="H57">
        <f>G57*D57*Settings!$B$4</f>
        <v/>
      </c>
      <c r="I57">
        <f>CurrentPositions!I47</f>
        <v/>
      </c>
      <c r="J57">
        <f>CurrentPositions!J47</f>
        <v/>
      </c>
      <c r="K57">
        <f>IF(AND(B57="BUY",H57&lt;0),H57,"")</f>
        <v/>
      </c>
      <c r="L57">
        <f>IF(K57&lt;&gt;"",A57,"")</f>
        <v/>
      </c>
    </row>
    <row r="58">
      <c r="A58">
        <f>CurrentPositions!A48</f>
        <v/>
      </c>
      <c r="B58">
        <f>CurrentPositions!B48</f>
        <v/>
      </c>
      <c r="C58">
        <f>CurrentPositions!C48</f>
        <v/>
      </c>
      <c r="D58">
        <f>CurrentPositions!D48</f>
        <v/>
      </c>
      <c r="E58">
        <f>CurrentPositions!E48</f>
        <v/>
      </c>
      <c r="F58">
        <f>IF(B58="BUY",$B$5,IF(B58="SELL",$B$6,""))</f>
        <v/>
      </c>
      <c r="G58">
        <f>IF(B58="BUY",(F58-E58)/Settings!$B$3,IF(B58="SELL",(E58-F58)/Settings!$B$3,0))</f>
        <v/>
      </c>
      <c r="H58">
        <f>G58*D58*Settings!$B$4</f>
        <v/>
      </c>
      <c r="I58">
        <f>CurrentPositions!I48</f>
        <v/>
      </c>
      <c r="J58">
        <f>CurrentPositions!J48</f>
        <v/>
      </c>
      <c r="K58">
        <f>IF(AND(B58="BUY",H58&lt;0),H58,"")</f>
        <v/>
      </c>
      <c r="L58">
        <f>IF(K58&lt;&gt;"",A58,"")</f>
        <v/>
      </c>
    </row>
    <row r="59">
      <c r="A59">
        <f>CurrentPositions!A49</f>
        <v/>
      </c>
      <c r="B59">
        <f>CurrentPositions!B49</f>
        <v/>
      </c>
      <c r="C59">
        <f>CurrentPositions!C49</f>
        <v/>
      </c>
      <c r="D59">
        <f>CurrentPositions!D49</f>
        <v/>
      </c>
      <c r="E59">
        <f>CurrentPositions!E49</f>
        <v/>
      </c>
      <c r="F59">
        <f>IF(B59="BUY",$B$5,IF(B59="SELL",$B$6,""))</f>
        <v/>
      </c>
      <c r="G59">
        <f>IF(B59="BUY",(F59-E59)/Settings!$B$3,IF(B59="SELL",(E59-F59)/Settings!$B$3,0))</f>
        <v/>
      </c>
      <c r="H59">
        <f>G59*D59*Settings!$B$4</f>
        <v/>
      </c>
      <c r="I59">
        <f>CurrentPositions!I49</f>
        <v/>
      </c>
      <c r="J59">
        <f>CurrentPositions!J49</f>
        <v/>
      </c>
      <c r="K59">
        <f>IF(AND(B59="BUY",H59&lt;0),H59,"")</f>
        <v/>
      </c>
      <c r="L59">
        <f>IF(K59&lt;&gt;"",A59,"")</f>
        <v/>
      </c>
    </row>
    <row r="60">
      <c r="A60">
        <f>CurrentPositions!A50</f>
        <v/>
      </c>
      <c r="B60">
        <f>CurrentPositions!B50</f>
        <v/>
      </c>
      <c r="C60">
        <f>CurrentPositions!C50</f>
        <v/>
      </c>
      <c r="D60">
        <f>CurrentPositions!D50</f>
        <v/>
      </c>
      <c r="E60">
        <f>CurrentPositions!E50</f>
        <v/>
      </c>
      <c r="F60">
        <f>IF(B60="BUY",$B$5,IF(B60="SELL",$B$6,""))</f>
        <v/>
      </c>
      <c r="G60">
        <f>IF(B60="BUY",(F60-E60)/Settings!$B$3,IF(B60="SELL",(E60-F60)/Settings!$B$3,0))</f>
        <v/>
      </c>
      <c r="H60">
        <f>G60*D60*Settings!$B$4</f>
        <v/>
      </c>
      <c r="I60">
        <f>CurrentPositions!I50</f>
        <v/>
      </c>
      <c r="J60">
        <f>CurrentPositions!J50</f>
        <v/>
      </c>
      <c r="K60">
        <f>IF(AND(B60="BUY",H60&lt;0),H60,"")</f>
        <v/>
      </c>
      <c r="L60">
        <f>IF(K60&lt;&gt;"",A60,"")</f>
        <v/>
      </c>
    </row>
    <row r="61">
      <c r="A61">
        <f>CurrentPositions!A51</f>
        <v/>
      </c>
      <c r="B61">
        <f>CurrentPositions!B51</f>
        <v/>
      </c>
      <c r="C61">
        <f>CurrentPositions!C51</f>
        <v/>
      </c>
      <c r="D61">
        <f>CurrentPositions!D51</f>
        <v/>
      </c>
      <c r="E61">
        <f>CurrentPositions!E51</f>
        <v/>
      </c>
      <c r="F61">
        <f>IF(B61="BUY",$B$5,IF(B61="SELL",$B$6,""))</f>
        <v/>
      </c>
      <c r="G61">
        <f>IF(B61="BUY",(F61-E61)/Settings!$B$3,IF(B61="SELL",(E61-F61)/Settings!$B$3,0))</f>
        <v/>
      </c>
      <c r="H61">
        <f>G61*D61*Settings!$B$4</f>
        <v/>
      </c>
      <c r="I61">
        <f>CurrentPositions!I51</f>
        <v/>
      </c>
      <c r="J61">
        <f>CurrentPositions!J51</f>
        <v/>
      </c>
      <c r="K61">
        <f>IF(AND(B61="BUY",H61&lt;0),H61,"")</f>
        <v/>
      </c>
      <c r="L61">
        <f>IF(K61&lt;&gt;"",A61,"")</f>
        <v/>
      </c>
    </row>
    <row r="62">
      <c r="A62">
        <f>CurrentPositions!A52</f>
        <v/>
      </c>
      <c r="B62">
        <f>CurrentPositions!B52</f>
        <v/>
      </c>
      <c r="C62">
        <f>CurrentPositions!C52</f>
        <v/>
      </c>
      <c r="D62">
        <f>CurrentPositions!D52</f>
        <v/>
      </c>
      <c r="E62">
        <f>CurrentPositions!E52</f>
        <v/>
      </c>
      <c r="F62">
        <f>IF(B62="BUY",$B$5,IF(B62="SELL",$B$6,""))</f>
        <v/>
      </c>
      <c r="G62">
        <f>IF(B62="BUY",(F62-E62)/Settings!$B$3,IF(B62="SELL",(E62-F62)/Settings!$B$3,0))</f>
        <v/>
      </c>
      <c r="H62">
        <f>G62*D62*Settings!$B$4</f>
        <v/>
      </c>
      <c r="I62">
        <f>CurrentPositions!I52</f>
        <v/>
      </c>
      <c r="J62">
        <f>CurrentPositions!J52</f>
        <v/>
      </c>
      <c r="K62">
        <f>IF(AND(B62="BUY",H62&lt;0),H62,"")</f>
        <v/>
      </c>
      <c r="L62">
        <f>IF(K62&lt;&gt;"",A62,"")</f>
        <v/>
      </c>
    </row>
    <row r="63">
      <c r="A63">
        <f>CurrentPositions!A53</f>
        <v/>
      </c>
      <c r="B63">
        <f>CurrentPositions!B53</f>
        <v/>
      </c>
      <c r="C63">
        <f>CurrentPositions!C53</f>
        <v/>
      </c>
      <c r="D63">
        <f>CurrentPositions!D53</f>
        <v/>
      </c>
      <c r="E63">
        <f>CurrentPositions!E53</f>
        <v/>
      </c>
      <c r="F63">
        <f>IF(B63="BUY",$B$5,IF(B63="SELL",$B$6,""))</f>
        <v/>
      </c>
      <c r="G63">
        <f>IF(B63="BUY",(F63-E63)/Settings!$B$3,IF(B63="SELL",(E63-F63)/Settings!$B$3,0))</f>
        <v/>
      </c>
      <c r="H63">
        <f>G63*D63*Settings!$B$4</f>
        <v/>
      </c>
      <c r="I63">
        <f>CurrentPositions!I53</f>
        <v/>
      </c>
      <c r="J63">
        <f>CurrentPositions!J53</f>
        <v/>
      </c>
      <c r="K63">
        <f>IF(AND(B63="BUY",H63&lt;0),H63,"")</f>
        <v/>
      </c>
      <c r="L63">
        <f>IF(K63&lt;&gt;"",A63,"")</f>
        <v/>
      </c>
    </row>
    <row r="64">
      <c r="A64">
        <f>CurrentPositions!A54</f>
        <v/>
      </c>
      <c r="B64">
        <f>CurrentPositions!B54</f>
        <v/>
      </c>
      <c r="C64">
        <f>CurrentPositions!C54</f>
        <v/>
      </c>
      <c r="D64">
        <f>CurrentPositions!D54</f>
        <v/>
      </c>
      <c r="E64">
        <f>CurrentPositions!E54</f>
        <v/>
      </c>
      <c r="F64">
        <f>IF(B64="BUY",$B$5,IF(B64="SELL",$B$6,""))</f>
        <v/>
      </c>
      <c r="G64">
        <f>IF(B64="BUY",(F64-E64)/Settings!$B$3,IF(B64="SELL",(E64-F64)/Settings!$B$3,0))</f>
        <v/>
      </c>
      <c r="H64">
        <f>G64*D64*Settings!$B$4</f>
        <v/>
      </c>
      <c r="I64">
        <f>CurrentPositions!I54</f>
        <v/>
      </c>
      <c r="J64">
        <f>CurrentPositions!J54</f>
        <v/>
      </c>
      <c r="K64">
        <f>IF(AND(B64="BUY",H64&lt;0),H64,"")</f>
        <v/>
      </c>
      <c r="L64">
        <f>IF(K64&lt;&gt;"",A64,"")</f>
        <v/>
      </c>
    </row>
    <row r="65">
      <c r="A65">
        <f>CurrentPositions!A55</f>
        <v/>
      </c>
      <c r="B65">
        <f>CurrentPositions!B55</f>
        <v/>
      </c>
      <c r="C65">
        <f>CurrentPositions!C55</f>
        <v/>
      </c>
      <c r="D65">
        <f>CurrentPositions!D55</f>
        <v/>
      </c>
      <c r="E65">
        <f>CurrentPositions!E55</f>
        <v/>
      </c>
      <c r="F65">
        <f>IF(B65="BUY",$B$5,IF(B65="SELL",$B$6,""))</f>
        <v/>
      </c>
      <c r="G65">
        <f>IF(B65="BUY",(F65-E65)/Settings!$B$3,IF(B65="SELL",(E65-F65)/Settings!$B$3,0))</f>
        <v/>
      </c>
      <c r="H65">
        <f>G65*D65*Settings!$B$4</f>
        <v/>
      </c>
      <c r="I65">
        <f>CurrentPositions!I55</f>
        <v/>
      </c>
      <c r="J65">
        <f>CurrentPositions!J55</f>
        <v/>
      </c>
      <c r="K65">
        <f>IF(AND(B65="BUY",H65&lt;0),H65,"")</f>
        <v/>
      </c>
      <c r="L65">
        <f>IF(K65&lt;&gt;"",A65,"")</f>
        <v/>
      </c>
    </row>
    <row r="66">
      <c r="A66">
        <f>CurrentPositions!A56</f>
        <v/>
      </c>
      <c r="B66">
        <f>CurrentPositions!B56</f>
        <v/>
      </c>
      <c r="C66">
        <f>CurrentPositions!C56</f>
        <v/>
      </c>
      <c r="D66">
        <f>CurrentPositions!D56</f>
        <v/>
      </c>
      <c r="E66">
        <f>CurrentPositions!E56</f>
        <v/>
      </c>
      <c r="F66">
        <f>IF(B66="BUY",$B$5,IF(B66="SELL",$B$6,""))</f>
        <v/>
      </c>
      <c r="G66">
        <f>IF(B66="BUY",(F66-E66)/Settings!$B$3,IF(B66="SELL",(E66-F66)/Settings!$B$3,0))</f>
        <v/>
      </c>
      <c r="H66">
        <f>G66*D66*Settings!$B$4</f>
        <v/>
      </c>
      <c r="I66">
        <f>CurrentPositions!I56</f>
        <v/>
      </c>
      <c r="J66">
        <f>CurrentPositions!J56</f>
        <v/>
      </c>
      <c r="K66">
        <f>IF(AND(B66="BUY",H66&lt;0),H66,"")</f>
        <v/>
      </c>
      <c r="L66">
        <f>IF(K66&lt;&gt;"",A66,"")</f>
        <v/>
      </c>
    </row>
    <row r="67">
      <c r="A67">
        <f>CurrentPositions!A57</f>
        <v/>
      </c>
      <c r="B67">
        <f>CurrentPositions!B57</f>
        <v/>
      </c>
      <c r="C67">
        <f>CurrentPositions!C57</f>
        <v/>
      </c>
      <c r="D67">
        <f>CurrentPositions!D57</f>
        <v/>
      </c>
      <c r="E67">
        <f>CurrentPositions!E57</f>
        <v/>
      </c>
      <c r="F67">
        <f>IF(B67="BUY",$B$5,IF(B67="SELL",$B$6,""))</f>
        <v/>
      </c>
      <c r="G67">
        <f>IF(B67="BUY",(F67-E67)/Settings!$B$3,IF(B67="SELL",(E67-F67)/Settings!$B$3,0))</f>
        <v/>
      </c>
      <c r="H67">
        <f>G67*D67*Settings!$B$4</f>
        <v/>
      </c>
      <c r="I67">
        <f>CurrentPositions!I57</f>
        <v/>
      </c>
      <c r="J67">
        <f>CurrentPositions!J57</f>
        <v/>
      </c>
      <c r="K67">
        <f>IF(AND(B67="BUY",H67&lt;0),H67,"")</f>
        <v/>
      </c>
      <c r="L67">
        <f>IF(K67&lt;&gt;"",A67,"")</f>
        <v/>
      </c>
    </row>
    <row r="68">
      <c r="A68">
        <f>CurrentPositions!A58</f>
        <v/>
      </c>
      <c r="B68">
        <f>CurrentPositions!B58</f>
        <v/>
      </c>
      <c r="C68">
        <f>CurrentPositions!C58</f>
        <v/>
      </c>
      <c r="D68">
        <f>CurrentPositions!D58</f>
        <v/>
      </c>
      <c r="E68">
        <f>CurrentPositions!E58</f>
        <v/>
      </c>
      <c r="F68">
        <f>IF(B68="BUY",$B$5,IF(B68="SELL",$B$6,""))</f>
        <v/>
      </c>
      <c r="G68">
        <f>IF(B68="BUY",(F68-E68)/Settings!$B$3,IF(B68="SELL",(E68-F68)/Settings!$B$3,0))</f>
        <v/>
      </c>
      <c r="H68">
        <f>G68*D68*Settings!$B$4</f>
        <v/>
      </c>
      <c r="I68">
        <f>CurrentPositions!I58</f>
        <v/>
      </c>
      <c r="J68">
        <f>CurrentPositions!J58</f>
        <v/>
      </c>
      <c r="K68">
        <f>IF(AND(B68="BUY",H68&lt;0),H68,"")</f>
        <v/>
      </c>
      <c r="L68">
        <f>IF(K68&lt;&gt;"",A68,"")</f>
        <v/>
      </c>
    </row>
    <row r="69">
      <c r="A69">
        <f>CurrentPositions!A59</f>
        <v/>
      </c>
      <c r="B69">
        <f>CurrentPositions!B59</f>
        <v/>
      </c>
      <c r="C69">
        <f>CurrentPositions!C59</f>
        <v/>
      </c>
      <c r="D69">
        <f>CurrentPositions!D59</f>
        <v/>
      </c>
      <c r="E69">
        <f>CurrentPositions!E59</f>
        <v/>
      </c>
      <c r="F69">
        <f>IF(B69="BUY",$B$5,IF(B69="SELL",$B$6,""))</f>
        <v/>
      </c>
      <c r="G69">
        <f>IF(B69="BUY",(F69-E69)/Settings!$B$3,IF(B69="SELL",(E69-F69)/Settings!$B$3,0))</f>
        <v/>
      </c>
      <c r="H69">
        <f>G69*D69*Settings!$B$4</f>
        <v/>
      </c>
      <c r="I69">
        <f>CurrentPositions!I59</f>
        <v/>
      </c>
      <c r="J69">
        <f>CurrentPositions!J59</f>
        <v/>
      </c>
      <c r="K69">
        <f>IF(AND(B69="BUY",H69&lt;0),H69,"")</f>
        <v/>
      </c>
      <c r="L69">
        <f>IF(K69&lt;&gt;"",A69,"")</f>
        <v/>
      </c>
    </row>
    <row r="70">
      <c r="A70">
        <f>CurrentPositions!A60</f>
        <v/>
      </c>
      <c r="B70">
        <f>CurrentPositions!B60</f>
        <v/>
      </c>
      <c r="C70">
        <f>CurrentPositions!C60</f>
        <v/>
      </c>
      <c r="D70">
        <f>CurrentPositions!D60</f>
        <v/>
      </c>
      <c r="E70">
        <f>CurrentPositions!E60</f>
        <v/>
      </c>
      <c r="F70">
        <f>IF(B70="BUY",$B$5,IF(B70="SELL",$B$6,""))</f>
        <v/>
      </c>
      <c r="G70">
        <f>IF(B70="BUY",(F70-E70)/Settings!$B$3,IF(B70="SELL",(E70-F70)/Settings!$B$3,0))</f>
        <v/>
      </c>
      <c r="H70">
        <f>G70*D70*Settings!$B$4</f>
        <v/>
      </c>
      <c r="I70">
        <f>CurrentPositions!I60</f>
        <v/>
      </c>
      <c r="J70">
        <f>CurrentPositions!J60</f>
        <v/>
      </c>
      <c r="K70">
        <f>IF(AND(B70="BUY",H70&lt;0),H70,"")</f>
        <v/>
      </c>
      <c r="L70">
        <f>IF(K70&lt;&gt;"",A70,"")</f>
        <v/>
      </c>
    </row>
    <row r="71">
      <c r="A71">
        <f>CurrentPositions!A61</f>
        <v/>
      </c>
      <c r="B71">
        <f>CurrentPositions!B61</f>
        <v/>
      </c>
      <c r="C71">
        <f>CurrentPositions!C61</f>
        <v/>
      </c>
      <c r="D71">
        <f>CurrentPositions!D61</f>
        <v/>
      </c>
      <c r="E71">
        <f>CurrentPositions!E61</f>
        <v/>
      </c>
      <c r="F71">
        <f>IF(B71="BUY",$B$5,IF(B71="SELL",$B$6,""))</f>
        <v/>
      </c>
      <c r="G71">
        <f>IF(B71="BUY",(F71-E71)/Settings!$B$3,IF(B71="SELL",(E71-F71)/Settings!$B$3,0))</f>
        <v/>
      </c>
      <c r="H71">
        <f>G71*D71*Settings!$B$4</f>
        <v/>
      </c>
      <c r="I71">
        <f>CurrentPositions!I61</f>
        <v/>
      </c>
      <c r="J71">
        <f>CurrentPositions!J61</f>
        <v/>
      </c>
      <c r="K71">
        <f>IF(AND(B71="BUY",H71&lt;0),H71,"")</f>
        <v/>
      </c>
      <c r="L71">
        <f>IF(K71&lt;&gt;"",A71,"")</f>
        <v/>
      </c>
    </row>
    <row r="72">
      <c r="A72">
        <f>CurrentPositions!A62</f>
        <v/>
      </c>
      <c r="B72">
        <f>CurrentPositions!B62</f>
        <v/>
      </c>
      <c r="C72">
        <f>CurrentPositions!C62</f>
        <v/>
      </c>
      <c r="D72">
        <f>CurrentPositions!D62</f>
        <v/>
      </c>
      <c r="E72">
        <f>CurrentPositions!E62</f>
        <v/>
      </c>
      <c r="F72">
        <f>IF(B72="BUY",$B$5,IF(B72="SELL",$B$6,""))</f>
        <v/>
      </c>
      <c r="G72">
        <f>IF(B72="BUY",(F72-E72)/Settings!$B$3,IF(B72="SELL",(E72-F72)/Settings!$B$3,0))</f>
        <v/>
      </c>
      <c r="H72">
        <f>G72*D72*Settings!$B$4</f>
        <v/>
      </c>
      <c r="I72">
        <f>CurrentPositions!I62</f>
        <v/>
      </c>
      <c r="J72">
        <f>CurrentPositions!J62</f>
        <v/>
      </c>
      <c r="K72">
        <f>IF(AND(B72="BUY",H72&lt;0),H72,"")</f>
        <v/>
      </c>
      <c r="L72">
        <f>IF(K72&lt;&gt;"",A72,"")</f>
        <v/>
      </c>
    </row>
    <row r="73">
      <c r="A73">
        <f>CurrentPositions!A63</f>
        <v/>
      </c>
      <c r="B73">
        <f>CurrentPositions!B63</f>
        <v/>
      </c>
      <c r="C73">
        <f>CurrentPositions!C63</f>
        <v/>
      </c>
      <c r="D73">
        <f>CurrentPositions!D63</f>
        <v/>
      </c>
      <c r="E73">
        <f>CurrentPositions!E63</f>
        <v/>
      </c>
      <c r="F73">
        <f>IF(B73="BUY",$B$5,IF(B73="SELL",$B$6,""))</f>
        <v/>
      </c>
      <c r="G73">
        <f>IF(B73="BUY",(F73-E73)/Settings!$B$3,IF(B73="SELL",(E73-F73)/Settings!$B$3,0))</f>
        <v/>
      </c>
      <c r="H73">
        <f>G73*D73*Settings!$B$4</f>
        <v/>
      </c>
      <c r="I73">
        <f>CurrentPositions!I63</f>
        <v/>
      </c>
      <c r="J73">
        <f>CurrentPositions!J63</f>
        <v/>
      </c>
      <c r="K73">
        <f>IF(AND(B73="BUY",H73&lt;0),H73,"")</f>
        <v/>
      </c>
      <c r="L73">
        <f>IF(K73&lt;&gt;"",A73,"")</f>
        <v/>
      </c>
    </row>
    <row r="74">
      <c r="A74">
        <f>CurrentPositions!A64</f>
        <v/>
      </c>
      <c r="B74">
        <f>CurrentPositions!B64</f>
        <v/>
      </c>
      <c r="C74">
        <f>CurrentPositions!C64</f>
        <v/>
      </c>
      <c r="D74">
        <f>CurrentPositions!D64</f>
        <v/>
      </c>
      <c r="E74">
        <f>CurrentPositions!E64</f>
        <v/>
      </c>
      <c r="F74">
        <f>IF(B74="BUY",$B$5,IF(B74="SELL",$B$6,""))</f>
        <v/>
      </c>
      <c r="G74">
        <f>IF(B74="BUY",(F74-E74)/Settings!$B$3,IF(B74="SELL",(E74-F74)/Settings!$B$3,0))</f>
        <v/>
      </c>
      <c r="H74">
        <f>G74*D74*Settings!$B$4</f>
        <v/>
      </c>
      <c r="I74">
        <f>CurrentPositions!I64</f>
        <v/>
      </c>
      <c r="J74">
        <f>CurrentPositions!J64</f>
        <v/>
      </c>
      <c r="K74">
        <f>IF(AND(B74="BUY",H74&lt;0),H74,"")</f>
        <v/>
      </c>
      <c r="L74">
        <f>IF(K74&lt;&gt;"",A74,"")</f>
        <v/>
      </c>
    </row>
    <row r="75">
      <c r="A75">
        <f>CurrentPositions!A65</f>
        <v/>
      </c>
      <c r="B75">
        <f>CurrentPositions!B65</f>
        <v/>
      </c>
      <c r="C75">
        <f>CurrentPositions!C65</f>
        <v/>
      </c>
      <c r="D75">
        <f>CurrentPositions!D65</f>
        <v/>
      </c>
      <c r="E75">
        <f>CurrentPositions!E65</f>
        <v/>
      </c>
      <c r="F75">
        <f>IF(B75="BUY",$B$5,IF(B75="SELL",$B$6,""))</f>
        <v/>
      </c>
      <c r="G75">
        <f>IF(B75="BUY",(F75-E75)/Settings!$B$3,IF(B75="SELL",(E75-F75)/Settings!$B$3,0))</f>
        <v/>
      </c>
      <c r="H75">
        <f>G75*D75*Settings!$B$4</f>
        <v/>
      </c>
      <c r="I75">
        <f>CurrentPositions!I65</f>
        <v/>
      </c>
      <c r="J75">
        <f>CurrentPositions!J65</f>
        <v/>
      </c>
      <c r="K75">
        <f>IF(AND(B75="BUY",H75&lt;0),H75,"")</f>
        <v/>
      </c>
      <c r="L75">
        <f>IF(K75&lt;&gt;"",A75,"")</f>
        <v/>
      </c>
    </row>
    <row r="76">
      <c r="A76">
        <f>CurrentPositions!A66</f>
        <v/>
      </c>
      <c r="B76">
        <f>CurrentPositions!B66</f>
        <v/>
      </c>
      <c r="C76">
        <f>CurrentPositions!C66</f>
        <v/>
      </c>
      <c r="D76">
        <f>CurrentPositions!D66</f>
        <v/>
      </c>
      <c r="E76">
        <f>CurrentPositions!E66</f>
        <v/>
      </c>
      <c r="F76">
        <f>IF(B76="BUY",$B$5,IF(B76="SELL",$B$6,""))</f>
        <v/>
      </c>
      <c r="G76">
        <f>IF(B76="BUY",(F76-E76)/Settings!$B$3,IF(B76="SELL",(E76-F76)/Settings!$B$3,0))</f>
        <v/>
      </c>
      <c r="H76">
        <f>G76*D76*Settings!$B$4</f>
        <v/>
      </c>
      <c r="I76">
        <f>CurrentPositions!I66</f>
        <v/>
      </c>
      <c r="J76">
        <f>CurrentPositions!J66</f>
        <v/>
      </c>
      <c r="K76">
        <f>IF(AND(B76="BUY",H76&lt;0),H76,"")</f>
        <v/>
      </c>
      <c r="L76">
        <f>IF(K76&lt;&gt;"",A76,"")</f>
        <v/>
      </c>
    </row>
    <row r="77">
      <c r="A77">
        <f>CurrentPositions!A67</f>
        <v/>
      </c>
      <c r="B77">
        <f>CurrentPositions!B67</f>
        <v/>
      </c>
      <c r="C77">
        <f>CurrentPositions!C67</f>
        <v/>
      </c>
      <c r="D77">
        <f>CurrentPositions!D67</f>
        <v/>
      </c>
      <c r="E77">
        <f>CurrentPositions!E67</f>
        <v/>
      </c>
      <c r="F77">
        <f>IF(B77="BUY",$B$5,IF(B77="SELL",$B$6,""))</f>
        <v/>
      </c>
      <c r="G77">
        <f>IF(B77="BUY",(F77-E77)/Settings!$B$3,IF(B77="SELL",(E77-F77)/Settings!$B$3,0))</f>
        <v/>
      </c>
      <c r="H77">
        <f>G77*D77*Settings!$B$4</f>
        <v/>
      </c>
      <c r="I77">
        <f>CurrentPositions!I67</f>
        <v/>
      </c>
      <c r="J77">
        <f>CurrentPositions!J67</f>
        <v/>
      </c>
      <c r="K77">
        <f>IF(AND(B77="BUY",H77&lt;0),H77,"")</f>
        <v/>
      </c>
      <c r="L77">
        <f>IF(K77&lt;&gt;"",A77,"")</f>
        <v/>
      </c>
    </row>
    <row r="78">
      <c r="A78">
        <f>CurrentPositions!A68</f>
        <v/>
      </c>
      <c r="B78">
        <f>CurrentPositions!B68</f>
        <v/>
      </c>
      <c r="C78">
        <f>CurrentPositions!C68</f>
        <v/>
      </c>
      <c r="D78">
        <f>CurrentPositions!D68</f>
        <v/>
      </c>
      <c r="E78">
        <f>CurrentPositions!E68</f>
        <v/>
      </c>
      <c r="F78">
        <f>IF(B78="BUY",$B$5,IF(B78="SELL",$B$6,""))</f>
        <v/>
      </c>
      <c r="G78">
        <f>IF(B78="BUY",(F78-E78)/Settings!$B$3,IF(B78="SELL",(E78-F78)/Settings!$B$3,0))</f>
        <v/>
      </c>
      <c r="H78">
        <f>G78*D78*Settings!$B$4</f>
        <v/>
      </c>
      <c r="I78">
        <f>CurrentPositions!I68</f>
        <v/>
      </c>
      <c r="J78">
        <f>CurrentPositions!J68</f>
        <v/>
      </c>
      <c r="K78">
        <f>IF(AND(B78="BUY",H78&lt;0),H78,"")</f>
        <v/>
      </c>
      <c r="L78">
        <f>IF(K78&lt;&gt;"",A78,"")</f>
        <v/>
      </c>
    </row>
    <row r="79">
      <c r="A79">
        <f>CurrentPositions!A69</f>
        <v/>
      </c>
      <c r="B79">
        <f>CurrentPositions!B69</f>
        <v/>
      </c>
      <c r="C79">
        <f>CurrentPositions!C69</f>
        <v/>
      </c>
      <c r="D79">
        <f>CurrentPositions!D69</f>
        <v/>
      </c>
      <c r="E79">
        <f>CurrentPositions!E69</f>
        <v/>
      </c>
      <c r="F79">
        <f>IF(B79="BUY",$B$5,IF(B79="SELL",$B$6,""))</f>
        <v/>
      </c>
      <c r="G79">
        <f>IF(B79="BUY",(F79-E79)/Settings!$B$3,IF(B79="SELL",(E79-F79)/Settings!$B$3,0))</f>
        <v/>
      </c>
      <c r="H79">
        <f>G79*D79*Settings!$B$4</f>
        <v/>
      </c>
      <c r="I79">
        <f>CurrentPositions!I69</f>
        <v/>
      </c>
      <c r="J79">
        <f>CurrentPositions!J69</f>
        <v/>
      </c>
      <c r="K79">
        <f>IF(AND(B79="BUY",H79&lt;0),H79,"")</f>
        <v/>
      </c>
      <c r="L79">
        <f>IF(K79&lt;&gt;"",A79,"")</f>
        <v/>
      </c>
    </row>
    <row r="80">
      <c r="A80">
        <f>CurrentPositions!A70</f>
        <v/>
      </c>
      <c r="B80">
        <f>CurrentPositions!B70</f>
        <v/>
      </c>
      <c r="C80">
        <f>CurrentPositions!C70</f>
        <v/>
      </c>
      <c r="D80">
        <f>CurrentPositions!D70</f>
        <v/>
      </c>
      <c r="E80">
        <f>CurrentPositions!E70</f>
        <v/>
      </c>
      <c r="F80">
        <f>IF(B80="BUY",$B$5,IF(B80="SELL",$B$6,""))</f>
        <v/>
      </c>
      <c r="G80">
        <f>IF(B80="BUY",(F80-E80)/Settings!$B$3,IF(B80="SELL",(E80-F80)/Settings!$B$3,0))</f>
        <v/>
      </c>
      <c r="H80">
        <f>G80*D80*Settings!$B$4</f>
        <v/>
      </c>
      <c r="I80">
        <f>CurrentPositions!I70</f>
        <v/>
      </c>
      <c r="J80">
        <f>CurrentPositions!J70</f>
        <v/>
      </c>
      <c r="K80">
        <f>IF(AND(B80="BUY",H80&lt;0),H80,"")</f>
        <v/>
      </c>
      <c r="L80">
        <f>IF(K80&lt;&gt;"",A80,"")</f>
        <v/>
      </c>
    </row>
    <row r="81">
      <c r="A81">
        <f>CurrentPositions!A71</f>
        <v/>
      </c>
      <c r="B81">
        <f>CurrentPositions!B71</f>
        <v/>
      </c>
      <c r="C81">
        <f>CurrentPositions!C71</f>
        <v/>
      </c>
      <c r="D81">
        <f>CurrentPositions!D71</f>
        <v/>
      </c>
      <c r="E81">
        <f>CurrentPositions!E71</f>
        <v/>
      </c>
      <c r="F81">
        <f>IF(B81="BUY",$B$5,IF(B81="SELL",$B$6,""))</f>
        <v/>
      </c>
      <c r="G81">
        <f>IF(B81="BUY",(F81-E81)/Settings!$B$3,IF(B81="SELL",(E81-F81)/Settings!$B$3,0))</f>
        <v/>
      </c>
      <c r="H81">
        <f>G81*D81*Settings!$B$4</f>
        <v/>
      </c>
      <c r="I81">
        <f>CurrentPositions!I71</f>
        <v/>
      </c>
      <c r="J81">
        <f>CurrentPositions!J71</f>
        <v/>
      </c>
      <c r="K81">
        <f>IF(AND(B81="BUY",H81&lt;0),H81,"")</f>
        <v/>
      </c>
      <c r="L81">
        <f>IF(K81&lt;&gt;"",A81,"")</f>
        <v/>
      </c>
    </row>
    <row r="82">
      <c r="A82">
        <f>CurrentPositions!A72</f>
        <v/>
      </c>
      <c r="B82">
        <f>CurrentPositions!B72</f>
        <v/>
      </c>
      <c r="C82">
        <f>CurrentPositions!C72</f>
        <v/>
      </c>
      <c r="D82">
        <f>CurrentPositions!D72</f>
        <v/>
      </c>
      <c r="E82">
        <f>CurrentPositions!E72</f>
        <v/>
      </c>
      <c r="F82">
        <f>IF(B82="BUY",$B$5,IF(B82="SELL",$B$6,""))</f>
        <v/>
      </c>
      <c r="G82">
        <f>IF(B82="BUY",(F82-E82)/Settings!$B$3,IF(B82="SELL",(E82-F82)/Settings!$B$3,0))</f>
        <v/>
      </c>
      <c r="H82">
        <f>G82*D82*Settings!$B$4</f>
        <v/>
      </c>
      <c r="I82">
        <f>CurrentPositions!I72</f>
        <v/>
      </c>
      <c r="J82">
        <f>CurrentPositions!J72</f>
        <v/>
      </c>
      <c r="K82">
        <f>IF(AND(B82="BUY",H82&lt;0),H82,"")</f>
        <v/>
      </c>
      <c r="L82">
        <f>IF(K82&lt;&gt;"",A82,"")</f>
        <v/>
      </c>
    </row>
    <row r="83">
      <c r="A83">
        <f>CurrentPositions!A73</f>
        <v/>
      </c>
      <c r="B83">
        <f>CurrentPositions!B73</f>
        <v/>
      </c>
      <c r="C83">
        <f>CurrentPositions!C73</f>
        <v/>
      </c>
      <c r="D83">
        <f>CurrentPositions!D73</f>
        <v/>
      </c>
      <c r="E83">
        <f>CurrentPositions!E73</f>
        <v/>
      </c>
      <c r="F83">
        <f>IF(B83="BUY",$B$5,IF(B83="SELL",$B$6,""))</f>
        <v/>
      </c>
      <c r="G83">
        <f>IF(B83="BUY",(F83-E83)/Settings!$B$3,IF(B83="SELL",(E83-F83)/Settings!$B$3,0))</f>
        <v/>
      </c>
      <c r="H83">
        <f>G83*D83*Settings!$B$4</f>
        <v/>
      </c>
      <c r="I83">
        <f>CurrentPositions!I73</f>
        <v/>
      </c>
      <c r="J83">
        <f>CurrentPositions!J73</f>
        <v/>
      </c>
      <c r="K83">
        <f>IF(AND(B83="BUY",H83&lt;0),H83,"")</f>
        <v/>
      </c>
      <c r="L83">
        <f>IF(K83&lt;&gt;"",A83,"")</f>
        <v/>
      </c>
    </row>
    <row r="84">
      <c r="A84">
        <f>CurrentPositions!A74</f>
        <v/>
      </c>
      <c r="B84">
        <f>CurrentPositions!B74</f>
        <v/>
      </c>
      <c r="C84">
        <f>CurrentPositions!C74</f>
        <v/>
      </c>
      <c r="D84">
        <f>CurrentPositions!D74</f>
        <v/>
      </c>
      <c r="E84">
        <f>CurrentPositions!E74</f>
        <v/>
      </c>
      <c r="F84">
        <f>IF(B84="BUY",$B$5,IF(B84="SELL",$B$6,""))</f>
        <v/>
      </c>
      <c r="G84">
        <f>IF(B84="BUY",(F84-E84)/Settings!$B$3,IF(B84="SELL",(E84-F84)/Settings!$B$3,0))</f>
        <v/>
      </c>
      <c r="H84">
        <f>G84*D84*Settings!$B$4</f>
        <v/>
      </c>
      <c r="I84">
        <f>CurrentPositions!I74</f>
        <v/>
      </c>
      <c r="J84">
        <f>CurrentPositions!J74</f>
        <v/>
      </c>
      <c r="K84">
        <f>IF(AND(B84="BUY",H84&lt;0),H84,"")</f>
        <v/>
      </c>
      <c r="L84">
        <f>IF(K84&lt;&gt;"",A84,"")</f>
        <v/>
      </c>
    </row>
    <row r="85">
      <c r="A85">
        <f>CurrentPositions!A75</f>
        <v/>
      </c>
      <c r="B85">
        <f>CurrentPositions!B75</f>
        <v/>
      </c>
      <c r="C85">
        <f>CurrentPositions!C75</f>
        <v/>
      </c>
      <c r="D85">
        <f>CurrentPositions!D75</f>
        <v/>
      </c>
      <c r="E85">
        <f>CurrentPositions!E75</f>
        <v/>
      </c>
      <c r="F85">
        <f>IF(B85="BUY",$B$5,IF(B85="SELL",$B$6,""))</f>
        <v/>
      </c>
      <c r="G85">
        <f>IF(B85="BUY",(F85-E85)/Settings!$B$3,IF(B85="SELL",(E85-F85)/Settings!$B$3,0))</f>
        <v/>
      </c>
      <c r="H85">
        <f>G85*D85*Settings!$B$4</f>
        <v/>
      </c>
      <c r="I85">
        <f>CurrentPositions!I75</f>
        <v/>
      </c>
      <c r="J85">
        <f>CurrentPositions!J75</f>
        <v/>
      </c>
      <c r="K85">
        <f>IF(AND(B85="BUY",H85&lt;0),H85,"")</f>
        <v/>
      </c>
      <c r="L85">
        <f>IF(K85&lt;&gt;"",A85,"")</f>
        <v/>
      </c>
    </row>
    <row r="86">
      <c r="A86">
        <f>CurrentPositions!A76</f>
        <v/>
      </c>
      <c r="B86">
        <f>CurrentPositions!B76</f>
        <v/>
      </c>
      <c r="C86">
        <f>CurrentPositions!C76</f>
        <v/>
      </c>
      <c r="D86">
        <f>CurrentPositions!D76</f>
        <v/>
      </c>
      <c r="E86">
        <f>CurrentPositions!E76</f>
        <v/>
      </c>
      <c r="F86">
        <f>IF(B86="BUY",$B$5,IF(B86="SELL",$B$6,""))</f>
        <v/>
      </c>
      <c r="G86">
        <f>IF(B86="BUY",(F86-E86)/Settings!$B$3,IF(B86="SELL",(E86-F86)/Settings!$B$3,0))</f>
        <v/>
      </c>
      <c r="H86">
        <f>G86*D86*Settings!$B$4</f>
        <v/>
      </c>
      <c r="I86">
        <f>CurrentPositions!I76</f>
        <v/>
      </c>
      <c r="J86">
        <f>CurrentPositions!J76</f>
        <v/>
      </c>
      <c r="K86">
        <f>IF(AND(B86="BUY",H86&lt;0),H86,"")</f>
        <v/>
      </c>
      <c r="L86">
        <f>IF(K86&lt;&gt;"",A86,"")</f>
        <v/>
      </c>
    </row>
    <row r="87">
      <c r="A87">
        <f>CurrentPositions!A77</f>
        <v/>
      </c>
      <c r="B87">
        <f>CurrentPositions!B77</f>
        <v/>
      </c>
      <c r="C87">
        <f>CurrentPositions!C77</f>
        <v/>
      </c>
      <c r="D87">
        <f>CurrentPositions!D77</f>
        <v/>
      </c>
      <c r="E87">
        <f>CurrentPositions!E77</f>
        <v/>
      </c>
      <c r="F87">
        <f>IF(B87="BUY",$B$5,IF(B87="SELL",$B$6,""))</f>
        <v/>
      </c>
      <c r="G87">
        <f>IF(B87="BUY",(F87-E87)/Settings!$B$3,IF(B87="SELL",(E87-F87)/Settings!$B$3,0))</f>
        <v/>
      </c>
      <c r="H87">
        <f>G87*D87*Settings!$B$4</f>
        <v/>
      </c>
      <c r="I87">
        <f>CurrentPositions!I77</f>
        <v/>
      </c>
      <c r="J87">
        <f>CurrentPositions!J77</f>
        <v/>
      </c>
      <c r="K87">
        <f>IF(AND(B87="BUY",H87&lt;0),H87,"")</f>
        <v/>
      </c>
      <c r="L87">
        <f>IF(K87&lt;&gt;"",A87,"")</f>
        <v/>
      </c>
    </row>
    <row r="88">
      <c r="A88">
        <f>CurrentPositions!A78</f>
        <v/>
      </c>
      <c r="B88">
        <f>CurrentPositions!B78</f>
        <v/>
      </c>
      <c r="C88">
        <f>CurrentPositions!C78</f>
        <v/>
      </c>
      <c r="D88">
        <f>CurrentPositions!D78</f>
        <v/>
      </c>
      <c r="E88">
        <f>CurrentPositions!E78</f>
        <v/>
      </c>
      <c r="F88">
        <f>IF(B88="BUY",$B$5,IF(B88="SELL",$B$6,""))</f>
        <v/>
      </c>
      <c r="G88">
        <f>IF(B88="BUY",(F88-E88)/Settings!$B$3,IF(B88="SELL",(E88-F88)/Settings!$B$3,0))</f>
        <v/>
      </c>
      <c r="H88">
        <f>G88*D88*Settings!$B$4</f>
        <v/>
      </c>
      <c r="I88">
        <f>CurrentPositions!I78</f>
        <v/>
      </c>
      <c r="J88">
        <f>CurrentPositions!J78</f>
        <v/>
      </c>
      <c r="K88">
        <f>IF(AND(B88="BUY",H88&lt;0),H88,"")</f>
        <v/>
      </c>
      <c r="L88">
        <f>IF(K88&lt;&gt;"",A88,"")</f>
        <v/>
      </c>
    </row>
    <row r="89">
      <c r="A89">
        <f>CurrentPositions!A79</f>
        <v/>
      </c>
      <c r="B89">
        <f>CurrentPositions!B79</f>
        <v/>
      </c>
      <c r="C89">
        <f>CurrentPositions!C79</f>
        <v/>
      </c>
      <c r="D89">
        <f>CurrentPositions!D79</f>
        <v/>
      </c>
      <c r="E89">
        <f>CurrentPositions!E79</f>
        <v/>
      </c>
      <c r="F89">
        <f>IF(B89="BUY",$B$5,IF(B89="SELL",$B$6,""))</f>
        <v/>
      </c>
      <c r="G89">
        <f>IF(B89="BUY",(F89-E89)/Settings!$B$3,IF(B89="SELL",(E89-F89)/Settings!$B$3,0))</f>
        <v/>
      </c>
      <c r="H89">
        <f>G89*D89*Settings!$B$4</f>
        <v/>
      </c>
      <c r="I89">
        <f>CurrentPositions!I79</f>
        <v/>
      </c>
      <c r="J89">
        <f>CurrentPositions!J79</f>
        <v/>
      </c>
      <c r="K89">
        <f>IF(AND(B89="BUY",H89&lt;0),H89,"")</f>
        <v/>
      </c>
      <c r="L89">
        <f>IF(K89&lt;&gt;"",A89,"")</f>
        <v/>
      </c>
    </row>
    <row r="90">
      <c r="A90">
        <f>CurrentPositions!A80</f>
        <v/>
      </c>
      <c r="B90">
        <f>CurrentPositions!B80</f>
        <v/>
      </c>
      <c r="C90">
        <f>CurrentPositions!C80</f>
        <v/>
      </c>
      <c r="D90">
        <f>CurrentPositions!D80</f>
        <v/>
      </c>
      <c r="E90">
        <f>CurrentPositions!E80</f>
        <v/>
      </c>
      <c r="F90">
        <f>IF(B90="BUY",$B$5,IF(B90="SELL",$B$6,""))</f>
        <v/>
      </c>
      <c r="G90">
        <f>IF(B90="BUY",(F90-E90)/Settings!$B$3,IF(B90="SELL",(E90-F90)/Settings!$B$3,0))</f>
        <v/>
      </c>
      <c r="H90">
        <f>G90*D90*Settings!$B$4</f>
        <v/>
      </c>
      <c r="I90">
        <f>CurrentPositions!I80</f>
        <v/>
      </c>
      <c r="J90">
        <f>CurrentPositions!J80</f>
        <v/>
      </c>
      <c r="K90">
        <f>IF(AND(B90="BUY",H90&lt;0),H90,"")</f>
        <v/>
      </c>
      <c r="L90">
        <f>IF(K90&lt;&gt;"",A90,"")</f>
        <v/>
      </c>
    </row>
    <row r="91">
      <c r="A91">
        <f>CurrentPositions!A81</f>
        <v/>
      </c>
      <c r="B91">
        <f>CurrentPositions!B81</f>
        <v/>
      </c>
      <c r="C91">
        <f>CurrentPositions!C81</f>
        <v/>
      </c>
      <c r="D91">
        <f>CurrentPositions!D81</f>
        <v/>
      </c>
      <c r="E91">
        <f>CurrentPositions!E81</f>
        <v/>
      </c>
      <c r="F91">
        <f>IF(B91="BUY",$B$5,IF(B91="SELL",$B$6,""))</f>
        <v/>
      </c>
      <c r="G91">
        <f>IF(B91="BUY",(F91-E91)/Settings!$B$3,IF(B91="SELL",(E91-F91)/Settings!$B$3,0))</f>
        <v/>
      </c>
      <c r="H91">
        <f>G91*D91*Settings!$B$4</f>
        <v/>
      </c>
      <c r="I91">
        <f>CurrentPositions!I81</f>
        <v/>
      </c>
      <c r="J91">
        <f>CurrentPositions!J81</f>
        <v/>
      </c>
      <c r="K91">
        <f>IF(AND(B91="BUY",H91&lt;0),H91,"")</f>
        <v/>
      </c>
      <c r="L91">
        <f>IF(K91&lt;&gt;"",A91,"")</f>
        <v/>
      </c>
    </row>
    <row r="92">
      <c r="A92">
        <f>CurrentPositions!A82</f>
        <v/>
      </c>
      <c r="B92">
        <f>CurrentPositions!B82</f>
        <v/>
      </c>
      <c r="C92">
        <f>CurrentPositions!C82</f>
        <v/>
      </c>
      <c r="D92">
        <f>CurrentPositions!D82</f>
        <v/>
      </c>
      <c r="E92">
        <f>CurrentPositions!E82</f>
        <v/>
      </c>
      <c r="F92">
        <f>IF(B92="BUY",$B$5,IF(B92="SELL",$B$6,""))</f>
        <v/>
      </c>
      <c r="G92">
        <f>IF(B92="BUY",(F92-E92)/Settings!$B$3,IF(B92="SELL",(E92-F92)/Settings!$B$3,0))</f>
        <v/>
      </c>
      <c r="H92">
        <f>G92*D92*Settings!$B$4</f>
        <v/>
      </c>
      <c r="I92">
        <f>CurrentPositions!I82</f>
        <v/>
      </c>
      <c r="J92">
        <f>CurrentPositions!J82</f>
        <v/>
      </c>
      <c r="K92">
        <f>IF(AND(B92="BUY",H92&lt;0),H92,"")</f>
        <v/>
      </c>
      <c r="L92">
        <f>IF(K92&lt;&gt;"",A92,"")</f>
        <v/>
      </c>
    </row>
    <row r="93">
      <c r="A93">
        <f>CurrentPositions!A83</f>
        <v/>
      </c>
      <c r="B93">
        <f>CurrentPositions!B83</f>
        <v/>
      </c>
      <c r="C93">
        <f>CurrentPositions!C83</f>
        <v/>
      </c>
      <c r="D93">
        <f>CurrentPositions!D83</f>
        <v/>
      </c>
      <c r="E93">
        <f>CurrentPositions!E83</f>
        <v/>
      </c>
      <c r="F93">
        <f>IF(B93="BUY",$B$5,IF(B93="SELL",$B$6,""))</f>
        <v/>
      </c>
      <c r="G93">
        <f>IF(B93="BUY",(F93-E93)/Settings!$B$3,IF(B93="SELL",(E93-F93)/Settings!$B$3,0))</f>
        <v/>
      </c>
      <c r="H93">
        <f>G93*D93*Settings!$B$4</f>
        <v/>
      </c>
      <c r="I93">
        <f>CurrentPositions!I83</f>
        <v/>
      </c>
      <c r="J93">
        <f>CurrentPositions!J83</f>
        <v/>
      </c>
      <c r="K93">
        <f>IF(AND(B93="BUY",H93&lt;0),H93,"")</f>
        <v/>
      </c>
      <c r="L93">
        <f>IF(K93&lt;&gt;"",A93,"")</f>
        <v/>
      </c>
    </row>
    <row r="94">
      <c r="A94">
        <f>CurrentPositions!A84</f>
        <v/>
      </c>
      <c r="B94">
        <f>CurrentPositions!B84</f>
        <v/>
      </c>
      <c r="C94">
        <f>CurrentPositions!C84</f>
        <v/>
      </c>
      <c r="D94">
        <f>CurrentPositions!D84</f>
        <v/>
      </c>
      <c r="E94">
        <f>CurrentPositions!E84</f>
        <v/>
      </c>
      <c r="F94">
        <f>IF(B94="BUY",$B$5,IF(B94="SELL",$B$6,""))</f>
        <v/>
      </c>
      <c r="G94">
        <f>IF(B94="BUY",(F94-E94)/Settings!$B$3,IF(B94="SELL",(E94-F94)/Settings!$B$3,0))</f>
        <v/>
      </c>
      <c r="H94">
        <f>G94*D94*Settings!$B$4</f>
        <v/>
      </c>
      <c r="I94">
        <f>CurrentPositions!I84</f>
        <v/>
      </c>
      <c r="J94">
        <f>CurrentPositions!J84</f>
        <v/>
      </c>
      <c r="K94">
        <f>IF(AND(B94="BUY",H94&lt;0),H94,"")</f>
        <v/>
      </c>
      <c r="L94">
        <f>IF(K94&lt;&gt;"",A94,"")</f>
        <v/>
      </c>
    </row>
    <row r="95">
      <c r="A95">
        <f>CurrentPositions!A85</f>
        <v/>
      </c>
      <c r="B95">
        <f>CurrentPositions!B85</f>
        <v/>
      </c>
      <c r="C95">
        <f>CurrentPositions!C85</f>
        <v/>
      </c>
      <c r="D95">
        <f>CurrentPositions!D85</f>
        <v/>
      </c>
      <c r="E95">
        <f>CurrentPositions!E85</f>
        <v/>
      </c>
      <c r="F95">
        <f>IF(B95="BUY",$B$5,IF(B95="SELL",$B$6,""))</f>
        <v/>
      </c>
      <c r="G95">
        <f>IF(B95="BUY",(F95-E95)/Settings!$B$3,IF(B95="SELL",(E95-F95)/Settings!$B$3,0))</f>
        <v/>
      </c>
      <c r="H95">
        <f>G95*D95*Settings!$B$4</f>
        <v/>
      </c>
      <c r="I95">
        <f>CurrentPositions!I85</f>
        <v/>
      </c>
      <c r="J95">
        <f>CurrentPositions!J85</f>
        <v/>
      </c>
      <c r="K95">
        <f>IF(AND(B95="BUY",H95&lt;0),H95,"")</f>
        <v/>
      </c>
      <c r="L95">
        <f>IF(K95&lt;&gt;"",A95,"")</f>
        <v/>
      </c>
    </row>
    <row r="96">
      <c r="A96">
        <f>CurrentPositions!A86</f>
        <v/>
      </c>
      <c r="B96">
        <f>CurrentPositions!B86</f>
        <v/>
      </c>
      <c r="C96">
        <f>CurrentPositions!C86</f>
        <v/>
      </c>
      <c r="D96">
        <f>CurrentPositions!D86</f>
        <v/>
      </c>
      <c r="E96">
        <f>CurrentPositions!E86</f>
        <v/>
      </c>
      <c r="F96">
        <f>IF(B96="BUY",$B$5,IF(B96="SELL",$B$6,""))</f>
        <v/>
      </c>
      <c r="G96">
        <f>IF(B96="BUY",(F96-E96)/Settings!$B$3,IF(B96="SELL",(E96-F96)/Settings!$B$3,0))</f>
        <v/>
      </c>
      <c r="H96">
        <f>G96*D96*Settings!$B$4</f>
        <v/>
      </c>
      <c r="I96">
        <f>CurrentPositions!I86</f>
        <v/>
      </c>
      <c r="J96">
        <f>CurrentPositions!J86</f>
        <v/>
      </c>
      <c r="K96">
        <f>IF(AND(B96="BUY",H96&lt;0),H96,"")</f>
        <v/>
      </c>
      <c r="L96">
        <f>IF(K96&lt;&gt;"",A96,"")</f>
        <v/>
      </c>
    </row>
    <row r="97">
      <c r="A97">
        <f>CurrentPositions!A87</f>
        <v/>
      </c>
      <c r="B97">
        <f>CurrentPositions!B87</f>
        <v/>
      </c>
      <c r="C97">
        <f>CurrentPositions!C87</f>
        <v/>
      </c>
      <c r="D97">
        <f>CurrentPositions!D87</f>
        <v/>
      </c>
      <c r="E97">
        <f>CurrentPositions!E87</f>
        <v/>
      </c>
      <c r="F97">
        <f>IF(B97="BUY",$B$5,IF(B97="SELL",$B$6,""))</f>
        <v/>
      </c>
      <c r="G97">
        <f>IF(B97="BUY",(F97-E97)/Settings!$B$3,IF(B97="SELL",(E97-F97)/Settings!$B$3,0))</f>
        <v/>
      </c>
      <c r="H97">
        <f>G97*D97*Settings!$B$4</f>
        <v/>
      </c>
      <c r="I97">
        <f>CurrentPositions!I87</f>
        <v/>
      </c>
      <c r="J97">
        <f>CurrentPositions!J87</f>
        <v/>
      </c>
      <c r="K97">
        <f>IF(AND(B97="BUY",H97&lt;0),H97,"")</f>
        <v/>
      </c>
      <c r="L97">
        <f>IF(K97&lt;&gt;"",A97,"")</f>
        <v/>
      </c>
    </row>
    <row r="98">
      <c r="A98">
        <f>CurrentPositions!A88</f>
        <v/>
      </c>
      <c r="B98">
        <f>CurrentPositions!B88</f>
        <v/>
      </c>
      <c r="C98">
        <f>CurrentPositions!C88</f>
        <v/>
      </c>
      <c r="D98">
        <f>CurrentPositions!D88</f>
        <v/>
      </c>
      <c r="E98">
        <f>CurrentPositions!E88</f>
        <v/>
      </c>
      <c r="F98">
        <f>IF(B98="BUY",$B$5,IF(B98="SELL",$B$6,""))</f>
        <v/>
      </c>
      <c r="G98">
        <f>IF(B98="BUY",(F98-E98)/Settings!$B$3,IF(B98="SELL",(E98-F98)/Settings!$B$3,0))</f>
        <v/>
      </c>
      <c r="H98">
        <f>G98*D98*Settings!$B$4</f>
        <v/>
      </c>
      <c r="I98">
        <f>CurrentPositions!I88</f>
        <v/>
      </c>
      <c r="J98">
        <f>CurrentPositions!J88</f>
        <v/>
      </c>
      <c r="K98">
        <f>IF(AND(B98="BUY",H98&lt;0),H98,"")</f>
        <v/>
      </c>
      <c r="L98">
        <f>IF(K98&lt;&gt;"",A98,"")</f>
        <v/>
      </c>
    </row>
    <row r="99">
      <c r="A99">
        <f>CurrentPositions!A89</f>
        <v/>
      </c>
      <c r="B99">
        <f>CurrentPositions!B89</f>
        <v/>
      </c>
      <c r="C99">
        <f>CurrentPositions!C89</f>
        <v/>
      </c>
      <c r="D99">
        <f>CurrentPositions!D89</f>
        <v/>
      </c>
      <c r="E99">
        <f>CurrentPositions!E89</f>
        <v/>
      </c>
      <c r="F99">
        <f>IF(B99="BUY",$B$5,IF(B99="SELL",$B$6,""))</f>
        <v/>
      </c>
      <c r="G99">
        <f>IF(B99="BUY",(F99-E99)/Settings!$B$3,IF(B99="SELL",(E99-F99)/Settings!$B$3,0))</f>
        <v/>
      </c>
      <c r="H99">
        <f>G99*D99*Settings!$B$4</f>
        <v/>
      </c>
      <c r="I99">
        <f>CurrentPositions!I89</f>
        <v/>
      </c>
      <c r="J99">
        <f>CurrentPositions!J89</f>
        <v/>
      </c>
      <c r="K99">
        <f>IF(AND(B99="BUY",H99&lt;0),H99,"")</f>
        <v/>
      </c>
      <c r="L99">
        <f>IF(K99&lt;&gt;"",A99,"")</f>
        <v/>
      </c>
    </row>
    <row r="100">
      <c r="A100">
        <f>CurrentPositions!A90</f>
        <v/>
      </c>
      <c r="B100">
        <f>CurrentPositions!B90</f>
        <v/>
      </c>
      <c r="C100">
        <f>CurrentPositions!C90</f>
        <v/>
      </c>
      <c r="D100">
        <f>CurrentPositions!D90</f>
        <v/>
      </c>
      <c r="E100">
        <f>CurrentPositions!E90</f>
        <v/>
      </c>
      <c r="F100">
        <f>IF(B100="BUY",$B$5,IF(B100="SELL",$B$6,""))</f>
        <v/>
      </c>
      <c r="G100">
        <f>IF(B100="BUY",(F100-E100)/Settings!$B$3,IF(B100="SELL",(E100-F100)/Settings!$B$3,0))</f>
        <v/>
      </c>
      <c r="H100">
        <f>G100*D100*Settings!$B$4</f>
        <v/>
      </c>
      <c r="I100">
        <f>CurrentPositions!I90</f>
        <v/>
      </c>
      <c r="J100">
        <f>CurrentPositions!J90</f>
        <v/>
      </c>
      <c r="K100">
        <f>IF(AND(B100="BUY",H100&lt;0),H100,"")</f>
        <v/>
      </c>
      <c r="L100">
        <f>IF(K100&lt;&gt;"",A100,"")</f>
        <v/>
      </c>
    </row>
    <row r="101">
      <c r="A101">
        <f>CurrentPositions!A91</f>
        <v/>
      </c>
      <c r="B101">
        <f>CurrentPositions!B91</f>
        <v/>
      </c>
      <c r="C101">
        <f>CurrentPositions!C91</f>
        <v/>
      </c>
      <c r="D101">
        <f>CurrentPositions!D91</f>
        <v/>
      </c>
      <c r="E101">
        <f>CurrentPositions!E91</f>
        <v/>
      </c>
      <c r="F101">
        <f>IF(B101="BUY",$B$5,IF(B101="SELL",$B$6,""))</f>
        <v/>
      </c>
      <c r="G101">
        <f>IF(B101="BUY",(F101-E101)/Settings!$B$3,IF(B101="SELL",(E101-F101)/Settings!$B$3,0))</f>
        <v/>
      </c>
      <c r="H101">
        <f>G101*D101*Settings!$B$4</f>
        <v/>
      </c>
      <c r="I101">
        <f>CurrentPositions!I91</f>
        <v/>
      </c>
      <c r="J101">
        <f>CurrentPositions!J91</f>
        <v/>
      </c>
      <c r="K101">
        <f>IF(AND(B101="BUY",H101&lt;0),H101,"")</f>
        <v/>
      </c>
      <c r="L101">
        <f>IF(K101&lt;&gt;"",A101,"")</f>
        <v/>
      </c>
    </row>
    <row r="102">
      <c r="A102">
        <f>CurrentPositions!A92</f>
        <v/>
      </c>
      <c r="B102">
        <f>CurrentPositions!B92</f>
        <v/>
      </c>
      <c r="C102">
        <f>CurrentPositions!C92</f>
        <v/>
      </c>
      <c r="D102">
        <f>CurrentPositions!D92</f>
        <v/>
      </c>
      <c r="E102">
        <f>CurrentPositions!E92</f>
        <v/>
      </c>
      <c r="F102">
        <f>IF(B102="BUY",$B$5,IF(B102="SELL",$B$6,""))</f>
        <v/>
      </c>
      <c r="G102">
        <f>IF(B102="BUY",(F102-E102)/Settings!$B$3,IF(B102="SELL",(E102-F102)/Settings!$B$3,0))</f>
        <v/>
      </c>
      <c r="H102">
        <f>G102*D102*Settings!$B$4</f>
        <v/>
      </c>
      <c r="I102">
        <f>CurrentPositions!I92</f>
        <v/>
      </c>
      <c r="J102">
        <f>CurrentPositions!J92</f>
        <v/>
      </c>
      <c r="K102">
        <f>IF(AND(B102="BUY",H102&lt;0),H102,"")</f>
        <v/>
      </c>
      <c r="L102">
        <f>IF(K102&lt;&gt;"",A102,"")</f>
        <v/>
      </c>
    </row>
    <row r="103">
      <c r="A103">
        <f>CurrentPositions!A93</f>
        <v/>
      </c>
      <c r="B103">
        <f>CurrentPositions!B93</f>
        <v/>
      </c>
      <c r="C103">
        <f>CurrentPositions!C93</f>
        <v/>
      </c>
      <c r="D103">
        <f>CurrentPositions!D93</f>
        <v/>
      </c>
      <c r="E103">
        <f>CurrentPositions!E93</f>
        <v/>
      </c>
      <c r="F103">
        <f>IF(B103="BUY",$B$5,IF(B103="SELL",$B$6,""))</f>
        <v/>
      </c>
      <c r="G103">
        <f>IF(B103="BUY",(F103-E103)/Settings!$B$3,IF(B103="SELL",(E103-F103)/Settings!$B$3,0))</f>
        <v/>
      </c>
      <c r="H103">
        <f>G103*D103*Settings!$B$4</f>
        <v/>
      </c>
      <c r="I103">
        <f>CurrentPositions!I93</f>
        <v/>
      </c>
      <c r="J103">
        <f>CurrentPositions!J93</f>
        <v/>
      </c>
      <c r="K103">
        <f>IF(AND(B103="BUY",H103&lt;0),H103,"")</f>
        <v/>
      </c>
      <c r="L103">
        <f>IF(K103&lt;&gt;"",A103,"")</f>
        <v/>
      </c>
    </row>
    <row r="104">
      <c r="A104">
        <f>CurrentPositions!A94</f>
        <v/>
      </c>
      <c r="B104">
        <f>CurrentPositions!B94</f>
        <v/>
      </c>
      <c r="C104">
        <f>CurrentPositions!C94</f>
        <v/>
      </c>
      <c r="D104">
        <f>CurrentPositions!D94</f>
        <v/>
      </c>
      <c r="E104">
        <f>CurrentPositions!E94</f>
        <v/>
      </c>
      <c r="F104">
        <f>IF(B104="BUY",$B$5,IF(B104="SELL",$B$6,""))</f>
        <v/>
      </c>
      <c r="G104">
        <f>IF(B104="BUY",(F104-E104)/Settings!$B$3,IF(B104="SELL",(E104-F104)/Settings!$B$3,0))</f>
        <v/>
      </c>
      <c r="H104">
        <f>G104*D104*Settings!$B$4</f>
        <v/>
      </c>
      <c r="I104">
        <f>CurrentPositions!I94</f>
        <v/>
      </c>
      <c r="J104">
        <f>CurrentPositions!J94</f>
        <v/>
      </c>
      <c r="K104">
        <f>IF(AND(B104="BUY",H104&lt;0),H104,"")</f>
        <v/>
      </c>
      <c r="L104">
        <f>IF(K104&lt;&gt;"",A104,"")</f>
        <v/>
      </c>
    </row>
    <row r="105">
      <c r="A105">
        <f>CurrentPositions!A95</f>
        <v/>
      </c>
      <c r="B105">
        <f>CurrentPositions!B95</f>
        <v/>
      </c>
      <c r="C105">
        <f>CurrentPositions!C95</f>
        <v/>
      </c>
      <c r="D105">
        <f>CurrentPositions!D95</f>
        <v/>
      </c>
      <c r="E105">
        <f>CurrentPositions!E95</f>
        <v/>
      </c>
      <c r="F105">
        <f>IF(B105="BUY",$B$5,IF(B105="SELL",$B$6,""))</f>
        <v/>
      </c>
      <c r="G105">
        <f>IF(B105="BUY",(F105-E105)/Settings!$B$3,IF(B105="SELL",(E105-F105)/Settings!$B$3,0))</f>
        <v/>
      </c>
      <c r="H105">
        <f>G105*D105*Settings!$B$4</f>
        <v/>
      </c>
      <c r="I105">
        <f>CurrentPositions!I95</f>
        <v/>
      </c>
      <c r="J105">
        <f>CurrentPositions!J95</f>
        <v/>
      </c>
      <c r="K105">
        <f>IF(AND(B105="BUY",H105&lt;0),H105,"")</f>
        <v/>
      </c>
      <c r="L105">
        <f>IF(K105&lt;&gt;"",A105,"")</f>
        <v/>
      </c>
    </row>
    <row r="106">
      <c r="A106">
        <f>CurrentPositions!A96</f>
        <v/>
      </c>
      <c r="B106">
        <f>CurrentPositions!B96</f>
        <v/>
      </c>
      <c r="C106">
        <f>CurrentPositions!C96</f>
        <v/>
      </c>
      <c r="D106">
        <f>CurrentPositions!D96</f>
        <v/>
      </c>
      <c r="E106">
        <f>CurrentPositions!E96</f>
        <v/>
      </c>
      <c r="F106">
        <f>IF(B106="BUY",$B$5,IF(B106="SELL",$B$6,""))</f>
        <v/>
      </c>
      <c r="G106">
        <f>IF(B106="BUY",(F106-E106)/Settings!$B$3,IF(B106="SELL",(E106-F106)/Settings!$B$3,0))</f>
        <v/>
      </c>
      <c r="H106">
        <f>G106*D106*Settings!$B$4</f>
        <v/>
      </c>
      <c r="I106">
        <f>CurrentPositions!I96</f>
        <v/>
      </c>
      <c r="J106">
        <f>CurrentPositions!J96</f>
        <v/>
      </c>
      <c r="K106">
        <f>IF(AND(B106="BUY",H106&lt;0),H106,"")</f>
        <v/>
      </c>
      <c r="L106">
        <f>IF(K106&lt;&gt;"",A106,"")</f>
        <v/>
      </c>
    </row>
    <row r="107">
      <c r="A107">
        <f>CurrentPositions!A97</f>
        <v/>
      </c>
      <c r="B107">
        <f>CurrentPositions!B97</f>
        <v/>
      </c>
      <c r="C107">
        <f>CurrentPositions!C97</f>
        <v/>
      </c>
      <c r="D107">
        <f>CurrentPositions!D97</f>
        <v/>
      </c>
      <c r="E107">
        <f>CurrentPositions!E97</f>
        <v/>
      </c>
      <c r="F107">
        <f>IF(B107="BUY",$B$5,IF(B107="SELL",$B$6,""))</f>
        <v/>
      </c>
      <c r="G107">
        <f>IF(B107="BUY",(F107-E107)/Settings!$B$3,IF(B107="SELL",(E107-F107)/Settings!$B$3,0))</f>
        <v/>
      </c>
      <c r="H107">
        <f>G107*D107*Settings!$B$4</f>
        <v/>
      </c>
      <c r="I107">
        <f>CurrentPositions!I97</f>
        <v/>
      </c>
      <c r="J107">
        <f>CurrentPositions!J97</f>
        <v/>
      </c>
      <c r="K107">
        <f>IF(AND(B107="BUY",H107&lt;0),H107,"")</f>
        <v/>
      </c>
      <c r="L107">
        <f>IF(K107&lt;&gt;"",A107,"")</f>
        <v/>
      </c>
    </row>
    <row r="108">
      <c r="A108">
        <f>CurrentPositions!A98</f>
        <v/>
      </c>
      <c r="B108">
        <f>CurrentPositions!B98</f>
        <v/>
      </c>
      <c r="C108">
        <f>CurrentPositions!C98</f>
        <v/>
      </c>
      <c r="D108">
        <f>CurrentPositions!D98</f>
        <v/>
      </c>
      <c r="E108">
        <f>CurrentPositions!E98</f>
        <v/>
      </c>
      <c r="F108">
        <f>IF(B108="BUY",$B$5,IF(B108="SELL",$B$6,""))</f>
        <v/>
      </c>
      <c r="G108">
        <f>IF(B108="BUY",(F108-E108)/Settings!$B$3,IF(B108="SELL",(E108-F108)/Settings!$B$3,0))</f>
        <v/>
      </c>
      <c r="H108">
        <f>G108*D108*Settings!$B$4</f>
        <v/>
      </c>
      <c r="I108">
        <f>CurrentPositions!I98</f>
        <v/>
      </c>
      <c r="J108">
        <f>CurrentPositions!J98</f>
        <v/>
      </c>
      <c r="K108">
        <f>IF(AND(B108="BUY",H108&lt;0),H108,"")</f>
        <v/>
      </c>
      <c r="L108">
        <f>IF(K108&lt;&gt;"",A108,"")</f>
        <v/>
      </c>
    </row>
    <row r="109">
      <c r="A109">
        <f>CurrentPositions!A99</f>
        <v/>
      </c>
      <c r="B109">
        <f>CurrentPositions!B99</f>
        <v/>
      </c>
      <c r="C109">
        <f>CurrentPositions!C99</f>
        <v/>
      </c>
      <c r="D109">
        <f>CurrentPositions!D99</f>
        <v/>
      </c>
      <c r="E109">
        <f>CurrentPositions!E99</f>
        <v/>
      </c>
      <c r="F109">
        <f>IF(B109="BUY",$B$5,IF(B109="SELL",$B$6,""))</f>
        <v/>
      </c>
      <c r="G109">
        <f>IF(B109="BUY",(F109-E109)/Settings!$B$3,IF(B109="SELL",(E109-F109)/Settings!$B$3,0))</f>
        <v/>
      </c>
      <c r="H109">
        <f>G109*D109*Settings!$B$4</f>
        <v/>
      </c>
      <c r="I109">
        <f>CurrentPositions!I99</f>
        <v/>
      </c>
      <c r="J109">
        <f>CurrentPositions!J99</f>
        <v/>
      </c>
      <c r="K109">
        <f>IF(AND(B109="BUY",H109&lt;0),H109,"")</f>
        <v/>
      </c>
      <c r="L109">
        <f>IF(K109&lt;&gt;"",A109,"")</f>
        <v/>
      </c>
    </row>
    <row r="110">
      <c r="A110">
        <f>CurrentPositions!A100</f>
        <v/>
      </c>
      <c r="B110">
        <f>CurrentPositions!B100</f>
        <v/>
      </c>
      <c r="C110">
        <f>CurrentPositions!C100</f>
        <v/>
      </c>
      <c r="D110">
        <f>CurrentPositions!D100</f>
        <v/>
      </c>
      <c r="E110">
        <f>CurrentPositions!E100</f>
        <v/>
      </c>
      <c r="F110">
        <f>IF(B110="BUY",$B$5,IF(B110="SELL",$B$6,""))</f>
        <v/>
      </c>
      <c r="G110">
        <f>IF(B110="BUY",(F110-E110)/Settings!$B$3,IF(B110="SELL",(E110-F110)/Settings!$B$3,0))</f>
        <v/>
      </c>
      <c r="H110">
        <f>G110*D110*Settings!$B$4</f>
        <v/>
      </c>
      <c r="I110">
        <f>CurrentPositions!I100</f>
        <v/>
      </c>
      <c r="J110">
        <f>CurrentPositions!J100</f>
        <v/>
      </c>
      <c r="K110">
        <f>IF(AND(B110="BUY",H110&lt;0),H110,"")</f>
        <v/>
      </c>
      <c r="L110">
        <f>IF(K110&lt;&gt;"",A110,"")</f>
        <v/>
      </c>
    </row>
    <row r="111">
      <c r="A111">
        <f>CurrentPositions!A101</f>
        <v/>
      </c>
      <c r="B111">
        <f>CurrentPositions!B101</f>
        <v/>
      </c>
      <c r="C111">
        <f>CurrentPositions!C101</f>
        <v/>
      </c>
      <c r="D111">
        <f>CurrentPositions!D101</f>
        <v/>
      </c>
      <c r="E111">
        <f>CurrentPositions!E101</f>
        <v/>
      </c>
      <c r="F111">
        <f>IF(B111="BUY",$B$5,IF(B111="SELL",$B$6,""))</f>
        <v/>
      </c>
      <c r="G111">
        <f>IF(B111="BUY",(F111-E111)/Settings!$B$3,IF(B111="SELL",(E111-F111)/Settings!$B$3,0))</f>
        <v/>
      </c>
      <c r="H111">
        <f>G111*D111*Settings!$B$4</f>
        <v/>
      </c>
      <c r="I111">
        <f>CurrentPositions!I101</f>
        <v/>
      </c>
      <c r="J111">
        <f>CurrentPositions!J101</f>
        <v/>
      </c>
      <c r="K111">
        <f>IF(AND(B111="BUY",H111&lt;0),H111,"")</f>
        <v/>
      </c>
      <c r="L111">
        <f>IF(K111&lt;&gt;"",A111,"")</f>
        <v/>
      </c>
    </row>
    <row r="112">
      <c r="A112">
        <f>CurrentPositions!A102</f>
        <v/>
      </c>
      <c r="B112">
        <f>CurrentPositions!B102</f>
        <v/>
      </c>
      <c r="C112">
        <f>CurrentPositions!C102</f>
        <v/>
      </c>
      <c r="D112">
        <f>CurrentPositions!D102</f>
        <v/>
      </c>
      <c r="E112">
        <f>CurrentPositions!E102</f>
        <v/>
      </c>
      <c r="F112">
        <f>IF(B112="BUY",$B$5,IF(B112="SELL",$B$6,""))</f>
        <v/>
      </c>
      <c r="G112">
        <f>IF(B112="BUY",(F112-E112)/Settings!$B$3,IF(B112="SELL",(E112-F112)/Settings!$B$3,0))</f>
        <v/>
      </c>
      <c r="H112">
        <f>G112*D112*Settings!$B$4</f>
        <v/>
      </c>
      <c r="I112">
        <f>CurrentPositions!I102</f>
        <v/>
      </c>
      <c r="J112">
        <f>CurrentPositions!J102</f>
        <v/>
      </c>
      <c r="K112">
        <f>IF(AND(B112="BUY",H112&lt;0),H112,"")</f>
        <v/>
      </c>
      <c r="L112">
        <f>IF(K112&lt;&gt;"",A112,"")</f>
        <v/>
      </c>
    </row>
    <row r="113">
      <c r="A113">
        <f>CurrentPositions!A103</f>
        <v/>
      </c>
      <c r="B113">
        <f>CurrentPositions!B103</f>
        <v/>
      </c>
      <c r="C113">
        <f>CurrentPositions!C103</f>
        <v/>
      </c>
      <c r="D113">
        <f>CurrentPositions!D103</f>
        <v/>
      </c>
      <c r="E113">
        <f>CurrentPositions!E103</f>
        <v/>
      </c>
      <c r="F113">
        <f>IF(B113="BUY",$B$5,IF(B113="SELL",$B$6,""))</f>
        <v/>
      </c>
      <c r="G113">
        <f>IF(B113="BUY",(F113-E113)/Settings!$B$3,IF(B113="SELL",(E113-F113)/Settings!$B$3,0))</f>
        <v/>
      </c>
      <c r="H113">
        <f>G113*D113*Settings!$B$4</f>
        <v/>
      </c>
      <c r="I113">
        <f>CurrentPositions!I103</f>
        <v/>
      </c>
      <c r="J113">
        <f>CurrentPositions!J103</f>
        <v/>
      </c>
      <c r="K113">
        <f>IF(AND(B113="BUY",H113&lt;0),H113,"")</f>
        <v/>
      </c>
      <c r="L113">
        <f>IF(K113&lt;&gt;"",A113,"")</f>
        <v/>
      </c>
    </row>
    <row r="114">
      <c r="A114">
        <f>CurrentPositions!A104</f>
        <v/>
      </c>
      <c r="B114">
        <f>CurrentPositions!B104</f>
        <v/>
      </c>
      <c r="C114">
        <f>CurrentPositions!C104</f>
        <v/>
      </c>
      <c r="D114">
        <f>CurrentPositions!D104</f>
        <v/>
      </c>
      <c r="E114">
        <f>CurrentPositions!E104</f>
        <v/>
      </c>
      <c r="F114">
        <f>IF(B114="BUY",$B$5,IF(B114="SELL",$B$6,""))</f>
        <v/>
      </c>
      <c r="G114">
        <f>IF(B114="BUY",(F114-E114)/Settings!$B$3,IF(B114="SELL",(E114-F114)/Settings!$B$3,0))</f>
        <v/>
      </c>
      <c r="H114">
        <f>G114*D114*Settings!$B$4</f>
        <v/>
      </c>
      <c r="I114">
        <f>CurrentPositions!I104</f>
        <v/>
      </c>
      <c r="J114">
        <f>CurrentPositions!J104</f>
        <v/>
      </c>
      <c r="K114">
        <f>IF(AND(B114="BUY",H114&lt;0),H114,"")</f>
        <v/>
      </c>
      <c r="L114">
        <f>IF(K114&lt;&gt;"",A114,"")</f>
        <v/>
      </c>
    </row>
    <row r="115">
      <c r="A115">
        <f>CurrentPositions!A105</f>
        <v/>
      </c>
      <c r="B115">
        <f>CurrentPositions!B105</f>
        <v/>
      </c>
      <c r="C115">
        <f>CurrentPositions!C105</f>
        <v/>
      </c>
      <c r="D115">
        <f>CurrentPositions!D105</f>
        <v/>
      </c>
      <c r="E115">
        <f>CurrentPositions!E105</f>
        <v/>
      </c>
      <c r="F115">
        <f>IF(B115="BUY",$B$5,IF(B115="SELL",$B$6,""))</f>
        <v/>
      </c>
      <c r="G115">
        <f>IF(B115="BUY",(F115-E115)/Settings!$B$3,IF(B115="SELL",(E115-F115)/Settings!$B$3,0))</f>
        <v/>
      </c>
      <c r="H115">
        <f>G115*D115*Settings!$B$4</f>
        <v/>
      </c>
      <c r="I115">
        <f>CurrentPositions!I105</f>
        <v/>
      </c>
      <c r="J115">
        <f>CurrentPositions!J105</f>
        <v/>
      </c>
      <c r="K115">
        <f>IF(AND(B115="BUY",H115&lt;0),H115,"")</f>
        <v/>
      </c>
      <c r="L115">
        <f>IF(K115&lt;&gt;"",A115,"")</f>
        <v/>
      </c>
    </row>
    <row r="116">
      <c r="A116">
        <f>CurrentPositions!A106</f>
        <v/>
      </c>
      <c r="B116">
        <f>CurrentPositions!B106</f>
        <v/>
      </c>
      <c r="C116">
        <f>CurrentPositions!C106</f>
        <v/>
      </c>
      <c r="D116">
        <f>CurrentPositions!D106</f>
        <v/>
      </c>
      <c r="E116">
        <f>CurrentPositions!E106</f>
        <v/>
      </c>
      <c r="F116">
        <f>IF(B116="BUY",$B$5,IF(B116="SELL",$B$6,""))</f>
        <v/>
      </c>
      <c r="G116">
        <f>IF(B116="BUY",(F116-E116)/Settings!$B$3,IF(B116="SELL",(E116-F116)/Settings!$B$3,0))</f>
        <v/>
      </c>
      <c r="H116">
        <f>G116*D116*Settings!$B$4</f>
        <v/>
      </c>
      <c r="I116">
        <f>CurrentPositions!I106</f>
        <v/>
      </c>
      <c r="J116">
        <f>CurrentPositions!J106</f>
        <v/>
      </c>
      <c r="K116">
        <f>IF(AND(B116="BUY",H116&lt;0),H116,"")</f>
        <v/>
      </c>
      <c r="L116">
        <f>IF(K116&lt;&gt;"",A116,"")</f>
        <v/>
      </c>
    </row>
    <row r="117">
      <c r="A117">
        <f>CurrentPositions!A107</f>
        <v/>
      </c>
      <c r="B117">
        <f>CurrentPositions!B107</f>
        <v/>
      </c>
      <c r="C117">
        <f>CurrentPositions!C107</f>
        <v/>
      </c>
      <c r="D117">
        <f>CurrentPositions!D107</f>
        <v/>
      </c>
      <c r="E117">
        <f>CurrentPositions!E107</f>
        <v/>
      </c>
      <c r="F117">
        <f>IF(B117="BUY",$B$5,IF(B117="SELL",$B$6,""))</f>
        <v/>
      </c>
      <c r="G117">
        <f>IF(B117="BUY",(F117-E117)/Settings!$B$3,IF(B117="SELL",(E117-F117)/Settings!$B$3,0))</f>
        <v/>
      </c>
      <c r="H117">
        <f>G117*D117*Settings!$B$4</f>
        <v/>
      </c>
      <c r="I117">
        <f>CurrentPositions!I107</f>
        <v/>
      </c>
      <c r="J117">
        <f>CurrentPositions!J107</f>
        <v/>
      </c>
      <c r="K117">
        <f>IF(AND(B117="BUY",H117&lt;0),H117,"")</f>
        <v/>
      </c>
      <c r="L117">
        <f>IF(K117&lt;&gt;"",A117,"")</f>
        <v/>
      </c>
    </row>
    <row r="118">
      <c r="A118">
        <f>CurrentPositions!A108</f>
        <v/>
      </c>
      <c r="B118">
        <f>CurrentPositions!B108</f>
        <v/>
      </c>
      <c r="C118">
        <f>CurrentPositions!C108</f>
        <v/>
      </c>
      <c r="D118">
        <f>CurrentPositions!D108</f>
        <v/>
      </c>
      <c r="E118">
        <f>CurrentPositions!E108</f>
        <v/>
      </c>
      <c r="F118">
        <f>IF(B118="BUY",$B$5,IF(B118="SELL",$B$6,""))</f>
        <v/>
      </c>
      <c r="G118">
        <f>IF(B118="BUY",(F118-E118)/Settings!$B$3,IF(B118="SELL",(E118-F118)/Settings!$B$3,0))</f>
        <v/>
      </c>
      <c r="H118">
        <f>G118*D118*Settings!$B$4</f>
        <v/>
      </c>
      <c r="I118">
        <f>CurrentPositions!I108</f>
        <v/>
      </c>
      <c r="J118">
        <f>CurrentPositions!J108</f>
        <v/>
      </c>
      <c r="K118">
        <f>IF(AND(B118="BUY",H118&lt;0),H118,"")</f>
        <v/>
      </c>
      <c r="L118">
        <f>IF(K118&lt;&gt;"",A118,"")</f>
        <v/>
      </c>
    </row>
    <row r="119">
      <c r="A119">
        <f>CurrentPositions!A109</f>
        <v/>
      </c>
      <c r="B119">
        <f>CurrentPositions!B109</f>
        <v/>
      </c>
      <c r="C119">
        <f>CurrentPositions!C109</f>
        <v/>
      </c>
      <c r="D119">
        <f>CurrentPositions!D109</f>
        <v/>
      </c>
      <c r="E119">
        <f>CurrentPositions!E109</f>
        <v/>
      </c>
      <c r="F119">
        <f>IF(B119="BUY",$B$5,IF(B119="SELL",$B$6,""))</f>
        <v/>
      </c>
      <c r="G119">
        <f>IF(B119="BUY",(F119-E119)/Settings!$B$3,IF(B119="SELL",(E119-F119)/Settings!$B$3,0))</f>
        <v/>
      </c>
      <c r="H119">
        <f>G119*D119*Settings!$B$4</f>
        <v/>
      </c>
      <c r="I119">
        <f>CurrentPositions!I109</f>
        <v/>
      </c>
      <c r="J119">
        <f>CurrentPositions!J109</f>
        <v/>
      </c>
      <c r="K119">
        <f>IF(AND(B119="BUY",H119&lt;0),H119,"")</f>
        <v/>
      </c>
      <c r="L119">
        <f>IF(K119&lt;&gt;"",A119,"")</f>
        <v/>
      </c>
    </row>
    <row r="120">
      <c r="A120">
        <f>CurrentPositions!A110</f>
        <v/>
      </c>
      <c r="B120">
        <f>CurrentPositions!B110</f>
        <v/>
      </c>
      <c r="C120">
        <f>CurrentPositions!C110</f>
        <v/>
      </c>
      <c r="D120">
        <f>CurrentPositions!D110</f>
        <v/>
      </c>
      <c r="E120">
        <f>CurrentPositions!E110</f>
        <v/>
      </c>
      <c r="F120">
        <f>IF(B120="BUY",$B$5,IF(B120="SELL",$B$6,""))</f>
        <v/>
      </c>
      <c r="G120">
        <f>IF(B120="BUY",(F120-E120)/Settings!$B$3,IF(B120="SELL",(E120-F120)/Settings!$B$3,0))</f>
        <v/>
      </c>
      <c r="H120">
        <f>G120*D120*Settings!$B$4</f>
        <v/>
      </c>
      <c r="I120">
        <f>CurrentPositions!I110</f>
        <v/>
      </c>
      <c r="J120">
        <f>CurrentPositions!J110</f>
        <v/>
      </c>
      <c r="K120">
        <f>IF(AND(B120="BUY",H120&lt;0),H120,"")</f>
        <v/>
      </c>
      <c r="L120">
        <f>IF(K120&lt;&gt;"",A120,"")</f>
        <v/>
      </c>
    </row>
    <row r="121">
      <c r="A121">
        <f>CurrentPositions!A111</f>
        <v/>
      </c>
      <c r="B121">
        <f>CurrentPositions!B111</f>
        <v/>
      </c>
      <c r="C121">
        <f>CurrentPositions!C111</f>
        <v/>
      </c>
      <c r="D121">
        <f>CurrentPositions!D111</f>
        <v/>
      </c>
      <c r="E121">
        <f>CurrentPositions!E111</f>
        <v/>
      </c>
      <c r="F121">
        <f>IF(B121="BUY",$B$5,IF(B121="SELL",$B$6,""))</f>
        <v/>
      </c>
      <c r="G121">
        <f>IF(B121="BUY",(F121-E121)/Settings!$B$3,IF(B121="SELL",(E121-F121)/Settings!$B$3,0))</f>
        <v/>
      </c>
      <c r="H121">
        <f>G121*D121*Settings!$B$4</f>
        <v/>
      </c>
      <c r="I121">
        <f>CurrentPositions!I111</f>
        <v/>
      </c>
      <c r="J121">
        <f>CurrentPositions!J111</f>
        <v/>
      </c>
      <c r="K121">
        <f>IF(AND(B121="BUY",H121&lt;0),H121,"")</f>
        <v/>
      </c>
      <c r="L121">
        <f>IF(K121&lt;&gt;"",A121,"")</f>
        <v/>
      </c>
    </row>
    <row r="122">
      <c r="A122">
        <f>CurrentPositions!A112</f>
        <v/>
      </c>
      <c r="B122">
        <f>CurrentPositions!B112</f>
        <v/>
      </c>
      <c r="C122">
        <f>CurrentPositions!C112</f>
        <v/>
      </c>
      <c r="D122">
        <f>CurrentPositions!D112</f>
        <v/>
      </c>
      <c r="E122">
        <f>CurrentPositions!E112</f>
        <v/>
      </c>
      <c r="F122">
        <f>IF(B122="BUY",$B$5,IF(B122="SELL",$B$6,""))</f>
        <v/>
      </c>
      <c r="G122">
        <f>IF(B122="BUY",(F122-E122)/Settings!$B$3,IF(B122="SELL",(E122-F122)/Settings!$B$3,0))</f>
        <v/>
      </c>
      <c r="H122">
        <f>G122*D122*Settings!$B$4</f>
        <v/>
      </c>
      <c r="I122">
        <f>CurrentPositions!I112</f>
        <v/>
      </c>
      <c r="J122">
        <f>CurrentPositions!J112</f>
        <v/>
      </c>
      <c r="K122">
        <f>IF(AND(B122="BUY",H122&lt;0),H122,"")</f>
        <v/>
      </c>
      <c r="L122">
        <f>IF(K122&lt;&gt;"",A122,"")</f>
        <v/>
      </c>
    </row>
    <row r="123">
      <c r="A123">
        <f>CurrentPositions!A113</f>
        <v/>
      </c>
      <c r="B123">
        <f>CurrentPositions!B113</f>
        <v/>
      </c>
      <c r="C123">
        <f>CurrentPositions!C113</f>
        <v/>
      </c>
      <c r="D123">
        <f>CurrentPositions!D113</f>
        <v/>
      </c>
      <c r="E123">
        <f>CurrentPositions!E113</f>
        <v/>
      </c>
      <c r="F123">
        <f>IF(B123="BUY",$B$5,IF(B123="SELL",$B$6,""))</f>
        <v/>
      </c>
      <c r="G123">
        <f>IF(B123="BUY",(F123-E123)/Settings!$B$3,IF(B123="SELL",(E123-F123)/Settings!$B$3,0))</f>
        <v/>
      </c>
      <c r="H123">
        <f>G123*D123*Settings!$B$4</f>
        <v/>
      </c>
      <c r="I123">
        <f>CurrentPositions!I113</f>
        <v/>
      </c>
      <c r="J123">
        <f>CurrentPositions!J113</f>
        <v/>
      </c>
      <c r="K123">
        <f>IF(AND(B123="BUY",H123&lt;0),H123,"")</f>
        <v/>
      </c>
      <c r="L123">
        <f>IF(K123&lt;&gt;"",A123,"")</f>
        <v/>
      </c>
    </row>
    <row r="124">
      <c r="A124">
        <f>CurrentPositions!A114</f>
        <v/>
      </c>
      <c r="B124">
        <f>CurrentPositions!B114</f>
        <v/>
      </c>
      <c r="C124">
        <f>CurrentPositions!C114</f>
        <v/>
      </c>
      <c r="D124">
        <f>CurrentPositions!D114</f>
        <v/>
      </c>
      <c r="E124">
        <f>CurrentPositions!E114</f>
        <v/>
      </c>
      <c r="F124">
        <f>IF(B124="BUY",$B$5,IF(B124="SELL",$B$6,""))</f>
        <v/>
      </c>
      <c r="G124">
        <f>IF(B124="BUY",(F124-E124)/Settings!$B$3,IF(B124="SELL",(E124-F124)/Settings!$B$3,0))</f>
        <v/>
      </c>
      <c r="H124">
        <f>G124*D124*Settings!$B$4</f>
        <v/>
      </c>
      <c r="I124">
        <f>CurrentPositions!I114</f>
        <v/>
      </c>
      <c r="J124">
        <f>CurrentPositions!J114</f>
        <v/>
      </c>
      <c r="K124">
        <f>IF(AND(B124="BUY",H124&lt;0),H124,"")</f>
        <v/>
      </c>
      <c r="L124">
        <f>IF(K124&lt;&gt;"",A124,"")</f>
        <v/>
      </c>
    </row>
    <row r="125">
      <c r="A125">
        <f>CurrentPositions!A115</f>
        <v/>
      </c>
      <c r="B125">
        <f>CurrentPositions!B115</f>
        <v/>
      </c>
      <c r="C125">
        <f>CurrentPositions!C115</f>
        <v/>
      </c>
      <c r="D125">
        <f>CurrentPositions!D115</f>
        <v/>
      </c>
      <c r="E125">
        <f>CurrentPositions!E115</f>
        <v/>
      </c>
      <c r="F125">
        <f>IF(B125="BUY",$B$5,IF(B125="SELL",$B$6,""))</f>
        <v/>
      </c>
      <c r="G125">
        <f>IF(B125="BUY",(F125-E125)/Settings!$B$3,IF(B125="SELL",(E125-F125)/Settings!$B$3,0))</f>
        <v/>
      </c>
      <c r="H125">
        <f>G125*D125*Settings!$B$4</f>
        <v/>
      </c>
      <c r="I125">
        <f>CurrentPositions!I115</f>
        <v/>
      </c>
      <c r="J125">
        <f>CurrentPositions!J115</f>
        <v/>
      </c>
      <c r="K125">
        <f>IF(AND(B125="BUY",H125&lt;0),H125,"")</f>
        <v/>
      </c>
      <c r="L125">
        <f>IF(K125&lt;&gt;"",A125,"")</f>
        <v/>
      </c>
    </row>
    <row r="126">
      <c r="A126">
        <f>CurrentPositions!A116</f>
        <v/>
      </c>
      <c r="B126">
        <f>CurrentPositions!B116</f>
        <v/>
      </c>
      <c r="C126">
        <f>CurrentPositions!C116</f>
        <v/>
      </c>
      <c r="D126">
        <f>CurrentPositions!D116</f>
        <v/>
      </c>
      <c r="E126">
        <f>CurrentPositions!E116</f>
        <v/>
      </c>
      <c r="F126">
        <f>IF(B126="BUY",$B$5,IF(B126="SELL",$B$6,""))</f>
        <v/>
      </c>
      <c r="G126">
        <f>IF(B126="BUY",(F126-E126)/Settings!$B$3,IF(B126="SELL",(E126-F126)/Settings!$B$3,0))</f>
        <v/>
      </c>
      <c r="H126">
        <f>G126*D126*Settings!$B$4</f>
        <v/>
      </c>
      <c r="I126">
        <f>CurrentPositions!I116</f>
        <v/>
      </c>
      <c r="J126">
        <f>CurrentPositions!J116</f>
        <v/>
      </c>
      <c r="K126">
        <f>IF(AND(B126="BUY",H126&lt;0),H126,"")</f>
        <v/>
      </c>
      <c r="L126">
        <f>IF(K126&lt;&gt;"",A126,"")</f>
        <v/>
      </c>
    </row>
    <row r="127">
      <c r="A127">
        <f>CurrentPositions!A117</f>
        <v/>
      </c>
      <c r="B127">
        <f>CurrentPositions!B117</f>
        <v/>
      </c>
      <c r="C127">
        <f>CurrentPositions!C117</f>
        <v/>
      </c>
      <c r="D127">
        <f>CurrentPositions!D117</f>
        <v/>
      </c>
      <c r="E127">
        <f>CurrentPositions!E117</f>
        <v/>
      </c>
      <c r="F127">
        <f>IF(B127="BUY",$B$5,IF(B127="SELL",$B$6,""))</f>
        <v/>
      </c>
      <c r="G127">
        <f>IF(B127="BUY",(F127-E127)/Settings!$B$3,IF(B127="SELL",(E127-F127)/Settings!$B$3,0))</f>
        <v/>
      </c>
      <c r="H127">
        <f>G127*D127*Settings!$B$4</f>
        <v/>
      </c>
      <c r="I127">
        <f>CurrentPositions!I117</f>
        <v/>
      </c>
      <c r="J127">
        <f>CurrentPositions!J117</f>
        <v/>
      </c>
      <c r="K127">
        <f>IF(AND(B127="BUY",H127&lt;0),H127,"")</f>
        <v/>
      </c>
      <c r="L127">
        <f>IF(K127&lt;&gt;"",A127,"")</f>
        <v/>
      </c>
    </row>
    <row r="128">
      <c r="A128">
        <f>CurrentPositions!A118</f>
        <v/>
      </c>
      <c r="B128">
        <f>CurrentPositions!B118</f>
        <v/>
      </c>
      <c r="C128">
        <f>CurrentPositions!C118</f>
        <v/>
      </c>
      <c r="D128">
        <f>CurrentPositions!D118</f>
        <v/>
      </c>
      <c r="E128">
        <f>CurrentPositions!E118</f>
        <v/>
      </c>
      <c r="F128">
        <f>IF(B128="BUY",$B$5,IF(B128="SELL",$B$6,""))</f>
        <v/>
      </c>
      <c r="G128">
        <f>IF(B128="BUY",(F128-E128)/Settings!$B$3,IF(B128="SELL",(E128-F128)/Settings!$B$3,0))</f>
        <v/>
      </c>
      <c r="H128">
        <f>G128*D128*Settings!$B$4</f>
        <v/>
      </c>
      <c r="I128">
        <f>CurrentPositions!I118</f>
        <v/>
      </c>
      <c r="J128">
        <f>CurrentPositions!J118</f>
        <v/>
      </c>
      <c r="K128">
        <f>IF(AND(B128="BUY",H128&lt;0),H128,"")</f>
        <v/>
      </c>
      <c r="L128">
        <f>IF(K128&lt;&gt;"",A128,"")</f>
        <v/>
      </c>
    </row>
    <row r="129">
      <c r="A129">
        <f>CurrentPositions!A119</f>
        <v/>
      </c>
      <c r="B129">
        <f>CurrentPositions!B119</f>
        <v/>
      </c>
      <c r="C129">
        <f>CurrentPositions!C119</f>
        <v/>
      </c>
      <c r="D129">
        <f>CurrentPositions!D119</f>
        <v/>
      </c>
      <c r="E129">
        <f>CurrentPositions!E119</f>
        <v/>
      </c>
      <c r="F129">
        <f>IF(B129="BUY",$B$5,IF(B129="SELL",$B$6,""))</f>
        <v/>
      </c>
      <c r="G129">
        <f>IF(B129="BUY",(F129-E129)/Settings!$B$3,IF(B129="SELL",(E129-F129)/Settings!$B$3,0))</f>
        <v/>
      </c>
      <c r="H129">
        <f>G129*D129*Settings!$B$4</f>
        <v/>
      </c>
      <c r="I129">
        <f>CurrentPositions!I119</f>
        <v/>
      </c>
      <c r="J129">
        <f>CurrentPositions!J119</f>
        <v/>
      </c>
      <c r="K129">
        <f>IF(AND(B129="BUY",H129&lt;0),H129,"")</f>
        <v/>
      </c>
      <c r="L129">
        <f>IF(K129&lt;&gt;"",A129,"")</f>
        <v/>
      </c>
    </row>
    <row r="130">
      <c r="A130">
        <f>CurrentPositions!A120</f>
        <v/>
      </c>
      <c r="B130">
        <f>CurrentPositions!B120</f>
        <v/>
      </c>
      <c r="C130">
        <f>CurrentPositions!C120</f>
        <v/>
      </c>
      <c r="D130">
        <f>CurrentPositions!D120</f>
        <v/>
      </c>
      <c r="E130">
        <f>CurrentPositions!E120</f>
        <v/>
      </c>
      <c r="F130">
        <f>IF(B130="BUY",$B$5,IF(B130="SELL",$B$6,""))</f>
        <v/>
      </c>
      <c r="G130">
        <f>IF(B130="BUY",(F130-E130)/Settings!$B$3,IF(B130="SELL",(E130-F130)/Settings!$B$3,0))</f>
        <v/>
      </c>
      <c r="H130">
        <f>G130*D130*Settings!$B$4</f>
        <v/>
      </c>
      <c r="I130">
        <f>CurrentPositions!I120</f>
        <v/>
      </c>
      <c r="J130">
        <f>CurrentPositions!J120</f>
        <v/>
      </c>
      <c r="K130">
        <f>IF(AND(B130="BUY",H130&lt;0),H130,"")</f>
        <v/>
      </c>
      <c r="L130">
        <f>IF(K130&lt;&gt;"",A130,"")</f>
        <v/>
      </c>
    </row>
    <row r="131">
      <c r="A131">
        <f>CurrentPositions!A121</f>
        <v/>
      </c>
      <c r="B131">
        <f>CurrentPositions!B121</f>
        <v/>
      </c>
      <c r="C131">
        <f>CurrentPositions!C121</f>
        <v/>
      </c>
      <c r="D131">
        <f>CurrentPositions!D121</f>
        <v/>
      </c>
      <c r="E131">
        <f>CurrentPositions!E121</f>
        <v/>
      </c>
      <c r="F131">
        <f>IF(B131="BUY",$B$5,IF(B131="SELL",$B$6,""))</f>
        <v/>
      </c>
      <c r="G131">
        <f>IF(B131="BUY",(F131-E131)/Settings!$B$3,IF(B131="SELL",(E131-F131)/Settings!$B$3,0))</f>
        <v/>
      </c>
      <c r="H131">
        <f>G131*D131*Settings!$B$4</f>
        <v/>
      </c>
      <c r="I131">
        <f>CurrentPositions!I121</f>
        <v/>
      </c>
      <c r="J131">
        <f>CurrentPositions!J121</f>
        <v/>
      </c>
      <c r="K131">
        <f>IF(AND(B131="BUY",H131&lt;0),H131,"")</f>
        <v/>
      </c>
      <c r="L131">
        <f>IF(K131&lt;&gt;"",A131,"")</f>
        <v/>
      </c>
    </row>
    <row r="132">
      <c r="A132">
        <f>CurrentPositions!A122</f>
        <v/>
      </c>
      <c r="B132">
        <f>CurrentPositions!B122</f>
        <v/>
      </c>
      <c r="C132">
        <f>CurrentPositions!C122</f>
        <v/>
      </c>
      <c r="D132">
        <f>CurrentPositions!D122</f>
        <v/>
      </c>
      <c r="E132">
        <f>CurrentPositions!E122</f>
        <v/>
      </c>
      <c r="F132">
        <f>IF(B132="BUY",$B$5,IF(B132="SELL",$B$6,""))</f>
        <v/>
      </c>
      <c r="G132">
        <f>IF(B132="BUY",(F132-E132)/Settings!$B$3,IF(B132="SELL",(E132-F132)/Settings!$B$3,0))</f>
        <v/>
      </c>
      <c r="H132">
        <f>G132*D132*Settings!$B$4</f>
        <v/>
      </c>
      <c r="I132">
        <f>CurrentPositions!I122</f>
        <v/>
      </c>
      <c r="J132">
        <f>CurrentPositions!J122</f>
        <v/>
      </c>
      <c r="K132">
        <f>IF(AND(B132="BUY",H132&lt;0),H132,"")</f>
        <v/>
      </c>
      <c r="L132">
        <f>IF(K132&lt;&gt;"",A132,"")</f>
        <v/>
      </c>
    </row>
    <row r="133">
      <c r="A133">
        <f>CurrentPositions!A123</f>
        <v/>
      </c>
      <c r="B133">
        <f>CurrentPositions!B123</f>
        <v/>
      </c>
      <c r="C133">
        <f>CurrentPositions!C123</f>
        <v/>
      </c>
      <c r="D133">
        <f>CurrentPositions!D123</f>
        <v/>
      </c>
      <c r="E133">
        <f>CurrentPositions!E123</f>
        <v/>
      </c>
      <c r="F133">
        <f>IF(B133="BUY",$B$5,IF(B133="SELL",$B$6,""))</f>
        <v/>
      </c>
      <c r="G133">
        <f>IF(B133="BUY",(F133-E133)/Settings!$B$3,IF(B133="SELL",(E133-F133)/Settings!$B$3,0))</f>
        <v/>
      </c>
      <c r="H133">
        <f>G133*D133*Settings!$B$4</f>
        <v/>
      </c>
      <c r="I133">
        <f>CurrentPositions!I123</f>
        <v/>
      </c>
      <c r="J133">
        <f>CurrentPositions!J123</f>
        <v/>
      </c>
      <c r="K133">
        <f>IF(AND(B133="BUY",H133&lt;0),H133,"")</f>
        <v/>
      </c>
      <c r="L133">
        <f>IF(K133&lt;&gt;"",A133,"")</f>
        <v/>
      </c>
    </row>
    <row r="134">
      <c r="A134">
        <f>CurrentPositions!A124</f>
        <v/>
      </c>
      <c r="B134">
        <f>CurrentPositions!B124</f>
        <v/>
      </c>
      <c r="C134">
        <f>CurrentPositions!C124</f>
        <v/>
      </c>
      <c r="D134">
        <f>CurrentPositions!D124</f>
        <v/>
      </c>
      <c r="E134">
        <f>CurrentPositions!E124</f>
        <v/>
      </c>
      <c r="F134">
        <f>IF(B134="BUY",$B$5,IF(B134="SELL",$B$6,""))</f>
        <v/>
      </c>
      <c r="G134">
        <f>IF(B134="BUY",(F134-E134)/Settings!$B$3,IF(B134="SELL",(E134-F134)/Settings!$B$3,0))</f>
        <v/>
      </c>
      <c r="H134">
        <f>G134*D134*Settings!$B$4</f>
        <v/>
      </c>
      <c r="I134">
        <f>CurrentPositions!I124</f>
        <v/>
      </c>
      <c r="J134">
        <f>CurrentPositions!J124</f>
        <v/>
      </c>
      <c r="K134">
        <f>IF(AND(B134="BUY",H134&lt;0),H134,"")</f>
        <v/>
      </c>
      <c r="L134">
        <f>IF(K134&lt;&gt;"",A134,"")</f>
        <v/>
      </c>
    </row>
    <row r="135">
      <c r="A135">
        <f>CurrentPositions!A125</f>
        <v/>
      </c>
      <c r="B135">
        <f>CurrentPositions!B125</f>
        <v/>
      </c>
      <c r="C135">
        <f>CurrentPositions!C125</f>
        <v/>
      </c>
      <c r="D135">
        <f>CurrentPositions!D125</f>
        <v/>
      </c>
      <c r="E135">
        <f>CurrentPositions!E125</f>
        <v/>
      </c>
      <c r="F135">
        <f>IF(B135="BUY",$B$5,IF(B135="SELL",$B$6,""))</f>
        <v/>
      </c>
      <c r="G135">
        <f>IF(B135="BUY",(F135-E135)/Settings!$B$3,IF(B135="SELL",(E135-F135)/Settings!$B$3,0))</f>
        <v/>
      </c>
      <c r="H135">
        <f>G135*D135*Settings!$B$4</f>
        <v/>
      </c>
      <c r="I135">
        <f>CurrentPositions!I125</f>
        <v/>
      </c>
      <c r="J135">
        <f>CurrentPositions!J125</f>
        <v/>
      </c>
      <c r="K135">
        <f>IF(AND(B135="BUY",H135&lt;0),H135,"")</f>
        <v/>
      </c>
      <c r="L135">
        <f>IF(K135&lt;&gt;"",A135,"")</f>
        <v/>
      </c>
    </row>
    <row r="136">
      <c r="A136">
        <f>CurrentPositions!A126</f>
        <v/>
      </c>
      <c r="B136">
        <f>CurrentPositions!B126</f>
        <v/>
      </c>
      <c r="C136">
        <f>CurrentPositions!C126</f>
        <v/>
      </c>
      <c r="D136">
        <f>CurrentPositions!D126</f>
        <v/>
      </c>
      <c r="E136">
        <f>CurrentPositions!E126</f>
        <v/>
      </c>
      <c r="F136">
        <f>IF(B136="BUY",$B$5,IF(B136="SELL",$B$6,""))</f>
        <v/>
      </c>
      <c r="G136">
        <f>IF(B136="BUY",(F136-E136)/Settings!$B$3,IF(B136="SELL",(E136-F136)/Settings!$B$3,0))</f>
        <v/>
      </c>
      <c r="H136">
        <f>G136*D136*Settings!$B$4</f>
        <v/>
      </c>
      <c r="I136">
        <f>CurrentPositions!I126</f>
        <v/>
      </c>
      <c r="J136">
        <f>CurrentPositions!J126</f>
        <v/>
      </c>
      <c r="K136">
        <f>IF(AND(B136="BUY",H136&lt;0),H136,"")</f>
        <v/>
      </c>
      <c r="L136">
        <f>IF(K136&lt;&gt;"",A136,"")</f>
        <v/>
      </c>
    </row>
    <row r="137">
      <c r="A137">
        <f>CurrentPositions!A127</f>
        <v/>
      </c>
      <c r="B137">
        <f>CurrentPositions!B127</f>
        <v/>
      </c>
      <c r="C137">
        <f>CurrentPositions!C127</f>
        <v/>
      </c>
      <c r="D137">
        <f>CurrentPositions!D127</f>
        <v/>
      </c>
      <c r="E137">
        <f>CurrentPositions!E127</f>
        <v/>
      </c>
      <c r="F137">
        <f>IF(B137="BUY",$B$5,IF(B137="SELL",$B$6,""))</f>
        <v/>
      </c>
      <c r="G137">
        <f>IF(B137="BUY",(F137-E137)/Settings!$B$3,IF(B137="SELL",(E137-F137)/Settings!$B$3,0))</f>
        <v/>
      </c>
      <c r="H137">
        <f>G137*D137*Settings!$B$4</f>
        <v/>
      </c>
      <c r="I137">
        <f>CurrentPositions!I127</f>
        <v/>
      </c>
      <c r="J137">
        <f>CurrentPositions!J127</f>
        <v/>
      </c>
      <c r="K137">
        <f>IF(AND(B137="BUY",H137&lt;0),H137,"")</f>
        <v/>
      </c>
      <c r="L137">
        <f>IF(K137&lt;&gt;"",A137,"")</f>
        <v/>
      </c>
    </row>
    <row r="138">
      <c r="A138">
        <f>CurrentPositions!A128</f>
        <v/>
      </c>
      <c r="B138">
        <f>CurrentPositions!B128</f>
        <v/>
      </c>
      <c r="C138">
        <f>CurrentPositions!C128</f>
        <v/>
      </c>
      <c r="D138">
        <f>CurrentPositions!D128</f>
        <v/>
      </c>
      <c r="E138">
        <f>CurrentPositions!E128</f>
        <v/>
      </c>
      <c r="F138">
        <f>IF(B138="BUY",$B$5,IF(B138="SELL",$B$6,""))</f>
        <v/>
      </c>
      <c r="G138">
        <f>IF(B138="BUY",(F138-E138)/Settings!$B$3,IF(B138="SELL",(E138-F138)/Settings!$B$3,0))</f>
        <v/>
      </c>
      <c r="H138">
        <f>G138*D138*Settings!$B$4</f>
        <v/>
      </c>
      <c r="I138">
        <f>CurrentPositions!I128</f>
        <v/>
      </c>
      <c r="J138">
        <f>CurrentPositions!J128</f>
        <v/>
      </c>
      <c r="K138">
        <f>IF(AND(B138="BUY",H138&lt;0),H138,"")</f>
        <v/>
      </c>
      <c r="L138">
        <f>IF(K138&lt;&gt;"",A138,"")</f>
        <v/>
      </c>
    </row>
    <row r="139">
      <c r="A139">
        <f>CurrentPositions!A129</f>
        <v/>
      </c>
      <c r="B139">
        <f>CurrentPositions!B129</f>
        <v/>
      </c>
      <c r="C139">
        <f>CurrentPositions!C129</f>
        <v/>
      </c>
      <c r="D139">
        <f>CurrentPositions!D129</f>
        <v/>
      </c>
      <c r="E139">
        <f>CurrentPositions!E129</f>
        <v/>
      </c>
      <c r="F139">
        <f>IF(B139="BUY",$B$5,IF(B139="SELL",$B$6,""))</f>
        <v/>
      </c>
      <c r="G139">
        <f>IF(B139="BUY",(F139-E139)/Settings!$B$3,IF(B139="SELL",(E139-F139)/Settings!$B$3,0))</f>
        <v/>
      </c>
      <c r="H139">
        <f>G139*D139*Settings!$B$4</f>
        <v/>
      </c>
      <c r="I139">
        <f>CurrentPositions!I129</f>
        <v/>
      </c>
      <c r="J139">
        <f>CurrentPositions!J129</f>
        <v/>
      </c>
      <c r="K139">
        <f>IF(AND(B139="BUY",H139&lt;0),H139,"")</f>
        <v/>
      </c>
      <c r="L139">
        <f>IF(K139&lt;&gt;"",A139,"")</f>
        <v/>
      </c>
    </row>
    <row r="140">
      <c r="A140">
        <f>CurrentPositions!A130</f>
        <v/>
      </c>
      <c r="B140">
        <f>CurrentPositions!B130</f>
        <v/>
      </c>
      <c r="C140">
        <f>CurrentPositions!C130</f>
        <v/>
      </c>
      <c r="D140">
        <f>CurrentPositions!D130</f>
        <v/>
      </c>
      <c r="E140">
        <f>CurrentPositions!E130</f>
        <v/>
      </c>
      <c r="F140">
        <f>IF(B140="BUY",$B$5,IF(B140="SELL",$B$6,""))</f>
        <v/>
      </c>
      <c r="G140">
        <f>IF(B140="BUY",(F140-E140)/Settings!$B$3,IF(B140="SELL",(E140-F140)/Settings!$B$3,0))</f>
        <v/>
      </c>
      <c r="H140">
        <f>G140*D140*Settings!$B$4</f>
        <v/>
      </c>
      <c r="I140">
        <f>CurrentPositions!I130</f>
        <v/>
      </c>
      <c r="J140">
        <f>CurrentPositions!J130</f>
        <v/>
      </c>
      <c r="K140">
        <f>IF(AND(B140="BUY",H140&lt;0),H140,"")</f>
        <v/>
      </c>
      <c r="L140">
        <f>IF(K140&lt;&gt;"",A140,"")</f>
        <v/>
      </c>
    </row>
    <row r="141">
      <c r="A141">
        <f>CurrentPositions!A131</f>
        <v/>
      </c>
      <c r="B141">
        <f>CurrentPositions!B131</f>
        <v/>
      </c>
      <c r="C141">
        <f>CurrentPositions!C131</f>
        <v/>
      </c>
      <c r="D141">
        <f>CurrentPositions!D131</f>
        <v/>
      </c>
      <c r="E141">
        <f>CurrentPositions!E131</f>
        <v/>
      </c>
      <c r="F141">
        <f>IF(B141="BUY",$B$5,IF(B141="SELL",$B$6,""))</f>
        <v/>
      </c>
      <c r="G141">
        <f>IF(B141="BUY",(F141-E141)/Settings!$B$3,IF(B141="SELL",(E141-F141)/Settings!$B$3,0))</f>
        <v/>
      </c>
      <c r="H141">
        <f>G141*D141*Settings!$B$4</f>
        <v/>
      </c>
      <c r="I141">
        <f>CurrentPositions!I131</f>
        <v/>
      </c>
      <c r="J141">
        <f>CurrentPositions!J131</f>
        <v/>
      </c>
      <c r="K141">
        <f>IF(AND(B141="BUY",H141&lt;0),H141,"")</f>
        <v/>
      </c>
      <c r="L141">
        <f>IF(K141&lt;&gt;"",A141,"")</f>
        <v/>
      </c>
    </row>
    <row r="142">
      <c r="A142">
        <f>CurrentPositions!A132</f>
        <v/>
      </c>
      <c r="B142">
        <f>CurrentPositions!B132</f>
        <v/>
      </c>
      <c r="C142">
        <f>CurrentPositions!C132</f>
        <v/>
      </c>
      <c r="D142">
        <f>CurrentPositions!D132</f>
        <v/>
      </c>
      <c r="E142">
        <f>CurrentPositions!E132</f>
        <v/>
      </c>
      <c r="F142">
        <f>IF(B142="BUY",$B$5,IF(B142="SELL",$B$6,""))</f>
        <v/>
      </c>
      <c r="G142">
        <f>IF(B142="BUY",(F142-E142)/Settings!$B$3,IF(B142="SELL",(E142-F142)/Settings!$B$3,0))</f>
        <v/>
      </c>
      <c r="H142">
        <f>G142*D142*Settings!$B$4</f>
        <v/>
      </c>
      <c r="I142">
        <f>CurrentPositions!I132</f>
        <v/>
      </c>
      <c r="J142">
        <f>CurrentPositions!J132</f>
        <v/>
      </c>
      <c r="K142">
        <f>IF(AND(B142="BUY",H142&lt;0),H142,"")</f>
        <v/>
      </c>
      <c r="L142">
        <f>IF(K142&lt;&gt;"",A142,"")</f>
        <v/>
      </c>
    </row>
    <row r="143">
      <c r="A143">
        <f>CurrentPositions!A133</f>
        <v/>
      </c>
      <c r="B143">
        <f>CurrentPositions!B133</f>
        <v/>
      </c>
      <c r="C143">
        <f>CurrentPositions!C133</f>
        <v/>
      </c>
      <c r="D143">
        <f>CurrentPositions!D133</f>
        <v/>
      </c>
      <c r="E143">
        <f>CurrentPositions!E133</f>
        <v/>
      </c>
      <c r="F143">
        <f>IF(B143="BUY",$B$5,IF(B143="SELL",$B$6,""))</f>
        <v/>
      </c>
      <c r="G143">
        <f>IF(B143="BUY",(F143-E143)/Settings!$B$3,IF(B143="SELL",(E143-F143)/Settings!$B$3,0))</f>
        <v/>
      </c>
      <c r="H143">
        <f>G143*D143*Settings!$B$4</f>
        <v/>
      </c>
      <c r="I143">
        <f>CurrentPositions!I133</f>
        <v/>
      </c>
      <c r="J143">
        <f>CurrentPositions!J133</f>
        <v/>
      </c>
      <c r="K143">
        <f>IF(AND(B143="BUY",H143&lt;0),H143,"")</f>
        <v/>
      </c>
      <c r="L143">
        <f>IF(K143&lt;&gt;"",A143,"")</f>
        <v/>
      </c>
    </row>
    <row r="144">
      <c r="A144">
        <f>CurrentPositions!A134</f>
        <v/>
      </c>
      <c r="B144">
        <f>CurrentPositions!B134</f>
        <v/>
      </c>
      <c r="C144">
        <f>CurrentPositions!C134</f>
        <v/>
      </c>
      <c r="D144">
        <f>CurrentPositions!D134</f>
        <v/>
      </c>
      <c r="E144">
        <f>CurrentPositions!E134</f>
        <v/>
      </c>
      <c r="F144">
        <f>IF(B144="BUY",$B$5,IF(B144="SELL",$B$6,""))</f>
        <v/>
      </c>
      <c r="G144">
        <f>IF(B144="BUY",(F144-E144)/Settings!$B$3,IF(B144="SELL",(E144-F144)/Settings!$B$3,0))</f>
        <v/>
      </c>
      <c r="H144">
        <f>G144*D144*Settings!$B$4</f>
        <v/>
      </c>
      <c r="I144">
        <f>CurrentPositions!I134</f>
        <v/>
      </c>
      <c r="J144">
        <f>CurrentPositions!J134</f>
        <v/>
      </c>
      <c r="K144">
        <f>IF(AND(B144="BUY",H144&lt;0),H144,"")</f>
        <v/>
      </c>
      <c r="L144">
        <f>IF(K144&lt;&gt;"",A144,"")</f>
        <v/>
      </c>
    </row>
    <row r="145">
      <c r="A145">
        <f>CurrentPositions!A135</f>
        <v/>
      </c>
      <c r="B145">
        <f>CurrentPositions!B135</f>
        <v/>
      </c>
      <c r="C145">
        <f>CurrentPositions!C135</f>
        <v/>
      </c>
      <c r="D145">
        <f>CurrentPositions!D135</f>
        <v/>
      </c>
      <c r="E145">
        <f>CurrentPositions!E135</f>
        <v/>
      </c>
      <c r="F145">
        <f>IF(B145="BUY",$B$5,IF(B145="SELL",$B$6,""))</f>
        <v/>
      </c>
      <c r="G145">
        <f>IF(B145="BUY",(F145-E145)/Settings!$B$3,IF(B145="SELL",(E145-F145)/Settings!$B$3,0))</f>
        <v/>
      </c>
      <c r="H145">
        <f>G145*D145*Settings!$B$4</f>
        <v/>
      </c>
      <c r="I145">
        <f>CurrentPositions!I135</f>
        <v/>
      </c>
      <c r="J145">
        <f>CurrentPositions!J135</f>
        <v/>
      </c>
      <c r="K145">
        <f>IF(AND(B145="BUY",H145&lt;0),H145,"")</f>
        <v/>
      </c>
      <c r="L145">
        <f>IF(K145&lt;&gt;"",A145,"")</f>
        <v/>
      </c>
    </row>
    <row r="146">
      <c r="A146">
        <f>CurrentPositions!A136</f>
        <v/>
      </c>
      <c r="B146">
        <f>CurrentPositions!B136</f>
        <v/>
      </c>
      <c r="C146">
        <f>CurrentPositions!C136</f>
        <v/>
      </c>
      <c r="D146">
        <f>CurrentPositions!D136</f>
        <v/>
      </c>
      <c r="E146">
        <f>CurrentPositions!E136</f>
        <v/>
      </c>
      <c r="F146">
        <f>IF(B146="BUY",$B$5,IF(B146="SELL",$B$6,""))</f>
        <v/>
      </c>
      <c r="G146">
        <f>IF(B146="BUY",(F146-E146)/Settings!$B$3,IF(B146="SELL",(E146-F146)/Settings!$B$3,0))</f>
        <v/>
      </c>
      <c r="H146">
        <f>G146*D146*Settings!$B$4</f>
        <v/>
      </c>
      <c r="I146">
        <f>CurrentPositions!I136</f>
        <v/>
      </c>
      <c r="J146">
        <f>CurrentPositions!J136</f>
        <v/>
      </c>
      <c r="K146">
        <f>IF(AND(B146="BUY",H146&lt;0),H146,"")</f>
        <v/>
      </c>
      <c r="L146">
        <f>IF(K146&lt;&gt;"",A146,"")</f>
        <v/>
      </c>
    </row>
    <row r="147">
      <c r="A147">
        <f>CurrentPositions!A137</f>
        <v/>
      </c>
      <c r="B147">
        <f>CurrentPositions!B137</f>
        <v/>
      </c>
      <c r="C147">
        <f>CurrentPositions!C137</f>
        <v/>
      </c>
      <c r="D147">
        <f>CurrentPositions!D137</f>
        <v/>
      </c>
      <c r="E147">
        <f>CurrentPositions!E137</f>
        <v/>
      </c>
      <c r="F147">
        <f>IF(B147="BUY",$B$5,IF(B147="SELL",$B$6,""))</f>
        <v/>
      </c>
      <c r="G147">
        <f>IF(B147="BUY",(F147-E147)/Settings!$B$3,IF(B147="SELL",(E147-F147)/Settings!$B$3,0))</f>
        <v/>
      </c>
      <c r="H147">
        <f>G147*D147*Settings!$B$4</f>
        <v/>
      </c>
      <c r="I147">
        <f>CurrentPositions!I137</f>
        <v/>
      </c>
      <c r="J147">
        <f>CurrentPositions!J137</f>
        <v/>
      </c>
      <c r="K147">
        <f>IF(AND(B147="BUY",H147&lt;0),H147,"")</f>
        <v/>
      </c>
      <c r="L147">
        <f>IF(K147&lt;&gt;"",A147,"")</f>
        <v/>
      </c>
    </row>
    <row r="148">
      <c r="A148">
        <f>CurrentPositions!A138</f>
        <v/>
      </c>
      <c r="B148">
        <f>CurrentPositions!B138</f>
        <v/>
      </c>
      <c r="C148">
        <f>CurrentPositions!C138</f>
        <v/>
      </c>
      <c r="D148">
        <f>CurrentPositions!D138</f>
        <v/>
      </c>
      <c r="E148">
        <f>CurrentPositions!E138</f>
        <v/>
      </c>
      <c r="F148">
        <f>IF(B148="BUY",$B$5,IF(B148="SELL",$B$6,""))</f>
        <v/>
      </c>
      <c r="G148">
        <f>IF(B148="BUY",(F148-E148)/Settings!$B$3,IF(B148="SELL",(E148-F148)/Settings!$B$3,0))</f>
        <v/>
      </c>
      <c r="H148">
        <f>G148*D148*Settings!$B$4</f>
        <v/>
      </c>
      <c r="I148">
        <f>CurrentPositions!I138</f>
        <v/>
      </c>
      <c r="J148">
        <f>CurrentPositions!J138</f>
        <v/>
      </c>
      <c r="K148">
        <f>IF(AND(B148="BUY",H148&lt;0),H148,"")</f>
        <v/>
      </c>
      <c r="L148">
        <f>IF(K148&lt;&gt;"",A148,"")</f>
        <v/>
      </c>
    </row>
    <row r="149">
      <c r="A149">
        <f>CurrentPositions!A139</f>
        <v/>
      </c>
      <c r="B149">
        <f>CurrentPositions!B139</f>
        <v/>
      </c>
      <c r="C149">
        <f>CurrentPositions!C139</f>
        <v/>
      </c>
      <c r="D149">
        <f>CurrentPositions!D139</f>
        <v/>
      </c>
      <c r="E149">
        <f>CurrentPositions!E139</f>
        <v/>
      </c>
      <c r="F149">
        <f>IF(B149="BUY",$B$5,IF(B149="SELL",$B$6,""))</f>
        <v/>
      </c>
      <c r="G149">
        <f>IF(B149="BUY",(F149-E149)/Settings!$B$3,IF(B149="SELL",(E149-F149)/Settings!$B$3,0))</f>
        <v/>
      </c>
      <c r="H149">
        <f>G149*D149*Settings!$B$4</f>
        <v/>
      </c>
      <c r="I149">
        <f>CurrentPositions!I139</f>
        <v/>
      </c>
      <c r="J149">
        <f>CurrentPositions!J139</f>
        <v/>
      </c>
      <c r="K149">
        <f>IF(AND(B149="BUY",H149&lt;0),H149,"")</f>
        <v/>
      </c>
      <c r="L149">
        <f>IF(K149&lt;&gt;"",A149,"")</f>
        <v/>
      </c>
    </row>
    <row r="150">
      <c r="A150">
        <f>CurrentPositions!A140</f>
        <v/>
      </c>
      <c r="B150">
        <f>CurrentPositions!B140</f>
        <v/>
      </c>
      <c r="C150">
        <f>CurrentPositions!C140</f>
        <v/>
      </c>
      <c r="D150">
        <f>CurrentPositions!D140</f>
        <v/>
      </c>
      <c r="E150">
        <f>CurrentPositions!E140</f>
        <v/>
      </c>
      <c r="F150">
        <f>IF(B150="BUY",$B$5,IF(B150="SELL",$B$6,""))</f>
        <v/>
      </c>
      <c r="G150">
        <f>IF(B150="BUY",(F150-E150)/Settings!$B$3,IF(B150="SELL",(E150-F150)/Settings!$B$3,0))</f>
        <v/>
      </c>
      <c r="H150">
        <f>G150*D150*Settings!$B$4</f>
        <v/>
      </c>
      <c r="I150">
        <f>CurrentPositions!I140</f>
        <v/>
      </c>
      <c r="J150">
        <f>CurrentPositions!J140</f>
        <v/>
      </c>
      <c r="K150">
        <f>IF(AND(B150="BUY",H150&lt;0),H150,"")</f>
        <v/>
      </c>
      <c r="L150">
        <f>IF(K150&lt;&gt;"",A150,"")</f>
        <v/>
      </c>
    </row>
    <row r="151">
      <c r="A151">
        <f>CurrentPositions!A141</f>
        <v/>
      </c>
      <c r="B151">
        <f>CurrentPositions!B141</f>
        <v/>
      </c>
      <c r="C151">
        <f>CurrentPositions!C141</f>
        <v/>
      </c>
      <c r="D151">
        <f>CurrentPositions!D141</f>
        <v/>
      </c>
      <c r="E151">
        <f>CurrentPositions!E141</f>
        <v/>
      </c>
      <c r="F151">
        <f>IF(B151="BUY",$B$5,IF(B151="SELL",$B$6,""))</f>
        <v/>
      </c>
      <c r="G151">
        <f>IF(B151="BUY",(F151-E151)/Settings!$B$3,IF(B151="SELL",(E151-F151)/Settings!$B$3,0))</f>
        <v/>
      </c>
      <c r="H151">
        <f>G151*D151*Settings!$B$4</f>
        <v/>
      </c>
      <c r="I151">
        <f>CurrentPositions!I141</f>
        <v/>
      </c>
      <c r="J151">
        <f>CurrentPositions!J141</f>
        <v/>
      </c>
      <c r="K151">
        <f>IF(AND(B151="BUY",H151&lt;0),H151,"")</f>
        <v/>
      </c>
      <c r="L151">
        <f>IF(K151&lt;&gt;"",A151,"")</f>
        <v/>
      </c>
    </row>
    <row r="152">
      <c r="A152">
        <f>CurrentPositions!A142</f>
        <v/>
      </c>
      <c r="B152">
        <f>CurrentPositions!B142</f>
        <v/>
      </c>
      <c r="C152">
        <f>CurrentPositions!C142</f>
        <v/>
      </c>
      <c r="D152">
        <f>CurrentPositions!D142</f>
        <v/>
      </c>
      <c r="E152">
        <f>CurrentPositions!E142</f>
        <v/>
      </c>
      <c r="F152">
        <f>IF(B152="BUY",$B$5,IF(B152="SELL",$B$6,""))</f>
        <v/>
      </c>
      <c r="G152">
        <f>IF(B152="BUY",(F152-E152)/Settings!$B$3,IF(B152="SELL",(E152-F152)/Settings!$B$3,0))</f>
        <v/>
      </c>
      <c r="H152">
        <f>G152*D152*Settings!$B$4</f>
        <v/>
      </c>
      <c r="I152">
        <f>CurrentPositions!I142</f>
        <v/>
      </c>
      <c r="J152">
        <f>CurrentPositions!J142</f>
        <v/>
      </c>
      <c r="K152">
        <f>IF(AND(B152="BUY",H152&lt;0),H152,"")</f>
        <v/>
      </c>
      <c r="L152">
        <f>IF(K152&lt;&gt;"",A152,"")</f>
        <v/>
      </c>
    </row>
    <row r="153">
      <c r="A153">
        <f>CurrentPositions!A143</f>
        <v/>
      </c>
      <c r="B153">
        <f>CurrentPositions!B143</f>
        <v/>
      </c>
      <c r="C153">
        <f>CurrentPositions!C143</f>
        <v/>
      </c>
      <c r="D153">
        <f>CurrentPositions!D143</f>
        <v/>
      </c>
      <c r="E153">
        <f>CurrentPositions!E143</f>
        <v/>
      </c>
      <c r="F153">
        <f>IF(B153="BUY",$B$5,IF(B153="SELL",$B$6,""))</f>
        <v/>
      </c>
      <c r="G153">
        <f>IF(B153="BUY",(F153-E153)/Settings!$B$3,IF(B153="SELL",(E153-F153)/Settings!$B$3,0))</f>
        <v/>
      </c>
      <c r="H153">
        <f>G153*D153*Settings!$B$4</f>
        <v/>
      </c>
      <c r="I153">
        <f>CurrentPositions!I143</f>
        <v/>
      </c>
      <c r="J153">
        <f>CurrentPositions!J143</f>
        <v/>
      </c>
      <c r="K153">
        <f>IF(AND(B153="BUY",H153&lt;0),H153,"")</f>
        <v/>
      </c>
      <c r="L153">
        <f>IF(K153&lt;&gt;"",A153,"")</f>
        <v/>
      </c>
    </row>
    <row r="154">
      <c r="A154">
        <f>CurrentPositions!A144</f>
        <v/>
      </c>
      <c r="B154">
        <f>CurrentPositions!B144</f>
        <v/>
      </c>
      <c r="C154">
        <f>CurrentPositions!C144</f>
        <v/>
      </c>
      <c r="D154">
        <f>CurrentPositions!D144</f>
        <v/>
      </c>
      <c r="E154">
        <f>CurrentPositions!E144</f>
        <v/>
      </c>
      <c r="F154">
        <f>IF(B154="BUY",$B$5,IF(B154="SELL",$B$6,""))</f>
        <v/>
      </c>
      <c r="G154">
        <f>IF(B154="BUY",(F154-E154)/Settings!$B$3,IF(B154="SELL",(E154-F154)/Settings!$B$3,0))</f>
        <v/>
      </c>
      <c r="H154">
        <f>G154*D154*Settings!$B$4</f>
        <v/>
      </c>
      <c r="I154">
        <f>CurrentPositions!I144</f>
        <v/>
      </c>
      <c r="J154">
        <f>CurrentPositions!J144</f>
        <v/>
      </c>
      <c r="K154">
        <f>IF(AND(B154="BUY",H154&lt;0),H154,"")</f>
        <v/>
      </c>
      <c r="L154">
        <f>IF(K154&lt;&gt;"",A154,"")</f>
        <v/>
      </c>
    </row>
    <row r="155">
      <c r="A155">
        <f>CurrentPositions!A145</f>
        <v/>
      </c>
      <c r="B155">
        <f>CurrentPositions!B145</f>
        <v/>
      </c>
      <c r="C155">
        <f>CurrentPositions!C145</f>
        <v/>
      </c>
      <c r="D155">
        <f>CurrentPositions!D145</f>
        <v/>
      </c>
      <c r="E155">
        <f>CurrentPositions!E145</f>
        <v/>
      </c>
      <c r="F155">
        <f>IF(B155="BUY",$B$5,IF(B155="SELL",$B$6,""))</f>
        <v/>
      </c>
      <c r="G155">
        <f>IF(B155="BUY",(F155-E155)/Settings!$B$3,IF(B155="SELL",(E155-F155)/Settings!$B$3,0))</f>
        <v/>
      </c>
      <c r="H155">
        <f>G155*D155*Settings!$B$4</f>
        <v/>
      </c>
      <c r="I155">
        <f>CurrentPositions!I145</f>
        <v/>
      </c>
      <c r="J155">
        <f>CurrentPositions!J145</f>
        <v/>
      </c>
      <c r="K155">
        <f>IF(AND(B155="BUY",H155&lt;0),H155,"")</f>
        <v/>
      </c>
      <c r="L155">
        <f>IF(K155&lt;&gt;"",A155,"")</f>
        <v/>
      </c>
    </row>
    <row r="156">
      <c r="A156">
        <f>CurrentPositions!A146</f>
        <v/>
      </c>
      <c r="B156">
        <f>CurrentPositions!B146</f>
        <v/>
      </c>
      <c r="C156">
        <f>CurrentPositions!C146</f>
        <v/>
      </c>
      <c r="D156">
        <f>CurrentPositions!D146</f>
        <v/>
      </c>
      <c r="E156">
        <f>CurrentPositions!E146</f>
        <v/>
      </c>
      <c r="F156">
        <f>IF(B156="BUY",$B$5,IF(B156="SELL",$B$6,""))</f>
        <v/>
      </c>
      <c r="G156">
        <f>IF(B156="BUY",(F156-E156)/Settings!$B$3,IF(B156="SELL",(E156-F156)/Settings!$B$3,0))</f>
        <v/>
      </c>
      <c r="H156">
        <f>G156*D156*Settings!$B$4</f>
        <v/>
      </c>
      <c r="I156">
        <f>CurrentPositions!I146</f>
        <v/>
      </c>
      <c r="J156">
        <f>CurrentPositions!J146</f>
        <v/>
      </c>
      <c r="K156">
        <f>IF(AND(B156="BUY",H156&lt;0),H156,"")</f>
        <v/>
      </c>
      <c r="L156">
        <f>IF(K156&lt;&gt;"",A156,"")</f>
        <v/>
      </c>
    </row>
    <row r="157">
      <c r="A157">
        <f>CurrentPositions!A147</f>
        <v/>
      </c>
      <c r="B157">
        <f>CurrentPositions!B147</f>
        <v/>
      </c>
      <c r="C157">
        <f>CurrentPositions!C147</f>
        <v/>
      </c>
      <c r="D157">
        <f>CurrentPositions!D147</f>
        <v/>
      </c>
      <c r="E157">
        <f>CurrentPositions!E147</f>
        <v/>
      </c>
      <c r="F157">
        <f>IF(B157="BUY",$B$5,IF(B157="SELL",$B$6,""))</f>
        <v/>
      </c>
      <c r="G157">
        <f>IF(B157="BUY",(F157-E157)/Settings!$B$3,IF(B157="SELL",(E157-F157)/Settings!$B$3,0))</f>
        <v/>
      </c>
      <c r="H157">
        <f>G157*D157*Settings!$B$4</f>
        <v/>
      </c>
      <c r="I157">
        <f>CurrentPositions!I147</f>
        <v/>
      </c>
      <c r="J157">
        <f>CurrentPositions!J147</f>
        <v/>
      </c>
      <c r="K157">
        <f>IF(AND(B157="BUY",H157&lt;0),H157,"")</f>
        <v/>
      </c>
      <c r="L157">
        <f>IF(K157&lt;&gt;"",A157,"")</f>
        <v/>
      </c>
    </row>
    <row r="158">
      <c r="A158">
        <f>CurrentPositions!A148</f>
        <v/>
      </c>
      <c r="B158">
        <f>CurrentPositions!B148</f>
        <v/>
      </c>
      <c r="C158">
        <f>CurrentPositions!C148</f>
        <v/>
      </c>
      <c r="D158">
        <f>CurrentPositions!D148</f>
        <v/>
      </c>
      <c r="E158">
        <f>CurrentPositions!E148</f>
        <v/>
      </c>
      <c r="F158">
        <f>IF(B158="BUY",$B$5,IF(B158="SELL",$B$6,""))</f>
        <v/>
      </c>
      <c r="G158">
        <f>IF(B158="BUY",(F158-E158)/Settings!$B$3,IF(B158="SELL",(E158-F158)/Settings!$B$3,0))</f>
        <v/>
      </c>
      <c r="H158">
        <f>G158*D158*Settings!$B$4</f>
        <v/>
      </c>
      <c r="I158">
        <f>CurrentPositions!I148</f>
        <v/>
      </c>
      <c r="J158">
        <f>CurrentPositions!J148</f>
        <v/>
      </c>
      <c r="K158">
        <f>IF(AND(B158="BUY",H158&lt;0),H158,"")</f>
        <v/>
      </c>
      <c r="L158">
        <f>IF(K158&lt;&gt;"",A158,"")</f>
        <v/>
      </c>
    </row>
    <row r="159">
      <c r="A159">
        <f>CurrentPositions!A149</f>
        <v/>
      </c>
      <c r="B159">
        <f>CurrentPositions!B149</f>
        <v/>
      </c>
      <c r="C159">
        <f>CurrentPositions!C149</f>
        <v/>
      </c>
      <c r="D159">
        <f>CurrentPositions!D149</f>
        <v/>
      </c>
      <c r="E159">
        <f>CurrentPositions!E149</f>
        <v/>
      </c>
      <c r="F159">
        <f>IF(B159="BUY",$B$5,IF(B159="SELL",$B$6,""))</f>
        <v/>
      </c>
      <c r="G159">
        <f>IF(B159="BUY",(F159-E159)/Settings!$B$3,IF(B159="SELL",(E159-F159)/Settings!$B$3,0))</f>
        <v/>
      </c>
      <c r="H159">
        <f>G159*D159*Settings!$B$4</f>
        <v/>
      </c>
      <c r="I159">
        <f>CurrentPositions!I149</f>
        <v/>
      </c>
      <c r="J159">
        <f>CurrentPositions!J149</f>
        <v/>
      </c>
      <c r="K159">
        <f>IF(AND(B159="BUY",H159&lt;0),H159,"")</f>
        <v/>
      </c>
      <c r="L159">
        <f>IF(K159&lt;&gt;"",A159,"")</f>
        <v/>
      </c>
    </row>
    <row r="160">
      <c r="A160">
        <f>CurrentPositions!A150</f>
        <v/>
      </c>
      <c r="B160">
        <f>CurrentPositions!B150</f>
        <v/>
      </c>
      <c r="C160">
        <f>CurrentPositions!C150</f>
        <v/>
      </c>
      <c r="D160">
        <f>CurrentPositions!D150</f>
        <v/>
      </c>
      <c r="E160">
        <f>CurrentPositions!E150</f>
        <v/>
      </c>
      <c r="F160">
        <f>IF(B160="BUY",$B$5,IF(B160="SELL",$B$6,""))</f>
        <v/>
      </c>
      <c r="G160">
        <f>IF(B160="BUY",(F160-E160)/Settings!$B$3,IF(B160="SELL",(E160-F160)/Settings!$B$3,0))</f>
        <v/>
      </c>
      <c r="H160">
        <f>G160*D160*Settings!$B$4</f>
        <v/>
      </c>
      <c r="I160">
        <f>CurrentPositions!I150</f>
        <v/>
      </c>
      <c r="J160">
        <f>CurrentPositions!J150</f>
        <v/>
      </c>
      <c r="K160">
        <f>IF(AND(B160="BUY",H160&lt;0),H160,"")</f>
        <v/>
      </c>
      <c r="L160">
        <f>IF(K160&lt;&gt;"",A160,"")</f>
        <v/>
      </c>
    </row>
    <row r="161">
      <c r="A161">
        <f>CurrentPositions!A151</f>
        <v/>
      </c>
      <c r="B161">
        <f>CurrentPositions!B151</f>
        <v/>
      </c>
      <c r="C161">
        <f>CurrentPositions!C151</f>
        <v/>
      </c>
      <c r="D161">
        <f>CurrentPositions!D151</f>
        <v/>
      </c>
      <c r="E161">
        <f>CurrentPositions!E151</f>
        <v/>
      </c>
      <c r="F161">
        <f>IF(B161="BUY",$B$5,IF(B161="SELL",$B$6,""))</f>
        <v/>
      </c>
      <c r="G161">
        <f>IF(B161="BUY",(F161-E161)/Settings!$B$3,IF(B161="SELL",(E161-F161)/Settings!$B$3,0))</f>
        <v/>
      </c>
      <c r="H161">
        <f>G161*D161*Settings!$B$4</f>
        <v/>
      </c>
      <c r="I161">
        <f>CurrentPositions!I151</f>
        <v/>
      </c>
      <c r="J161">
        <f>CurrentPositions!J151</f>
        <v/>
      </c>
      <c r="K161">
        <f>IF(AND(B161="BUY",H161&lt;0),H161,"")</f>
        <v/>
      </c>
      <c r="L161">
        <f>IF(K161&lt;&gt;"",A161,"")</f>
        <v/>
      </c>
    </row>
    <row r="162">
      <c r="A162">
        <f>CurrentPositions!A152</f>
        <v/>
      </c>
      <c r="B162">
        <f>CurrentPositions!B152</f>
        <v/>
      </c>
      <c r="C162">
        <f>CurrentPositions!C152</f>
        <v/>
      </c>
      <c r="D162">
        <f>CurrentPositions!D152</f>
        <v/>
      </c>
      <c r="E162">
        <f>CurrentPositions!E152</f>
        <v/>
      </c>
      <c r="F162">
        <f>IF(B162="BUY",$B$5,IF(B162="SELL",$B$6,""))</f>
        <v/>
      </c>
      <c r="G162">
        <f>IF(B162="BUY",(F162-E162)/Settings!$B$3,IF(B162="SELL",(E162-F162)/Settings!$B$3,0))</f>
        <v/>
      </c>
      <c r="H162">
        <f>G162*D162*Settings!$B$4</f>
        <v/>
      </c>
      <c r="I162">
        <f>CurrentPositions!I152</f>
        <v/>
      </c>
      <c r="J162">
        <f>CurrentPositions!J152</f>
        <v/>
      </c>
      <c r="K162">
        <f>IF(AND(B162="BUY",H162&lt;0),H162,"")</f>
        <v/>
      </c>
      <c r="L162">
        <f>IF(K162&lt;&gt;"",A162,"")</f>
        <v/>
      </c>
    </row>
    <row r="163">
      <c r="A163">
        <f>CurrentPositions!A153</f>
        <v/>
      </c>
      <c r="B163">
        <f>CurrentPositions!B153</f>
        <v/>
      </c>
      <c r="C163">
        <f>CurrentPositions!C153</f>
        <v/>
      </c>
      <c r="D163">
        <f>CurrentPositions!D153</f>
        <v/>
      </c>
      <c r="E163">
        <f>CurrentPositions!E153</f>
        <v/>
      </c>
      <c r="F163">
        <f>IF(B163="BUY",$B$5,IF(B163="SELL",$B$6,""))</f>
        <v/>
      </c>
      <c r="G163">
        <f>IF(B163="BUY",(F163-E163)/Settings!$B$3,IF(B163="SELL",(E163-F163)/Settings!$B$3,0))</f>
        <v/>
      </c>
      <c r="H163">
        <f>G163*D163*Settings!$B$4</f>
        <v/>
      </c>
      <c r="I163">
        <f>CurrentPositions!I153</f>
        <v/>
      </c>
      <c r="J163">
        <f>CurrentPositions!J153</f>
        <v/>
      </c>
      <c r="K163">
        <f>IF(AND(B163="BUY",H163&lt;0),H163,"")</f>
        <v/>
      </c>
      <c r="L163">
        <f>IF(K163&lt;&gt;"",A163,"")</f>
        <v/>
      </c>
    </row>
    <row r="164">
      <c r="A164">
        <f>CurrentPositions!A154</f>
        <v/>
      </c>
      <c r="B164">
        <f>CurrentPositions!B154</f>
        <v/>
      </c>
      <c r="C164">
        <f>CurrentPositions!C154</f>
        <v/>
      </c>
      <c r="D164">
        <f>CurrentPositions!D154</f>
        <v/>
      </c>
      <c r="E164">
        <f>CurrentPositions!E154</f>
        <v/>
      </c>
      <c r="F164">
        <f>IF(B164="BUY",$B$5,IF(B164="SELL",$B$6,""))</f>
        <v/>
      </c>
      <c r="G164">
        <f>IF(B164="BUY",(F164-E164)/Settings!$B$3,IF(B164="SELL",(E164-F164)/Settings!$B$3,0))</f>
        <v/>
      </c>
      <c r="H164">
        <f>G164*D164*Settings!$B$4</f>
        <v/>
      </c>
      <c r="I164">
        <f>CurrentPositions!I154</f>
        <v/>
      </c>
      <c r="J164">
        <f>CurrentPositions!J154</f>
        <v/>
      </c>
      <c r="K164">
        <f>IF(AND(B164="BUY",H164&lt;0),H164,"")</f>
        <v/>
      </c>
      <c r="L164">
        <f>IF(K164&lt;&gt;"",A164,"")</f>
        <v/>
      </c>
    </row>
    <row r="165">
      <c r="A165">
        <f>CurrentPositions!A155</f>
        <v/>
      </c>
      <c r="B165">
        <f>CurrentPositions!B155</f>
        <v/>
      </c>
      <c r="C165">
        <f>CurrentPositions!C155</f>
        <v/>
      </c>
      <c r="D165">
        <f>CurrentPositions!D155</f>
        <v/>
      </c>
      <c r="E165">
        <f>CurrentPositions!E155</f>
        <v/>
      </c>
      <c r="F165">
        <f>IF(B165="BUY",$B$5,IF(B165="SELL",$B$6,""))</f>
        <v/>
      </c>
      <c r="G165">
        <f>IF(B165="BUY",(F165-E165)/Settings!$B$3,IF(B165="SELL",(E165-F165)/Settings!$B$3,0))</f>
        <v/>
      </c>
      <c r="H165">
        <f>G165*D165*Settings!$B$4</f>
        <v/>
      </c>
      <c r="I165">
        <f>CurrentPositions!I155</f>
        <v/>
      </c>
      <c r="J165">
        <f>CurrentPositions!J155</f>
        <v/>
      </c>
      <c r="K165">
        <f>IF(AND(B165="BUY",H165&lt;0),H165,"")</f>
        <v/>
      </c>
      <c r="L165">
        <f>IF(K165&lt;&gt;"",A165,"")</f>
        <v/>
      </c>
    </row>
    <row r="166">
      <c r="A166">
        <f>CurrentPositions!A156</f>
        <v/>
      </c>
      <c r="B166">
        <f>CurrentPositions!B156</f>
        <v/>
      </c>
      <c r="C166">
        <f>CurrentPositions!C156</f>
        <v/>
      </c>
      <c r="D166">
        <f>CurrentPositions!D156</f>
        <v/>
      </c>
      <c r="E166">
        <f>CurrentPositions!E156</f>
        <v/>
      </c>
      <c r="F166">
        <f>IF(B166="BUY",$B$5,IF(B166="SELL",$B$6,""))</f>
        <v/>
      </c>
      <c r="G166">
        <f>IF(B166="BUY",(F166-E166)/Settings!$B$3,IF(B166="SELL",(E166-F166)/Settings!$B$3,0))</f>
        <v/>
      </c>
      <c r="H166">
        <f>G166*D166*Settings!$B$4</f>
        <v/>
      </c>
      <c r="I166">
        <f>CurrentPositions!I156</f>
        <v/>
      </c>
      <c r="J166">
        <f>CurrentPositions!J156</f>
        <v/>
      </c>
      <c r="K166">
        <f>IF(AND(B166="BUY",H166&lt;0),H166,"")</f>
        <v/>
      </c>
      <c r="L166">
        <f>IF(K166&lt;&gt;"",A166,"")</f>
        <v/>
      </c>
    </row>
    <row r="167">
      <c r="A167">
        <f>CurrentPositions!A157</f>
        <v/>
      </c>
      <c r="B167">
        <f>CurrentPositions!B157</f>
        <v/>
      </c>
      <c r="C167">
        <f>CurrentPositions!C157</f>
        <v/>
      </c>
      <c r="D167">
        <f>CurrentPositions!D157</f>
        <v/>
      </c>
      <c r="E167">
        <f>CurrentPositions!E157</f>
        <v/>
      </c>
      <c r="F167">
        <f>IF(B167="BUY",$B$5,IF(B167="SELL",$B$6,""))</f>
        <v/>
      </c>
      <c r="G167">
        <f>IF(B167="BUY",(F167-E167)/Settings!$B$3,IF(B167="SELL",(E167-F167)/Settings!$B$3,0))</f>
        <v/>
      </c>
      <c r="H167">
        <f>G167*D167*Settings!$B$4</f>
        <v/>
      </c>
      <c r="I167">
        <f>CurrentPositions!I157</f>
        <v/>
      </c>
      <c r="J167">
        <f>CurrentPositions!J157</f>
        <v/>
      </c>
      <c r="K167">
        <f>IF(AND(B167="BUY",H167&lt;0),H167,"")</f>
        <v/>
      </c>
      <c r="L167">
        <f>IF(K167&lt;&gt;"",A167,"")</f>
        <v/>
      </c>
    </row>
    <row r="168">
      <c r="A168">
        <f>CurrentPositions!A158</f>
        <v/>
      </c>
      <c r="B168">
        <f>CurrentPositions!B158</f>
        <v/>
      </c>
      <c r="C168">
        <f>CurrentPositions!C158</f>
        <v/>
      </c>
      <c r="D168">
        <f>CurrentPositions!D158</f>
        <v/>
      </c>
      <c r="E168">
        <f>CurrentPositions!E158</f>
        <v/>
      </c>
      <c r="F168">
        <f>IF(B168="BUY",$B$5,IF(B168="SELL",$B$6,""))</f>
        <v/>
      </c>
      <c r="G168">
        <f>IF(B168="BUY",(F168-E168)/Settings!$B$3,IF(B168="SELL",(E168-F168)/Settings!$B$3,0))</f>
        <v/>
      </c>
      <c r="H168">
        <f>G168*D168*Settings!$B$4</f>
        <v/>
      </c>
      <c r="I168">
        <f>CurrentPositions!I158</f>
        <v/>
      </c>
      <c r="J168">
        <f>CurrentPositions!J158</f>
        <v/>
      </c>
      <c r="K168">
        <f>IF(AND(B168="BUY",H168&lt;0),H168,"")</f>
        <v/>
      </c>
      <c r="L168">
        <f>IF(K168&lt;&gt;"",A168,"")</f>
        <v/>
      </c>
    </row>
    <row r="169">
      <c r="A169">
        <f>CurrentPositions!A159</f>
        <v/>
      </c>
      <c r="B169">
        <f>CurrentPositions!B159</f>
        <v/>
      </c>
      <c r="C169">
        <f>CurrentPositions!C159</f>
        <v/>
      </c>
      <c r="D169">
        <f>CurrentPositions!D159</f>
        <v/>
      </c>
      <c r="E169">
        <f>CurrentPositions!E159</f>
        <v/>
      </c>
      <c r="F169">
        <f>IF(B169="BUY",$B$5,IF(B169="SELL",$B$6,""))</f>
        <v/>
      </c>
      <c r="G169">
        <f>IF(B169="BUY",(F169-E169)/Settings!$B$3,IF(B169="SELL",(E169-F169)/Settings!$B$3,0))</f>
        <v/>
      </c>
      <c r="H169">
        <f>G169*D169*Settings!$B$4</f>
        <v/>
      </c>
      <c r="I169">
        <f>CurrentPositions!I159</f>
        <v/>
      </c>
      <c r="J169">
        <f>CurrentPositions!J159</f>
        <v/>
      </c>
      <c r="K169">
        <f>IF(AND(B169="BUY",H169&lt;0),H169,"")</f>
        <v/>
      </c>
      <c r="L169">
        <f>IF(K169&lt;&gt;"",A169,"")</f>
        <v/>
      </c>
    </row>
    <row r="170">
      <c r="A170">
        <f>CurrentPositions!A160</f>
        <v/>
      </c>
      <c r="B170">
        <f>CurrentPositions!B160</f>
        <v/>
      </c>
      <c r="C170">
        <f>CurrentPositions!C160</f>
        <v/>
      </c>
      <c r="D170">
        <f>CurrentPositions!D160</f>
        <v/>
      </c>
      <c r="E170">
        <f>CurrentPositions!E160</f>
        <v/>
      </c>
      <c r="F170">
        <f>IF(B170="BUY",$B$5,IF(B170="SELL",$B$6,""))</f>
        <v/>
      </c>
      <c r="G170">
        <f>IF(B170="BUY",(F170-E170)/Settings!$B$3,IF(B170="SELL",(E170-F170)/Settings!$B$3,0))</f>
        <v/>
      </c>
      <c r="H170">
        <f>G170*D170*Settings!$B$4</f>
        <v/>
      </c>
      <c r="I170">
        <f>CurrentPositions!I160</f>
        <v/>
      </c>
      <c r="J170">
        <f>CurrentPositions!J160</f>
        <v/>
      </c>
      <c r="K170">
        <f>IF(AND(B170="BUY",H170&lt;0),H170,"")</f>
        <v/>
      </c>
      <c r="L170">
        <f>IF(K170&lt;&gt;"",A170,"")</f>
        <v/>
      </c>
    </row>
    <row r="171">
      <c r="A171">
        <f>CurrentPositions!A161</f>
        <v/>
      </c>
      <c r="B171">
        <f>CurrentPositions!B161</f>
        <v/>
      </c>
      <c r="C171">
        <f>CurrentPositions!C161</f>
        <v/>
      </c>
      <c r="D171">
        <f>CurrentPositions!D161</f>
        <v/>
      </c>
      <c r="E171">
        <f>CurrentPositions!E161</f>
        <v/>
      </c>
      <c r="F171">
        <f>IF(B171="BUY",$B$5,IF(B171="SELL",$B$6,""))</f>
        <v/>
      </c>
      <c r="G171">
        <f>IF(B171="BUY",(F171-E171)/Settings!$B$3,IF(B171="SELL",(E171-F171)/Settings!$B$3,0))</f>
        <v/>
      </c>
      <c r="H171">
        <f>G171*D171*Settings!$B$4</f>
        <v/>
      </c>
      <c r="I171">
        <f>CurrentPositions!I161</f>
        <v/>
      </c>
      <c r="J171">
        <f>CurrentPositions!J161</f>
        <v/>
      </c>
      <c r="K171">
        <f>IF(AND(B171="BUY",H171&lt;0),H171,"")</f>
        <v/>
      </c>
      <c r="L171">
        <f>IF(K171&lt;&gt;"",A171,"")</f>
        <v/>
      </c>
    </row>
    <row r="172">
      <c r="A172">
        <f>CurrentPositions!A162</f>
        <v/>
      </c>
      <c r="B172">
        <f>CurrentPositions!B162</f>
        <v/>
      </c>
      <c r="C172">
        <f>CurrentPositions!C162</f>
        <v/>
      </c>
      <c r="D172">
        <f>CurrentPositions!D162</f>
        <v/>
      </c>
      <c r="E172">
        <f>CurrentPositions!E162</f>
        <v/>
      </c>
      <c r="F172">
        <f>IF(B172="BUY",$B$5,IF(B172="SELL",$B$6,""))</f>
        <v/>
      </c>
      <c r="G172">
        <f>IF(B172="BUY",(F172-E172)/Settings!$B$3,IF(B172="SELL",(E172-F172)/Settings!$B$3,0))</f>
        <v/>
      </c>
      <c r="H172">
        <f>G172*D172*Settings!$B$4</f>
        <v/>
      </c>
      <c r="I172">
        <f>CurrentPositions!I162</f>
        <v/>
      </c>
      <c r="J172">
        <f>CurrentPositions!J162</f>
        <v/>
      </c>
      <c r="K172">
        <f>IF(AND(B172="BUY",H172&lt;0),H172,"")</f>
        <v/>
      </c>
      <c r="L172">
        <f>IF(K172&lt;&gt;"",A172,"")</f>
        <v/>
      </c>
    </row>
    <row r="173">
      <c r="A173">
        <f>CurrentPositions!A163</f>
        <v/>
      </c>
      <c r="B173">
        <f>CurrentPositions!B163</f>
        <v/>
      </c>
      <c r="C173">
        <f>CurrentPositions!C163</f>
        <v/>
      </c>
      <c r="D173">
        <f>CurrentPositions!D163</f>
        <v/>
      </c>
      <c r="E173">
        <f>CurrentPositions!E163</f>
        <v/>
      </c>
      <c r="F173">
        <f>IF(B173="BUY",$B$5,IF(B173="SELL",$B$6,""))</f>
        <v/>
      </c>
      <c r="G173">
        <f>IF(B173="BUY",(F173-E173)/Settings!$B$3,IF(B173="SELL",(E173-F173)/Settings!$B$3,0))</f>
        <v/>
      </c>
      <c r="H173">
        <f>G173*D173*Settings!$B$4</f>
        <v/>
      </c>
      <c r="I173">
        <f>CurrentPositions!I163</f>
        <v/>
      </c>
      <c r="J173">
        <f>CurrentPositions!J163</f>
        <v/>
      </c>
      <c r="K173">
        <f>IF(AND(B173="BUY",H173&lt;0),H173,"")</f>
        <v/>
      </c>
      <c r="L173">
        <f>IF(K173&lt;&gt;"",A173,"")</f>
        <v/>
      </c>
    </row>
    <row r="174">
      <c r="A174">
        <f>CurrentPositions!A164</f>
        <v/>
      </c>
      <c r="B174">
        <f>CurrentPositions!B164</f>
        <v/>
      </c>
      <c r="C174">
        <f>CurrentPositions!C164</f>
        <v/>
      </c>
      <c r="D174">
        <f>CurrentPositions!D164</f>
        <v/>
      </c>
      <c r="E174">
        <f>CurrentPositions!E164</f>
        <v/>
      </c>
      <c r="F174">
        <f>IF(B174="BUY",$B$5,IF(B174="SELL",$B$6,""))</f>
        <v/>
      </c>
      <c r="G174">
        <f>IF(B174="BUY",(F174-E174)/Settings!$B$3,IF(B174="SELL",(E174-F174)/Settings!$B$3,0))</f>
        <v/>
      </c>
      <c r="H174">
        <f>G174*D174*Settings!$B$4</f>
        <v/>
      </c>
      <c r="I174">
        <f>CurrentPositions!I164</f>
        <v/>
      </c>
      <c r="J174">
        <f>CurrentPositions!J164</f>
        <v/>
      </c>
      <c r="K174">
        <f>IF(AND(B174="BUY",H174&lt;0),H174,"")</f>
        <v/>
      </c>
      <c r="L174">
        <f>IF(K174&lt;&gt;"",A174,"")</f>
        <v/>
      </c>
    </row>
    <row r="175">
      <c r="A175">
        <f>CurrentPositions!A165</f>
        <v/>
      </c>
      <c r="B175">
        <f>CurrentPositions!B165</f>
        <v/>
      </c>
      <c r="C175">
        <f>CurrentPositions!C165</f>
        <v/>
      </c>
      <c r="D175">
        <f>CurrentPositions!D165</f>
        <v/>
      </c>
      <c r="E175">
        <f>CurrentPositions!E165</f>
        <v/>
      </c>
      <c r="F175">
        <f>IF(B175="BUY",$B$5,IF(B175="SELL",$B$6,""))</f>
        <v/>
      </c>
      <c r="G175">
        <f>IF(B175="BUY",(F175-E175)/Settings!$B$3,IF(B175="SELL",(E175-F175)/Settings!$B$3,0))</f>
        <v/>
      </c>
      <c r="H175">
        <f>G175*D175*Settings!$B$4</f>
        <v/>
      </c>
      <c r="I175">
        <f>CurrentPositions!I165</f>
        <v/>
      </c>
      <c r="J175">
        <f>CurrentPositions!J165</f>
        <v/>
      </c>
      <c r="K175">
        <f>IF(AND(B175="BUY",H175&lt;0),H175,"")</f>
        <v/>
      </c>
      <c r="L175">
        <f>IF(K175&lt;&gt;"",A175,"")</f>
        <v/>
      </c>
    </row>
    <row r="176">
      <c r="A176">
        <f>CurrentPositions!A166</f>
        <v/>
      </c>
      <c r="B176">
        <f>CurrentPositions!B166</f>
        <v/>
      </c>
      <c r="C176">
        <f>CurrentPositions!C166</f>
        <v/>
      </c>
      <c r="D176">
        <f>CurrentPositions!D166</f>
        <v/>
      </c>
      <c r="E176">
        <f>CurrentPositions!E166</f>
        <v/>
      </c>
      <c r="F176">
        <f>IF(B176="BUY",$B$5,IF(B176="SELL",$B$6,""))</f>
        <v/>
      </c>
      <c r="G176">
        <f>IF(B176="BUY",(F176-E176)/Settings!$B$3,IF(B176="SELL",(E176-F176)/Settings!$B$3,0))</f>
        <v/>
      </c>
      <c r="H176">
        <f>G176*D176*Settings!$B$4</f>
        <v/>
      </c>
      <c r="I176">
        <f>CurrentPositions!I166</f>
        <v/>
      </c>
      <c r="J176">
        <f>CurrentPositions!J166</f>
        <v/>
      </c>
      <c r="K176">
        <f>IF(AND(B176="BUY",H176&lt;0),H176,"")</f>
        <v/>
      </c>
      <c r="L176">
        <f>IF(K176&lt;&gt;"",A176,"")</f>
        <v/>
      </c>
    </row>
    <row r="177">
      <c r="A177">
        <f>CurrentPositions!A167</f>
        <v/>
      </c>
      <c r="B177">
        <f>CurrentPositions!B167</f>
        <v/>
      </c>
      <c r="C177">
        <f>CurrentPositions!C167</f>
        <v/>
      </c>
      <c r="D177">
        <f>CurrentPositions!D167</f>
        <v/>
      </c>
      <c r="E177">
        <f>CurrentPositions!E167</f>
        <v/>
      </c>
      <c r="F177">
        <f>IF(B177="BUY",$B$5,IF(B177="SELL",$B$6,""))</f>
        <v/>
      </c>
      <c r="G177">
        <f>IF(B177="BUY",(F177-E177)/Settings!$B$3,IF(B177="SELL",(E177-F177)/Settings!$B$3,0))</f>
        <v/>
      </c>
      <c r="H177">
        <f>G177*D177*Settings!$B$4</f>
        <v/>
      </c>
      <c r="I177">
        <f>CurrentPositions!I167</f>
        <v/>
      </c>
      <c r="J177">
        <f>CurrentPositions!J167</f>
        <v/>
      </c>
      <c r="K177">
        <f>IF(AND(B177="BUY",H177&lt;0),H177,"")</f>
        <v/>
      </c>
      <c r="L177">
        <f>IF(K177&lt;&gt;"",A177,"")</f>
        <v/>
      </c>
    </row>
    <row r="178">
      <c r="A178">
        <f>CurrentPositions!A168</f>
        <v/>
      </c>
      <c r="B178">
        <f>CurrentPositions!B168</f>
        <v/>
      </c>
      <c r="C178">
        <f>CurrentPositions!C168</f>
        <v/>
      </c>
      <c r="D178">
        <f>CurrentPositions!D168</f>
        <v/>
      </c>
      <c r="E178">
        <f>CurrentPositions!E168</f>
        <v/>
      </c>
      <c r="F178">
        <f>IF(B178="BUY",$B$5,IF(B178="SELL",$B$6,""))</f>
        <v/>
      </c>
      <c r="G178">
        <f>IF(B178="BUY",(F178-E178)/Settings!$B$3,IF(B178="SELL",(E178-F178)/Settings!$B$3,0))</f>
        <v/>
      </c>
      <c r="H178">
        <f>G178*D178*Settings!$B$4</f>
        <v/>
      </c>
      <c r="I178">
        <f>CurrentPositions!I168</f>
        <v/>
      </c>
      <c r="J178">
        <f>CurrentPositions!J168</f>
        <v/>
      </c>
      <c r="K178">
        <f>IF(AND(B178="BUY",H178&lt;0),H178,"")</f>
        <v/>
      </c>
      <c r="L178">
        <f>IF(K178&lt;&gt;"",A178,"")</f>
        <v/>
      </c>
    </row>
    <row r="179">
      <c r="A179">
        <f>CurrentPositions!A169</f>
        <v/>
      </c>
      <c r="B179">
        <f>CurrentPositions!B169</f>
        <v/>
      </c>
      <c r="C179">
        <f>CurrentPositions!C169</f>
        <v/>
      </c>
      <c r="D179">
        <f>CurrentPositions!D169</f>
        <v/>
      </c>
      <c r="E179">
        <f>CurrentPositions!E169</f>
        <v/>
      </c>
      <c r="F179">
        <f>IF(B179="BUY",$B$5,IF(B179="SELL",$B$6,""))</f>
        <v/>
      </c>
      <c r="G179">
        <f>IF(B179="BUY",(F179-E179)/Settings!$B$3,IF(B179="SELL",(E179-F179)/Settings!$B$3,0))</f>
        <v/>
      </c>
      <c r="H179">
        <f>G179*D179*Settings!$B$4</f>
        <v/>
      </c>
      <c r="I179">
        <f>CurrentPositions!I169</f>
        <v/>
      </c>
      <c r="J179">
        <f>CurrentPositions!J169</f>
        <v/>
      </c>
      <c r="K179">
        <f>IF(AND(B179="BUY",H179&lt;0),H179,"")</f>
        <v/>
      </c>
      <c r="L179">
        <f>IF(K179&lt;&gt;"",A179,"")</f>
        <v/>
      </c>
    </row>
    <row r="180">
      <c r="A180">
        <f>CurrentPositions!A170</f>
        <v/>
      </c>
      <c r="B180">
        <f>CurrentPositions!B170</f>
        <v/>
      </c>
      <c r="C180">
        <f>CurrentPositions!C170</f>
        <v/>
      </c>
      <c r="D180">
        <f>CurrentPositions!D170</f>
        <v/>
      </c>
      <c r="E180">
        <f>CurrentPositions!E170</f>
        <v/>
      </c>
      <c r="F180">
        <f>IF(B180="BUY",$B$5,IF(B180="SELL",$B$6,""))</f>
        <v/>
      </c>
      <c r="G180">
        <f>IF(B180="BUY",(F180-E180)/Settings!$B$3,IF(B180="SELL",(E180-F180)/Settings!$B$3,0))</f>
        <v/>
      </c>
      <c r="H180">
        <f>G180*D180*Settings!$B$4</f>
        <v/>
      </c>
      <c r="I180">
        <f>CurrentPositions!I170</f>
        <v/>
      </c>
      <c r="J180">
        <f>CurrentPositions!J170</f>
        <v/>
      </c>
      <c r="K180">
        <f>IF(AND(B180="BUY",H180&lt;0),H180,"")</f>
        <v/>
      </c>
      <c r="L180">
        <f>IF(K180&lt;&gt;"",A180,"")</f>
        <v/>
      </c>
    </row>
    <row r="181">
      <c r="A181">
        <f>CurrentPositions!A171</f>
        <v/>
      </c>
      <c r="B181">
        <f>CurrentPositions!B171</f>
        <v/>
      </c>
      <c r="C181">
        <f>CurrentPositions!C171</f>
        <v/>
      </c>
      <c r="D181">
        <f>CurrentPositions!D171</f>
        <v/>
      </c>
      <c r="E181">
        <f>CurrentPositions!E171</f>
        <v/>
      </c>
      <c r="F181">
        <f>IF(B181="BUY",$B$5,IF(B181="SELL",$B$6,""))</f>
        <v/>
      </c>
      <c r="G181">
        <f>IF(B181="BUY",(F181-E181)/Settings!$B$3,IF(B181="SELL",(E181-F181)/Settings!$B$3,0))</f>
        <v/>
      </c>
      <c r="H181">
        <f>G181*D181*Settings!$B$4</f>
        <v/>
      </c>
      <c r="I181">
        <f>CurrentPositions!I171</f>
        <v/>
      </c>
      <c r="J181">
        <f>CurrentPositions!J171</f>
        <v/>
      </c>
      <c r="K181">
        <f>IF(AND(B181="BUY",H181&lt;0),H181,"")</f>
        <v/>
      </c>
      <c r="L181">
        <f>IF(K181&lt;&gt;"",A181,"")</f>
        <v/>
      </c>
    </row>
    <row r="182">
      <c r="A182">
        <f>CurrentPositions!A172</f>
        <v/>
      </c>
      <c r="B182">
        <f>CurrentPositions!B172</f>
        <v/>
      </c>
      <c r="C182">
        <f>CurrentPositions!C172</f>
        <v/>
      </c>
      <c r="D182">
        <f>CurrentPositions!D172</f>
        <v/>
      </c>
      <c r="E182">
        <f>CurrentPositions!E172</f>
        <v/>
      </c>
      <c r="F182">
        <f>IF(B182="BUY",$B$5,IF(B182="SELL",$B$6,""))</f>
        <v/>
      </c>
      <c r="G182">
        <f>IF(B182="BUY",(F182-E182)/Settings!$B$3,IF(B182="SELL",(E182-F182)/Settings!$B$3,0))</f>
        <v/>
      </c>
      <c r="H182">
        <f>G182*D182*Settings!$B$4</f>
        <v/>
      </c>
      <c r="I182">
        <f>CurrentPositions!I172</f>
        <v/>
      </c>
      <c r="J182">
        <f>CurrentPositions!J172</f>
        <v/>
      </c>
      <c r="K182">
        <f>IF(AND(B182="BUY",H182&lt;0),H182,"")</f>
        <v/>
      </c>
      <c r="L182">
        <f>IF(K182&lt;&gt;"",A182,"")</f>
        <v/>
      </c>
    </row>
    <row r="183">
      <c r="A183">
        <f>CurrentPositions!A173</f>
        <v/>
      </c>
      <c r="B183">
        <f>CurrentPositions!B173</f>
        <v/>
      </c>
      <c r="C183">
        <f>CurrentPositions!C173</f>
        <v/>
      </c>
      <c r="D183">
        <f>CurrentPositions!D173</f>
        <v/>
      </c>
      <c r="E183">
        <f>CurrentPositions!E173</f>
        <v/>
      </c>
      <c r="F183">
        <f>IF(B183="BUY",$B$5,IF(B183="SELL",$B$6,""))</f>
        <v/>
      </c>
      <c r="G183">
        <f>IF(B183="BUY",(F183-E183)/Settings!$B$3,IF(B183="SELL",(E183-F183)/Settings!$B$3,0))</f>
        <v/>
      </c>
      <c r="H183">
        <f>G183*D183*Settings!$B$4</f>
        <v/>
      </c>
      <c r="I183">
        <f>CurrentPositions!I173</f>
        <v/>
      </c>
      <c r="J183">
        <f>CurrentPositions!J173</f>
        <v/>
      </c>
      <c r="K183">
        <f>IF(AND(B183="BUY",H183&lt;0),H183,"")</f>
        <v/>
      </c>
      <c r="L183">
        <f>IF(K183&lt;&gt;"",A183,"")</f>
        <v/>
      </c>
    </row>
    <row r="184">
      <c r="A184">
        <f>CurrentPositions!A174</f>
        <v/>
      </c>
      <c r="B184">
        <f>CurrentPositions!B174</f>
        <v/>
      </c>
      <c r="C184">
        <f>CurrentPositions!C174</f>
        <v/>
      </c>
      <c r="D184">
        <f>CurrentPositions!D174</f>
        <v/>
      </c>
      <c r="E184">
        <f>CurrentPositions!E174</f>
        <v/>
      </c>
      <c r="F184">
        <f>IF(B184="BUY",$B$5,IF(B184="SELL",$B$6,""))</f>
        <v/>
      </c>
      <c r="G184">
        <f>IF(B184="BUY",(F184-E184)/Settings!$B$3,IF(B184="SELL",(E184-F184)/Settings!$B$3,0))</f>
        <v/>
      </c>
      <c r="H184">
        <f>G184*D184*Settings!$B$4</f>
        <v/>
      </c>
      <c r="I184">
        <f>CurrentPositions!I174</f>
        <v/>
      </c>
      <c r="J184">
        <f>CurrentPositions!J174</f>
        <v/>
      </c>
      <c r="K184">
        <f>IF(AND(B184="BUY",H184&lt;0),H184,"")</f>
        <v/>
      </c>
      <c r="L184">
        <f>IF(K184&lt;&gt;"",A184,"")</f>
        <v/>
      </c>
    </row>
    <row r="185">
      <c r="A185">
        <f>CurrentPositions!A175</f>
        <v/>
      </c>
      <c r="B185">
        <f>CurrentPositions!B175</f>
        <v/>
      </c>
      <c r="C185">
        <f>CurrentPositions!C175</f>
        <v/>
      </c>
      <c r="D185">
        <f>CurrentPositions!D175</f>
        <v/>
      </c>
      <c r="E185">
        <f>CurrentPositions!E175</f>
        <v/>
      </c>
      <c r="F185">
        <f>IF(B185="BUY",$B$5,IF(B185="SELL",$B$6,""))</f>
        <v/>
      </c>
      <c r="G185">
        <f>IF(B185="BUY",(F185-E185)/Settings!$B$3,IF(B185="SELL",(E185-F185)/Settings!$B$3,0))</f>
        <v/>
      </c>
      <c r="H185">
        <f>G185*D185*Settings!$B$4</f>
        <v/>
      </c>
      <c r="I185">
        <f>CurrentPositions!I175</f>
        <v/>
      </c>
      <c r="J185">
        <f>CurrentPositions!J175</f>
        <v/>
      </c>
      <c r="K185">
        <f>IF(AND(B185="BUY",H185&lt;0),H185,"")</f>
        <v/>
      </c>
      <c r="L185">
        <f>IF(K185&lt;&gt;"",A185,"")</f>
        <v/>
      </c>
    </row>
    <row r="186">
      <c r="A186">
        <f>CurrentPositions!A176</f>
        <v/>
      </c>
      <c r="B186">
        <f>CurrentPositions!B176</f>
        <v/>
      </c>
      <c r="C186">
        <f>CurrentPositions!C176</f>
        <v/>
      </c>
      <c r="D186">
        <f>CurrentPositions!D176</f>
        <v/>
      </c>
      <c r="E186">
        <f>CurrentPositions!E176</f>
        <v/>
      </c>
      <c r="F186">
        <f>IF(B186="BUY",$B$5,IF(B186="SELL",$B$6,""))</f>
        <v/>
      </c>
      <c r="G186">
        <f>IF(B186="BUY",(F186-E186)/Settings!$B$3,IF(B186="SELL",(E186-F186)/Settings!$B$3,0))</f>
        <v/>
      </c>
      <c r="H186">
        <f>G186*D186*Settings!$B$4</f>
        <v/>
      </c>
      <c r="I186">
        <f>CurrentPositions!I176</f>
        <v/>
      </c>
      <c r="J186">
        <f>CurrentPositions!J176</f>
        <v/>
      </c>
      <c r="K186">
        <f>IF(AND(B186="BUY",H186&lt;0),H186,"")</f>
        <v/>
      </c>
      <c r="L186">
        <f>IF(K186&lt;&gt;"",A186,"")</f>
        <v/>
      </c>
    </row>
    <row r="187">
      <c r="A187">
        <f>CurrentPositions!A177</f>
        <v/>
      </c>
      <c r="B187">
        <f>CurrentPositions!B177</f>
        <v/>
      </c>
      <c r="C187">
        <f>CurrentPositions!C177</f>
        <v/>
      </c>
      <c r="D187">
        <f>CurrentPositions!D177</f>
        <v/>
      </c>
      <c r="E187">
        <f>CurrentPositions!E177</f>
        <v/>
      </c>
      <c r="F187">
        <f>IF(B187="BUY",$B$5,IF(B187="SELL",$B$6,""))</f>
        <v/>
      </c>
      <c r="G187">
        <f>IF(B187="BUY",(F187-E187)/Settings!$B$3,IF(B187="SELL",(E187-F187)/Settings!$B$3,0))</f>
        <v/>
      </c>
      <c r="H187">
        <f>G187*D187*Settings!$B$4</f>
        <v/>
      </c>
      <c r="I187">
        <f>CurrentPositions!I177</f>
        <v/>
      </c>
      <c r="J187">
        <f>CurrentPositions!J177</f>
        <v/>
      </c>
      <c r="K187">
        <f>IF(AND(B187="BUY",H187&lt;0),H187,"")</f>
        <v/>
      </c>
      <c r="L187">
        <f>IF(K187&lt;&gt;"",A187,"")</f>
        <v/>
      </c>
    </row>
    <row r="188">
      <c r="A188">
        <f>CurrentPositions!A178</f>
        <v/>
      </c>
      <c r="B188">
        <f>CurrentPositions!B178</f>
        <v/>
      </c>
      <c r="C188">
        <f>CurrentPositions!C178</f>
        <v/>
      </c>
      <c r="D188">
        <f>CurrentPositions!D178</f>
        <v/>
      </c>
      <c r="E188">
        <f>CurrentPositions!E178</f>
        <v/>
      </c>
      <c r="F188">
        <f>IF(B188="BUY",$B$5,IF(B188="SELL",$B$6,""))</f>
        <v/>
      </c>
      <c r="G188">
        <f>IF(B188="BUY",(F188-E188)/Settings!$B$3,IF(B188="SELL",(E188-F188)/Settings!$B$3,0))</f>
        <v/>
      </c>
      <c r="H188">
        <f>G188*D188*Settings!$B$4</f>
        <v/>
      </c>
      <c r="I188">
        <f>CurrentPositions!I178</f>
        <v/>
      </c>
      <c r="J188">
        <f>CurrentPositions!J178</f>
        <v/>
      </c>
      <c r="K188">
        <f>IF(AND(B188="BUY",H188&lt;0),H188,"")</f>
        <v/>
      </c>
      <c r="L188">
        <f>IF(K188&lt;&gt;"",A188,"")</f>
        <v/>
      </c>
    </row>
    <row r="189">
      <c r="A189">
        <f>CurrentPositions!A179</f>
        <v/>
      </c>
      <c r="B189">
        <f>CurrentPositions!B179</f>
        <v/>
      </c>
      <c r="C189">
        <f>CurrentPositions!C179</f>
        <v/>
      </c>
      <c r="D189">
        <f>CurrentPositions!D179</f>
        <v/>
      </c>
      <c r="E189">
        <f>CurrentPositions!E179</f>
        <v/>
      </c>
      <c r="F189">
        <f>IF(B189="BUY",$B$5,IF(B189="SELL",$B$6,""))</f>
        <v/>
      </c>
      <c r="G189">
        <f>IF(B189="BUY",(F189-E189)/Settings!$B$3,IF(B189="SELL",(E189-F189)/Settings!$B$3,0))</f>
        <v/>
      </c>
      <c r="H189">
        <f>G189*D189*Settings!$B$4</f>
        <v/>
      </c>
      <c r="I189">
        <f>CurrentPositions!I179</f>
        <v/>
      </c>
      <c r="J189">
        <f>CurrentPositions!J179</f>
        <v/>
      </c>
      <c r="K189">
        <f>IF(AND(B189="BUY",H189&lt;0),H189,"")</f>
        <v/>
      </c>
      <c r="L189">
        <f>IF(K189&lt;&gt;"",A189,"")</f>
        <v/>
      </c>
    </row>
    <row r="190">
      <c r="A190">
        <f>CurrentPositions!A180</f>
        <v/>
      </c>
      <c r="B190">
        <f>CurrentPositions!B180</f>
        <v/>
      </c>
      <c r="C190">
        <f>CurrentPositions!C180</f>
        <v/>
      </c>
      <c r="D190">
        <f>CurrentPositions!D180</f>
        <v/>
      </c>
      <c r="E190">
        <f>CurrentPositions!E180</f>
        <v/>
      </c>
      <c r="F190">
        <f>IF(B190="BUY",$B$5,IF(B190="SELL",$B$6,""))</f>
        <v/>
      </c>
      <c r="G190">
        <f>IF(B190="BUY",(F190-E190)/Settings!$B$3,IF(B190="SELL",(E190-F190)/Settings!$B$3,0))</f>
        <v/>
      </c>
      <c r="H190">
        <f>G190*D190*Settings!$B$4</f>
        <v/>
      </c>
      <c r="I190">
        <f>CurrentPositions!I180</f>
        <v/>
      </c>
      <c r="J190">
        <f>CurrentPositions!J180</f>
        <v/>
      </c>
      <c r="K190">
        <f>IF(AND(B190="BUY",H190&lt;0),H190,"")</f>
        <v/>
      </c>
      <c r="L190">
        <f>IF(K190&lt;&gt;"",A190,"")</f>
        <v/>
      </c>
    </row>
    <row r="191">
      <c r="A191">
        <f>CurrentPositions!A181</f>
        <v/>
      </c>
      <c r="B191">
        <f>CurrentPositions!B181</f>
        <v/>
      </c>
      <c r="C191">
        <f>CurrentPositions!C181</f>
        <v/>
      </c>
      <c r="D191">
        <f>CurrentPositions!D181</f>
        <v/>
      </c>
      <c r="E191">
        <f>CurrentPositions!E181</f>
        <v/>
      </c>
      <c r="F191">
        <f>IF(B191="BUY",$B$5,IF(B191="SELL",$B$6,""))</f>
        <v/>
      </c>
      <c r="G191">
        <f>IF(B191="BUY",(F191-E191)/Settings!$B$3,IF(B191="SELL",(E191-F191)/Settings!$B$3,0))</f>
        <v/>
      </c>
      <c r="H191">
        <f>G191*D191*Settings!$B$4</f>
        <v/>
      </c>
      <c r="I191">
        <f>CurrentPositions!I181</f>
        <v/>
      </c>
      <c r="J191">
        <f>CurrentPositions!J181</f>
        <v/>
      </c>
      <c r="K191">
        <f>IF(AND(B191="BUY",H191&lt;0),H191,"")</f>
        <v/>
      </c>
      <c r="L191">
        <f>IF(K191&lt;&gt;"",A191,"")</f>
        <v/>
      </c>
    </row>
    <row r="192">
      <c r="A192">
        <f>CurrentPositions!A182</f>
        <v/>
      </c>
      <c r="B192">
        <f>CurrentPositions!B182</f>
        <v/>
      </c>
      <c r="C192">
        <f>CurrentPositions!C182</f>
        <v/>
      </c>
      <c r="D192">
        <f>CurrentPositions!D182</f>
        <v/>
      </c>
      <c r="E192">
        <f>CurrentPositions!E182</f>
        <v/>
      </c>
      <c r="F192">
        <f>IF(B192="BUY",$B$5,IF(B192="SELL",$B$6,""))</f>
        <v/>
      </c>
      <c r="G192">
        <f>IF(B192="BUY",(F192-E192)/Settings!$B$3,IF(B192="SELL",(E192-F192)/Settings!$B$3,0))</f>
        <v/>
      </c>
      <c r="H192">
        <f>G192*D192*Settings!$B$4</f>
        <v/>
      </c>
      <c r="I192">
        <f>CurrentPositions!I182</f>
        <v/>
      </c>
      <c r="J192">
        <f>CurrentPositions!J182</f>
        <v/>
      </c>
      <c r="K192">
        <f>IF(AND(B192="BUY",H192&lt;0),H192,"")</f>
        <v/>
      </c>
      <c r="L192">
        <f>IF(K192&lt;&gt;"",A192,"")</f>
        <v/>
      </c>
    </row>
    <row r="193">
      <c r="A193">
        <f>CurrentPositions!A183</f>
        <v/>
      </c>
      <c r="B193">
        <f>CurrentPositions!B183</f>
        <v/>
      </c>
      <c r="C193">
        <f>CurrentPositions!C183</f>
        <v/>
      </c>
      <c r="D193">
        <f>CurrentPositions!D183</f>
        <v/>
      </c>
      <c r="E193">
        <f>CurrentPositions!E183</f>
        <v/>
      </c>
      <c r="F193">
        <f>IF(B193="BUY",$B$5,IF(B193="SELL",$B$6,""))</f>
        <v/>
      </c>
      <c r="G193">
        <f>IF(B193="BUY",(F193-E193)/Settings!$B$3,IF(B193="SELL",(E193-F193)/Settings!$B$3,0))</f>
        <v/>
      </c>
      <c r="H193">
        <f>G193*D193*Settings!$B$4</f>
        <v/>
      </c>
      <c r="I193">
        <f>CurrentPositions!I183</f>
        <v/>
      </c>
      <c r="J193">
        <f>CurrentPositions!J183</f>
        <v/>
      </c>
      <c r="K193">
        <f>IF(AND(B193="BUY",H193&lt;0),H193,"")</f>
        <v/>
      </c>
      <c r="L193">
        <f>IF(K193&lt;&gt;"",A193,"")</f>
        <v/>
      </c>
    </row>
    <row r="194">
      <c r="A194">
        <f>CurrentPositions!A184</f>
        <v/>
      </c>
      <c r="B194">
        <f>CurrentPositions!B184</f>
        <v/>
      </c>
      <c r="C194">
        <f>CurrentPositions!C184</f>
        <v/>
      </c>
      <c r="D194">
        <f>CurrentPositions!D184</f>
        <v/>
      </c>
      <c r="E194">
        <f>CurrentPositions!E184</f>
        <v/>
      </c>
      <c r="F194">
        <f>IF(B194="BUY",$B$5,IF(B194="SELL",$B$6,""))</f>
        <v/>
      </c>
      <c r="G194">
        <f>IF(B194="BUY",(F194-E194)/Settings!$B$3,IF(B194="SELL",(E194-F194)/Settings!$B$3,0))</f>
        <v/>
      </c>
      <c r="H194">
        <f>G194*D194*Settings!$B$4</f>
        <v/>
      </c>
      <c r="I194">
        <f>CurrentPositions!I184</f>
        <v/>
      </c>
      <c r="J194">
        <f>CurrentPositions!J184</f>
        <v/>
      </c>
      <c r="K194">
        <f>IF(AND(B194="BUY",H194&lt;0),H194,"")</f>
        <v/>
      </c>
      <c r="L194">
        <f>IF(K194&lt;&gt;"",A194,"")</f>
        <v/>
      </c>
    </row>
    <row r="195">
      <c r="A195">
        <f>CurrentPositions!A185</f>
        <v/>
      </c>
      <c r="B195">
        <f>CurrentPositions!B185</f>
        <v/>
      </c>
      <c r="C195">
        <f>CurrentPositions!C185</f>
        <v/>
      </c>
      <c r="D195">
        <f>CurrentPositions!D185</f>
        <v/>
      </c>
      <c r="E195">
        <f>CurrentPositions!E185</f>
        <v/>
      </c>
      <c r="F195">
        <f>IF(B195="BUY",$B$5,IF(B195="SELL",$B$6,""))</f>
        <v/>
      </c>
      <c r="G195">
        <f>IF(B195="BUY",(F195-E195)/Settings!$B$3,IF(B195="SELL",(E195-F195)/Settings!$B$3,0))</f>
        <v/>
      </c>
      <c r="H195">
        <f>G195*D195*Settings!$B$4</f>
        <v/>
      </c>
      <c r="I195">
        <f>CurrentPositions!I185</f>
        <v/>
      </c>
      <c r="J195">
        <f>CurrentPositions!J185</f>
        <v/>
      </c>
      <c r="K195">
        <f>IF(AND(B195="BUY",H195&lt;0),H195,"")</f>
        <v/>
      </c>
      <c r="L195">
        <f>IF(K195&lt;&gt;"",A195,"")</f>
        <v/>
      </c>
    </row>
    <row r="196">
      <c r="A196">
        <f>CurrentPositions!A186</f>
        <v/>
      </c>
      <c r="B196">
        <f>CurrentPositions!B186</f>
        <v/>
      </c>
      <c r="C196">
        <f>CurrentPositions!C186</f>
        <v/>
      </c>
      <c r="D196">
        <f>CurrentPositions!D186</f>
        <v/>
      </c>
      <c r="E196">
        <f>CurrentPositions!E186</f>
        <v/>
      </c>
      <c r="F196">
        <f>IF(B196="BUY",$B$5,IF(B196="SELL",$B$6,""))</f>
        <v/>
      </c>
      <c r="G196">
        <f>IF(B196="BUY",(F196-E196)/Settings!$B$3,IF(B196="SELL",(E196-F196)/Settings!$B$3,0))</f>
        <v/>
      </c>
      <c r="H196">
        <f>G196*D196*Settings!$B$4</f>
        <v/>
      </c>
      <c r="I196">
        <f>CurrentPositions!I186</f>
        <v/>
      </c>
      <c r="J196">
        <f>CurrentPositions!J186</f>
        <v/>
      </c>
      <c r="K196">
        <f>IF(AND(B196="BUY",H196&lt;0),H196,"")</f>
        <v/>
      </c>
      <c r="L196">
        <f>IF(K196&lt;&gt;"",A196,"")</f>
        <v/>
      </c>
    </row>
    <row r="197">
      <c r="A197">
        <f>CurrentPositions!A187</f>
        <v/>
      </c>
      <c r="B197">
        <f>CurrentPositions!B187</f>
        <v/>
      </c>
      <c r="C197">
        <f>CurrentPositions!C187</f>
        <v/>
      </c>
      <c r="D197">
        <f>CurrentPositions!D187</f>
        <v/>
      </c>
      <c r="E197">
        <f>CurrentPositions!E187</f>
        <v/>
      </c>
      <c r="F197">
        <f>IF(B197="BUY",$B$5,IF(B197="SELL",$B$6,""))</f>
        <v/>
      </c>
      <c r="G197">
        <f>IF(B197="BUY",(F197-E197)/Settings!$B$3,IF(B197="SELL",(E197-F197)/Settings!$B$3,0))</f>
        <v/>
      </c>
      <c r="H197">
        <f>G197*D197*Settings!$B$4</f>
        <v/>
      </c>
      <c r="I197">
        <f>CurrentPositions!I187</f>
        <v/>
      </c>
      <c r="J197">
        <f>CurrentPositions!J187</f>
        <v/>
      </c>
      <c r="K197">
        <f>IF(AND(B197="BUY",H197&lt;0),H197,"")</f>
        <v/>
      </c>
      <c r="L197">
        <f>IF(K197&lt;&gt;"",A197,"")</f>
        <v/>
      </c>
    </row>
    <row r="198">
      <c r="A198">
        <f>CurrentPositions!A188</f>
        <v/>
      </c>
      <c r="B198">
        <f>CurrentPositions!B188</f>
        <v/>
      </c>
      <c r="C198">
        <f>CurrentPositions!C188</f>
        <v/>
      </c>
      <c r="D198">
        <f>CurrentPositions!D188</f>
        <v/>
      </c>
      <c r="E198">
        <f>CurrentPositions!E188</f>
        <v/>
      </c>
      <c r="F198">
        <f>IF(B198="BUY",$B$5,IF(B198="SELL",$B$6,""))</f>
        <v/>
      </c>
      <c r="G198">
        <f>IF(B198="BUY",(F198-E198)/Settings!$B$3,IF(B198="SELL",(E198-F198)/Settings!$B$3,0))</f>
        <v/>
      </c>
      <c r="H198">
        <f>G198*D198*Settings!$B$4</f>
        <v/>
      </c>
      <c r="I198">
        <f>CurrentPositions!I188</f>
        <v/>
      </c>
      <c r="J198">
        <f>CurrentPositions!J188</f>
        <v/>
      </c>
      <c r="K198">
        <f>IF(AND(B198="BUY",H198&lt;0),H198,"")</f>
        <v/>
      </c>
      <c r="L198">
        <f>IF(K198&lt;&gt;"",A198,"")</f>
        <v/>
      </c>
    </row>
    <row r="199">
      <c r="A199">
        <f>CurrentPositions!A189</f>
        <v/>
      </c>
      <c r="B199">
        <f>CurrentPositions!B189</f>
        <v/>
      </c>
      <c r="C199">
        <f>CurrentPositions!C189</f>
        <v/>
      </c>
      <c r="D199">
        <f>CurrentPositions!D189</f>
        <v/>
      </c>
      <c r="E199">
        <f>CurrentPositions!E189</f>
        <v/>
      </c>
      <c r="F199">
        <f>IF(B199="BUY",$B$5,IF(B199="SELL",$B$6,""))</f>
        <v/>
      </c>
      <c r="G199">
        <f>IF(B199="BUY",(F199-E199)/Settings!$B$3,IF(B199="SELL",(E199-F199)/Settings!$B$3,0))</f>
        <v/>
      </c>
      <c r="H199">
        <f>G199*D199*Settings!$B$4</f>
        <v/>
      </c>
      <c r="I199">
        <f>CurrentPositions!I189</f>
        <v/>
      </c>
      <c r="J199">
        <f>CurrentPositions!J189</f>
        <v/>
      </c>
      <c r="K199">
        <f>IF(AND(B199="BUY",H199&lt;0),H199,"")</f>
        <v/>
      </c>
      <c r="L199">
        <f>IF(K199&lt;&gt;"",A199,"")</f>
        <v/>
      </c>
    </row>
    <row r="200">
      <c r="A200">
        <f>CurrentPositions!A190</f>
        <v/>
      </c>
      <c r="B200">
        <f>CurrentPositions!B190</f>
        <v/>
      </c>
      <c r="C200">
        <f>CurrentPositions!C190</f>
        <v/>
      </c>
      <c r="D200">
        <f>CurrentPositions!D190</f>
        <v/>
      </c>
      <c r="E200">
        <f>CurrentPositions!E190</f>
        <v/>
      </c>
      <c r="F200">
        <f>IF(B200="BUY",$B$5,IF(B200="SELL",$B$6,""))</f>
        <v/>
      </c>
      <c r="G200">
        <f>IF(B200="BUY",(F200-E200)/Settings!$B$3,IF(B200="SELL",(E200-F200)/Settings!$B$3,0))</f>
        <v/>
      </c>
      <c r="H200">
        <f>G200*D200*Settings!$B$4</f>
        <v/>
      </c>
      <c r="I200">
        <f>CurrentPositions!I190</f>
        <v/>
      </c>
      <c r="J200">
        <f>CurrentPositions!J190</f>
        <v/>
      </c>
      <c r="K200">
        <f>IF(AND(B200="BUY",H200&lt;0),H200,"")</f>
        <v/>
      </c>
      <c r="L200">
        <f>IF(K200&lt;&gt;"",A200,"")</f>
        <v/>
      </c>
    </row>
    <row r="201">
      <c r="A201">
        <f>CurrentPositions!A191</f>
        <v/>
      </c>
      <c r="B201">
        <f>CurrentPositions!B191</f>
        <v/>
      </c>
      <c r="C201">
        <f>CurrentPositions!C191</f>
        <v/>
      </c>
      <c r="D201">
        <f>CurrentPositions!D191</f>
        <v/>
      </c>
      <c r="E201">
        <f>CurrentPositions!E191</f>
        <v/>
      </c>
      <c r="F201">
        <f>IF(B201="BUY",$B$5,IF(B201="SELL",$B$6,""))</f>
        <v/>
      </c>
      <c r="G201">
        <f>IF(B201="BUY",(F201-E201)/Settings!$B$3,IF(B201="SELL",(E201-F201)/Settings!$B$3,0))</f>
        <v/>
      </c>
      <c r="H201">
        <f>G201*D201*Settings!$B$4</f>
        <v/>
      </c>
      <c r="I201">
        <f>CurrentPositions!I191</f>
        <v/>
      </c>
      <c r="J201">
        <f>CurrentPositions!J191</f>
        <v/>
      </c>
      <c r="K201">
        <f>IF(AND(B201="BUY",H201&lt;0),H201,"")</f>
        <v/>
      </c>
      <c r="L201">
        <f>IF(K201&lt;&gt;"",A201,"")</f>
        <v/>
      </c>
    </row>
    <row r="202">
      <c r="A202">
        <f>CurrentPositions!A192</f>
        <v/>
      </c>
      <c r="B202">
        <f>CurrentPositions!B192</f>
        <v/>
      </c>
      <c r="C202">
        <f>CurrentPositions!C192</f>
        <v/>
      </c>
      <c r="D202">
        <f>CurrentPositions!D192</f>
        <v/>
      </c>
      <c r="E202">
        <f>CurrentPositions!E192</f>
        <v/>
      </c>
      <c r="F202">
        <f>IF(B202="BUY",$B$5,IF(B202="SELL",$B$6,""))</f>
        <v/>
      </c>
      <c r="G202">
        <f>IF(B202="BUY",(F202-E202)/Settings!$B$3,IF(B202="SELL",(E202-F202)/Settings!$B$3,0))</f>
        <v/>
      </c>
      <c r="H202">
        <f>G202*D202*Settings!$B$4</f>
        <v/>
      </c>
      <c r="I202">
        <f>CurrentPositions!I192</f>
        <v/>
      </c>
      <c r="J202">
        <f>CurrentPositions!J192</f>
        <v/>
      </c>
      <c r="K202">
        <f>IF(AND(B202="BUY",H202&lt;0),H202,"")</f>
        <v/>
      </c>
      <c r="L202">
        <f>IF(K202&lt;&gt;"",A202,"")</f>
        <v/>
      </c>
    </row>
    <row r="203">
      <c r="A203">
        <f>CurrentPositions!A193</f>
        <v/>
      </c>
      <c r="B203">
        <f>CurrentPositions!B193</f>
        <v/>
      </c>
      <c r="C203">
        <f>CurrentPositions!C193</f>
        <v/>
      </c>
      <c r="D203">
        <f>CurrentPositions!D193</f>
        <v/>
      </c>
      <c r="E203">
        <f>CurrentPositions!E193</f>
        <v/>
      </c>
      <c r="F203">
        <f>IF(B203="BUY",$B$5,IF(B203="SELL",$B$6,""))</f>
        <v/>
      </c>
      <c r="G203">
        <f>IF(B203="BUY",(F203-E203)/Settings!$B$3,IF(B203="SELL",(E203-F203)/Settings!$B$3,0))</f>
        <v/>
      </c>
      <c r="H203">
        <f>G203*D203*Settings!$B$4</f>
        <v/>
      </c>
      <c r="I203">
        <f>CurrentPositions!I193</f>
        <v/>
      </c>
      <c r="J203">
        <f>CurrentPositions!J193</f>
        <v/>
      </c>
      <c r="K203">
        <f>IF(AND(B203="BUY",H203&lt;0),H203,"")</f>
        <v/>
      </c>
      <c r="L203">
        <f>IF(K203&lt;&gt;"",A203,"")</f>
        <v/>
      </c>
    </row>
    <row r="204">
      <c r="A204">
        <f>CurrentPositions!A194</f>
        <v/>
      </c>
      <c r="B204">
        <f>CurrentPositions!B194</f>
        <v/>
      </c>
      <c r="C204">
        <f>CurrentPositions!C194</f>
        <v/>
      </c>
      <c r="D204">
        <f>CurrentPositions!D194</f>
        <v/>
      </c>
      <c r="E204">
        <f>CurrentPositions!E194</f>
        <v/>
      </c>
      <c r="F204">
        <f>IF(B204="BUY",$B$5,IF(B204="SELL",$B$6,""))</f>
        <v/>
      </c>
      <c r="G204">
        <f>IF(B204="BUY",(F204-E204)/Settings!$B$3,IF(B204="SELL",(E204-F204)/Settings!$B$3,0))</f>
        <v/>
      </c>
      <c r="H204">
        <f>G204*D204*Settings!$B$4</f>
        <v/>
      </c>
      <c r="I204">
        <f>CurrentPositions!I194</f>
        <v/>
      </c>
      <c r="J204">
        <f>CurrentPositions!J194</f>
        <v/>
      </c>
      <c r="K204">
        <f>IF(AND(B204="BUY",H204&lt;0),H204,"")</f>
        <v/>
      </c>
      <c r="L204">
        <f>IF(K204&lt;&gt;"",A204,"")</f>
        <v/>
      </c>
    </row>
    <row r="205">
      <c r="A205">
        <f>CurrentPositions!A195</f>
        <v/>
      </c>
      <c r="B205">
        <f>CurrentPositions!B195</f>
        <v/>
      </c>
      <c r="C205">
        <f>CurrentPositions!C195</f>
        <v/>
      </c>
      <c r="D205">
        <f>CurrentPositions!D195</f>
        <v/>
      </c>
      <c r="E205">
        <f>CurrentPositions!E195</f>
        <v/>
      </c>
      <c r="F205">
        <f>IF(B205="BUY",$B$5,IF(B205="SELL",$B$6,""))</f>
        <v/>
      </c>
      <c r="G205">
        <f>IF(B205="BUY",(F205-E205)/Settings!$B$3,IF(B205="SELL",(E205-F205)/Settings!$B$3,0))</f>
        <v/>
      </c>
      <c r="H205">
        <f>G205*D205*Settings!$B$4</f>
        <v/>
      </c>
      <c r="I205">
        <f>CurrentPositions!I195</f>
        <v/>
      </c>
      <c r="J205">
        <f>CurrentPositions!J195</f>
        <v/>
      </c>
      <c r="K205">
        <f>IF(AND(B205="BUY",H205&lt;0),H205,"")</f>
        <v/>
      </c>
      <c r="L205">
        <f>IF(K205&lt;&gt;"",A205,"")</f>
        <v/>
      </c>
    </row>
    <row r="206">
      <c r="A206">
        <f>CurrentPositions!A196</f>
        <v/>
      </c>
      <c r="B206">
        <f>CurrentPositions!B196</f>
        <v/>
      </c>
      <c r="C206">
        <f>CurrentPositions!C196</f>
        <v/>
      </c>
      <c r="D206">
        <f>CurrentPositions!D196</f>
        <v/>
      </c>
      <c r="E206">
        <f>CurrentPositions!E196</f>
        <v/>
      </c>
      <c r="F206">
        <f>IF(B206="BUY",$B$5,IF(B206="SELL",$B$6,""))</f>
        <v/>
      </c>
      <c r="G206">
        <f>IF(B206="BUY",(F206-E206)/Settings!$B$3,IF(B206="SELL",(E206-F206)/Settings!$B$3,0))</f>
        <v/>
      </c>
      <c r="H206">
        <f>G206*D206*Settings!$B$4</f>
        <v/>
      </c>
      <c r="I206">
        <f>CurrentPositions!I196</f>
        <v/>
      </c>
      <c r="J206">
        <f>CurrentPositions!J196</f>
        <v/>
      </c>
      <c r="K206">
        <f>IF(AND(B206="BUY",H206&lt;0),H206,"")</f>
        <v/>
      </c>
      <c r="L206">
        <f>IF(K206&lt;&gt;"",A206,"")</f>
        <v/>
      </c>
    </row>
    <row r="207">
      <c r="A207">
        <f>CurrentPositions!A197</f>
        <v/>
      </c>
      <c r="B207">
        <f>CurrentPositions!B197</f>
        <v/>
      </c>
      <c r="C207">
        <f>CurrentPositions!C197</f>
        <v/>
      </c>
      <c r="D207">
        <f>CurrentPositions!D197</f>
        <v/>
      </c>
      <c r="E207">
        <f>CurrentPositions!E197</f>
        <v/>
      </c>
      <c r="F207">
        <f>IF(B207="BUY",$B$5,IF(B207="SELL",$B$6,""))</f>
        <v/>
      </c>
      <c r="G207">
        <f>IF(B207="BUY",(F207-E207)/Settings!$B$3,IF(B207="SELL",(E207-F207)/Settings!$B$3,0))</f>
        <v/>
      </c>
      <c r="H207">
        <f>G207*D207*Settings!$B$4</f>
        <v/>
      </c>
      <c r="I207">
        <f>CurrentPositions!I197</f>
        <v/>
      </c>
      <c r="J207">
        <f>CurrentPositions!J197</f>
        <v/>
      </c>
      <c r="K207">
        <f>IF(AND(B207="BUY",H207&lt;0),H207,"")</f>
        <v/>
      </c>
      <c r="L207">
        <f>IF(K207&lt;&gt;"",A207,"")</f>
        <v/>
      </c>
    </row>
    <row r="208">
      <c r="A208">
        <f>CurrentPositions!A198</f>
        <v/>
      </c>
      <c r="B208">
        <f>CurrentPositions!B198</f>
        <v/>
      </c>
      <c r="C208">
        <f>CurrentPositions!C198</f>
        <v/>
      </c>
      <c r="D208">
        <f>CurrentPositions!D198</f>
        <v/>
      </c>
      <c r="E208">
        <f>CurrentPositions!E198</f>
        <v/>
      </c>
      <c r="F208">
        <f>IF(B208="BUY",$B$5,IF(B208="SELL",$B$6,""))</f>
        <v/>
      </c>
      <c r="G208">
        <f>IF(B208="BUY",(F208-E208)/Settings!$B$3,IF(B208="SELL",(E208-F208)/Settings!$B$3,0))</f>
        <v/>
      </c>
      <c r="H208">
        <f>G208*D208*Settings!$B$4</f>
        <v/>
      </c>
      <c r="I208">
        <f>CurrentPositions!I198</f>
        <v/>
      </c>
      <c r="J208">
        <f>CurrentPositions!J198</f>
        <v/>
      </c>
      <c r="K208">
        <f>IF(AND(B208="BUY",H208&lt;0),H208,"")</f>
        <v/>
      </c>
      <c r="L208">
        <f>IF(K208&lt;&gt;"",A208,"")</f>
        <v/>
      </c>
    </row>
    <row r="209">
      <c r="A209">
        <f>CurrentPositions!A199</f>
        <v/>
      </c>
      <c r="B209">
        <f>CurrentPositions!B199</f>
        <v/>
      </c>
      <c r="C209">
        <f>CurrentPositions!C199</f>
        <v/>
      </c>
      <c r="D209">
        <f>CurrentPositions!D199</f>
        <v/>
      </c>
      <c r="E209">
        <f>CurrentPositions!E199</f>
        <v/>
      </c>
      <c r="F209">
        <f>IF(B209="BUY",$B$5,IF(B209="SELL",$B$6,""))</f>
        <v/>
      </c>
      <c r="G209">
        <f>IF(B209="BUY",(F209-E209)/Settings!$B$3,IF(B209="SELL",(E209-F209)/Settings!$B$3,0))</f>
        <v/>
      </c>
      <c r="H209">
        <f>G209*D209*Settings!$B$4</f>
        <v/>
      </c>
      <c r="I209">
        <f>CurrentPositions!I199</f>
        <v/>
      </c>
      <c r="J209">
        <f>CurrentPositions!J199</f>
        <v/>
      </c>
      <c r="K209">
        <f>IF(AND(B209="BUY",H209&lt;0),H209,"")</f>
        <v/>
      </c>
      <c r="L209">
        <f>IF(K209&lt;&gt;"",A209,"")</f>
        <v/>
      </c>
    </row>
    <row r="210">
      <c r="A210">
        <f>CurrentPositions!A200</f>
        <v/>
      </c>
      <c r="B210">
        <f>CurrentPositions!B200</f>
        <v/>
      </c>
      <c r="C210">
        <f>CurrentPositions!C200</f>
        <v/>
      </c>
      <c r="D210">
        <f>CurrentPositions!D200</f>
        <v/>
      </c>
      <c r="E210">
        <f>CurrentPositions!E200</f>
        <v/>
      </c>
      <c r="F210">
        <f>IF(B210="BUY",$B$5,IF(B210="SELL",$B$6,""))</f>
        <v/>
      </c>
      <c r="G210">
        <f>IF(B210="BUY",(F210-E210)/Settings!$B$3,IF(B210="SELL",(E210-F210)/Settings!$B$3,0))</f>
        <v/>
      </c>
      <c r="H210">
        <f>G210*D210*Settings!$B$4</f>
        <v/>
      </c>
      <c r="I210">
        <f>CurrentPositions!I200</f>
        <v/>
      </c>
      <c r="J210">
        <f>CurrentPositions!J200</f>
        <v/>
      </c>
      <c r="K210">
        <f>IF(AND(B210="BUY",H210&lt;0),H210,"")</f>
        <v/>
      </c>
      <c r="L210">
        <f>IF(K210&lt;&gt;"",A210,"")</f>
        <v/>
      </c>
    </row>
    <row r="211">
      <c r="A211">
        <f>CurrentPositions!A201</f>
        <v/>
      </c>
      <c r="B211">
        <f>CurrentPositions!B201</f>
        <v/>
      </c>
      <c r="C211">
        <f>CurrentPositions!C201</f>
        <v/>
      </c>
      <c r="D211">
        <f>CurrentPositions!D201</f>
        <v/>
      </c>
      <c r="E211">
        <f>CurrentPositions!E201</f>
        <v/>
      </c>
      <c r="F211">
        <f>IF(B211="BUY",$B$5,IF(B211="SELL",$B$6,""))</f>
        <v/>
      </c>
      <c r="G211">
        <f>IF(B211="BUY",(F211-E211)/Settings!$B$3,IF(B211="SELL",(E211-F211)/Settings!$B$3,0))</f>
        <v/>
      </c>
      <c r="H211">
        <f>G211*D211*Settings!$B$4</f>
        <v/>
      </c>
      <c r="I211">
        <f>CurrentPositions!I201</f>
        <v/>
      </c>
      <c r="J211">
        <f>CurrentPositions!J201</f>
        <v/>
      </c>
      <c r="K211">
        <f>IF(AND(B211="BUY",H211&lt;0),H211,"")</f>
        <v/>
      </c>
      <c r="L211">
        <f>IF(K211&lt;&gt;"",A211,"")</f>
        <v/>
      </c>
    </row>
    <row r="220">
      <c r="A220" t="inlineStr">
        <is>
          <t>TailType</t>
        </is>
      </c>
      <c r="B220" t="inlineStr">
        <is>
          <t>BUY</t>
        </is>
      </c>
    </row>
    <row r="221">
      <c r="A221" t="inlineStr">
        <is>
          <t>TailWorstPnL</t>
        </is>
      </c>
      <c r="B221">
        <f>IF(COUNT(K12:K211)=0,0,MIN(K12:K211))</f>
        <v/>
      </c>
    </row>
    <row r="222">
      <c r="A222" t="inlineStr">
        <is>
          <t>TailTicket</t>
        </is>
      </c>
      <c r="B222">
        <f>IF(B221=0,"N/A",MIN(L12:L211))</f>
        <v/>
      </c>
    </row>
    <row r="223">
      <c r="A223" t="inlineStr">
        <is>
          <t>TailLot</t>
        </is>
      </c>
      <c r="B223">
        <f>IF(B222="N/A",0,INDEX(D12:D211,MATCH(B222,A12:A211,0)))</f>
        <v/>
      </c>
    </row>
    <row r="224">
      <c r="A224" t="inlineStr">
        <is>
          <t>TailLossMoney</t>
        </is>
      </c>
      <c r="B224">
        <f>IF(B222="N/A",0,ABS(INDEX(H12:H211,MATCH(B222,A12:A211,0))))</f>
        <v/>
      </c>
    </row>
    <row r="225">
      <c r="A225" t="inlineStr">
        <is>
          <t>TailLossPerLot</t>
        </is>
      </c>
      <c r="B225">
        <f>IF(B223=0,0,ABS(B224/B223))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Scenario_UP!B220</f>
        <v/>
      </c>
    </row>
    <row r="3">
      <c r="A3" t="inlineStr">
        <is>
          <t>TailLot</t>
        </is>
      </c>
      <c r="B3">
        <f>Scenario_UP!B223</f>
        <v/>
      </c>
    </row>
    <row r="4">
      <c r="A4" t="inlineStr">
        <is>
          <t>NextLevel</t>
        </is>
      </c>
      <c r="B4" t="n">
        <v>1</v>
      </c>
    </row>
    <row r="5">
      <c r="A5" t="inlineStr">
        <is>
          <t>BigRatio</t>
        </is>
      </c>
      <c r="B5">
        <f>INDEX(Settings!B21:B24,MATCH(B4,Settings!A21:A24,0))</f>
        <v/>
      </c>
    </row>
    <row r="6">
      <c r="A6" t="inlineStr">
        <is>
          <t>SmallRatio</t>
        </is>
      </c>
      <c r="B6">
        <f>INDEX(Settings!C21:C24,MATCH(B4,Settings!A21:A24,0))</f>
        <v/>
      </c>
    </row>
    <row r="7">
      <c r="A7" t="inlineStr">
        <is>
          <t>BigLot</t>
        </is>
      </c>
      <c r="B7">
        <f>IF(B3&lt;=0,0,FLOOR(B3*B5,Settings!$B$7))</f>
        <v/>
      </c>
    </row>
    <row r="8">
      <c r="A8" t="inlineStr">
        <is>
          <t>SmallLot</t>
        </is>
      </c>
      <c r="B8">
        <f>IF(B3&lt;=0,0,FLOOR(B3*B6,Settings!$B$7))</f>
        <v/>
      </c>
    </row>
    <row r="9">
      <c r="A9" t="inlineStr">
        <is>
          <t>ActiveSections</t>
        </is>
      </c>
      <c r="B9">
        <f>COUNTIFS(CurrentPositions!C2:C500,"SECTION_BIG")</f>
        <v/>
      </c>
    </row>
    <row r="10">
      <c r="A10" t="inlineStr">
        <is>
          <t>TotalLotAfterOpen</t>
        </is>
      </c>
      <c r="B10">
        <f>SUM(CurrentPositions!D2:D500)+B7+B8</f>
        <v/>
      </c>
    </row>
    <row r="11">
      <c r="A11" t="inlineStr">
        <is>
          <t>NetLotAfterOpen</t>
        </is>
      </c>
      <c r="B11">
        <f>ABS(SUMIFS(CurrentPositions!D2:D500,CurrentPositions!B2:B500,"BUY")+IF(B2="BUY",B7,0)+IF(B2="SELL",B8,0)-SUMIFS(CurrentPositions!D2:D500,CurrentPositions!B2:B500,"SELL")-IF(B2="SELL",B7,0)-IF(B2="BUY",B8,0))</f>
        <v/>
      </c>
    </row>
    <row r="12">
      <c r="A12" t="inlineStr">
        <is>
          <t>LevelReached</t>
        </is>
      </c>
      <c r="B12">
        <f>IF(Scenario_UP!B7&gt;=IF(B4=1,Scenario_UP!N4,IF(B4=2,Scenario_UP!N5,IF(B4=3,Scenario_UP!N6,Scenario_UP!N7))),"YES","NO")</f>
        <v/>
      </c>
    </row>
    <row r="13">
      <c r="A13" t="inlineStr">
        <is>
          <t>NoOppositeCascade</t>
        </is>
      </c>
      <c r="B13">
        <f>IF(B2="SELL",IF(COUNTIFS(CurrentPositions!B2:B500,"BUY",CurrentPositions!C2:C500,"SECTION_BIG")=0,"YES","NO"),IF(B2="BUY",IF(COUNTIFS(CurrentPositions!B2:B500,"SELL",CurrentPositions!C2:C500,"SECTION_BIG")=0,"YES","NO"),"NO"))</f>
        <v/>
      </c>
    </row>
    <row r="14">
      <c r="A14" t="inlineStr">
        <is>
          <t>CanOpenSection</t>
        </is>
      </c>
      <c r="B14">
        <f>IF(B3&lt;=0,"NO",IF(AND(B7&gt;=Settings!$B$6,B8&gt;=Settings!$B$6,B8&lt;B7,B7&lt;=B3,B9&lt;Settings!$B$8,B10&lt;=Settings!$B$15,B11&lt;=Settings!$B$16,B12="YES",B13="YES"),"YES","NO"))</f>
        <v/>
      </c>
    </row>
    <row r="20">
      <c r="A20" s="1" t="inlineStr">
        <is>
          <t>SectionID</t>
        </is>
      </c>
      <c r="B20" s="1" t="inlineStr">
        <is>
          <t>BigType</t>
        </is>
      </c>
      <c r="C20" s="1" t="inlineStr">
        <is>
          <t>BigLot</t>
        </is>
      </c>
      <c r="D20" s="1" t="inlineStr">
        <is>
          <t>BigOpenPrice</t>
        </is>
      </c>
      <c r="E20" s="1" t="inlineStr">
        <is>
          <t>SmallType</t>
        </is>
      </c>
      <c r="F20" s="1" t="inlineStr">
        <is>
          <t>SmallLot</t>
        </is>
      </c>
      <c r="G20" s="1" t="inlineStr">
        <is>
          <t>SmallOpenPrice</t>
        </is>
      </c>
      <c r="H20" s="1" t="inlineStr">
        <is>
          <t>ScenarioPrice</t>
        </is>
      </c>
      <c r="I20" s="1" t="inlineStr">
        <is>
          <t>BigPnL</t>
        </is>
      </c>
      <c r="J20" s="1" t="inlineStr">
        <is>
          <t>SmallPnL</t>
        </is>
      </c>
      <c r="K20" s="1" t="inlineStr">
        <is>
          <t>Lots</t>
        </is>
      </c>
      <c r="L20" s="1" t="inlineStr">
        <is>
          <t>CostMultiplier</t>
        </is>
      </c>
      <c r="M20" s="1" t="inlineStr">
        <is>
          <t>SpreadCost</t>
        </is>
      </c>
      <c r="N20" s="1" t="inlineStr">
        <is>
          <t>CommissionCost</t>
        </is>
      </c>
      <c r="O20" s="1" t="inlineStr">
        <is>
          <t>SwapCost</t>
        </is>
      </c>
      <c r="P20" s="1" t="inlineStr">
        <is>
          <t>Costs</t>
        </is>
      </c>
      <c r="Q20" s="1" t="inlineStr">
        <is>
          <t>CycleProfit</t>
        </is>
      </c>
      <c r="R20" s="1" t="inlineStr">
        <is>
          <t>CanCloseSection</t>
        </is>
      </c>
    </row>
    <row r="21">
      <c r="A21" t="inlineStr">
        <is>
          <t>S1</t>
        </is>
      </c>
      <c r="B21">
        <f>IFERROR(INDEX(CurrentPositions!B2:B500,MATCH(1,(CurrentPositions!C2:C500="SECTION_BIG")*(CurrentPositions!J2:J500=A21),0)),"")</f>
        <v/>
      </c>
      <c r="C21">
        <f>IFERROR(INDEX(CurrentPositions!D2:D500,MATCH(1,(CurrentPositions!C2:C500="SECTION_BIG")*(CurrentPositions!J2:J500=A21),0)),0)</f>
        <v/>
      </c>
      <c r="D21">
        <f>IFERROR(INDEX(CurrentPositions!E2:E500,MATCH(1,(CurrentPositions!C2:C500="SECTION_BIG")*(CurrentPositions!J2:J500=A21),0)),0)</f>
        <v/>
      </c>
      <c r="E21">
        <f>IFERROR(INDEX(CurrentPositions!B2:B500,MATCH(1,(CurrentPositions!C2:C500="SECTION_SMALL")*(CurrentPositions!J2:J500=A21),0)),"")</f>
        <v/>
      </c>
      <c r="F21">
        <f>IFERROR(INDEX(CurrentPositions!D2:D500,MATCH(1,(CurrentPositions!C2:C500="SECTION_SMALL")*(CurrentPositions!J2:J500=A21),0)),0)</f>
        <v/>
      </c>
      <c r="G21">
        <f>IFERROR(INDEX(CurrentPositions!E2:E500,MATCH(1,(CurrentPositions!C2:C500="SECTION_SMALL")*(CurrentPositions!J2:J500=A21),0)),0)</f>
        <v/>
      </c>
      <c r="H21">
        <f>Scenario_UP!B7</f>
        <v/>
      </c>
      <c r="I21">
        <f>IF(B21="",0,IF(B21="BUY",(H21-D21)/Settings!$B$3*C21*Settings!$B$4,(D21-H21)/Settings!$B$3*C21*Settings!$B$4))</f>
        <v/>
      </c>
      <c r="J21">
        <f>IF(E21="",0,IF(E21="BUY",(H21-G21)/Settings!$B$3*F21*Settings!$B$4,(G21-H21)/Settings!$B$3*F21*Settings!$B$4))</f>
        <v/>
      </c>
      <c r="K21">
        <f>C21+F21</f>
        <v/>
      </c>
      <c r="L21">
        <f>IF(Settings!$B$19="FULL_CYCLE",2,1)</f>
        <v/>
      </c>
      <c r="M21">
        <f>Settings!$B$12*Settings!$B$4*K21*L21</f>
        <v/>
      </c>
      <c r="N21">
        <f>Settings!$B$13*K21*L21</f>
        <v/>
      </c>
      <c r="O21">
        <f>Settings!$B$14*K21</f>
        <v/>
      </c>
      <c r="P21">
        <f>M21+N21+O21</f>
        <v/>
      </c>
      <c r="Q21">
        <f>I21+J21-P21</f>
        <v/>
      </c>
      <c r="R21">
        <f>IF(Q21&gt;0,"YES","NO")</f>
        <v/>
      </c>
    </row>
    <row r="22">
      <c r="A22" t="inlineStr">
        <is>
          <t>S2</t>
        </is>
      </c>
      <c r="B22">
        <f>IFERROR(INDEX(CurrentPositions!B2:B500,MATCH(1,(CurrentPositions!C2:C500="SECTION_BIG")*(CurrentPositions!J2:J500=A22),0)),"")</f>
        <v/>
      </c>
      <c r="C22">
        <f>IFERROR(INDEX(CurrentPositions!D2:D500,MATCH(1,(CurrentPositions!C2:C500="SECTION_BIG")*(CurrentPositions!J2:J500=A22),0)),0)</f>
        <v/>
      </c>
      <c r="D22">
        <f>IFERROR(INDEX(CurrentPositions!E2:E500,MATCH(1,(CurrentPositions!C2:C500="SECTION_BIG")*(CurrentPositions!J2:J500=A22),0)),0)</f>
        <v/>
      </c>
      <c r="E22">
        <f>IFERROR(INDEX(CurrentPositions!B2:B500,MATCH(1,(CurrentPositions!C2:C500="SECTION_SMALL")*(CurrentPositions!J2:J500=A22),0)),"")</f>
        <v/>
      </c>
      <c r="F22">
        <f>IFERROR(INDEX(CurrentPositions!D2:D500,MATCH(1,(CurrentPositions!C2:C500="SECTION_SMALL")*(CurrentPositions!J2:J500=A22),0)),0)</f>
        <v/>
      </c>
      <c r="G22">
        <f>IFERROR(INDEX(CurrentPositions!E2:E500,MATCH(1,(CurrentPositions!C2:C500="SECTION_SMALL")*(CurrentPositions!J2:J500=A22),0)),0)</f>
        <v/>
      </c>
      <c r="H22">
        <f>Scenario_UP!B7</f>
        <v/>
      </c>
      <c r="I22">
        <f>IF(B22="",0,IF(B22="BUY",(H22-D22)/Settings!$B$3*C22*Settings!$B$4,(D22-H22)/Settings!$B$3*C22*Settings!$B$4))</f>
        <v/>
      </c>
      <c r="J22">
        <f>IF(E22="",0,IF(E22="BUY",(H22-G22)/Settings!$B$3*F22*Settings!$B$4,(G22-H22)/Settings!$B$3*F22*Settings!$B$4))</f>
        <v/>
      </c>
      <c r="K22">
        <f>C22+F22</f>
        <v/>
      </c>
      <c r="L22">
        <f>IF(Settings!$B$19="FULL_CYCLE",2,1)</f>
        <v/>
      </c>
      <c r="M22">
        <f>Settings!$B$12*Settings!$B$4*K22*L22</f>
        <v/>
      </c>
      <c r="N22">
        <f>Settings!$B$13*K22*L22</f>
        <v/>
      </c>
      <c r="O22">
        <f>Settings!$B$14*K22</f>
        <v/>
      </c>
      <c r="P22">
        <f>M22+N22+O22</f>
        <v/>
      </c>
      <c r="Q22">
        <f>I22+J22-P22</f>
        <v/>
      </c>
      <c r="R22">
        <f>IF(Q22&gt;0,"YES","NO")</f>
        <v/>
      </c>
    </row>
    <row r="23">
      <c r="A23" t="inlineStr">
        <is>
          <t>S3</t>
        </is>
      </c>
      <c r="B23">
        <f>IFERROR(INDEX(CurrentPositions!B2:B500,MATCH(1,(CurrentPositions!C2:C500="SECTION_BIG")*(CurrentPositions!J2:J500=A23),0)),"")</f>
        <v/>
      </c>
      <c r="C23">
        <f>IFERROR(INDEX(CurrentPositions!D2:D500,MATCH(1,(CurrentPositions!C2:C500="SECTION_BIG")*(CurrentPositions!J2:J500=A23),0)),0)</f>
        <v/>
      </c>
      <c r="D23">
        <f>IFERROR(INDEX(CurrentPositions!E2:E500,MATCH(1,(CurrentPositions!C2:C500="SECTION_BIG")*(CurrentPositions!J2:J500=A23),0)),0)</f>
        <v/>
      </c>
      <c r="E23">
        <f>IFERROR(INDEX(CurrentPositions!B2:B500,MATCH(1,(CurrentPositions!C2:C500="SECTION_SMALL")*(CurrentPositions!J2:J500=A23),0)),"")</f>
        <v/>
      </c>
      <c r="F23">
        <f>IFERROR(INDEX(CurrentPositions!D2:D500,MATCH(1,(CurrentPositions!C2:C500="SECTION_SMALL")*(CurrentPositions!J2:J500=A23),0)),0)</f>
        <v/>
      </c>
      <c r="G23">
        <f>IFERROR(INDEX(CurrentPositions!E2:E500,MATCH(1,(CurrentPositions!C2:C500="SECTION_SMALL")*(CurrentPositions!J2:J500=A23),0)),0)</f>
        <v/>
      </c>
      <c r="H23">
        <f>Scenario_UP!B7</f>
        <v/>
      </c>
      <c r="I23">
        <f>IF(B23="",0,IF(B23="BUY",(H23-D23)/Settings!$B$3*C23*Settings!$B$4,(D23-H23)/Settings!$B$3*C23*Settings!$B$4))</f>
        <v/>
      </c>
      <c r="J23">
        <f>IF(E23="",0,IF(E23="BUY",(H23-G23)/Settings!$B$3*F23*Settings!$B$4,(G23-H23)/Settings!$B$3*F23*Settings!$B$4))</f>
        <v/>
      </c>
      <c r="K23">
        <f>C23+F23</f>
        <v/>
      </c>
      <c r="L23">
        <f>IF(Settings!$B$19="FULL_CYCLE",2,1)</f>
        <v/>
      </c>
      <c r="M23">
        <f>Settings!$B$12*Settings!$B$4*K23*L23</f>
        <v/>
      </c>
      <c r="N23">
        <f>Settings!$B$13*K23*L23</f>
        <v/>
      </c>
      <c r="O23">
        <f>Settings!$B$14*K23</f>
        <v/>
      </c>
      <c r="P23">
        <f>M23+N23+O23</f>
        <v/>
      </c>
      <c r="Q23">
        <f>I23+J23-P23</f>
        <v/>
      </c>
      <c r="R23">
        <f>IF(Q23&gt;0,"YES","NO")</f>
        <v/>
      </c>
    </row>
    <row r="24">
      <c r="A24" t="inlineStr">
        <is>
          <t>S4</t>
        </is>
      </c>
      <c r="B24">
        <f>IFERROR(INDEX(CurrentPositions!B2:B500,MATCH(1,(CurrentPositions!C2:C500="SECTION_BIG")*(CurrentPositions!J2:J500=A24),0)),"")</f>
        <v/>
      </c>
      <c r="C24">
        <f>IFERROR(INDEX(CurrentPositions!D2:D500,MATCH(1,(CurrentPositions!C2:C500="SECTION_BIG")*(CurrentPositions!J2:J500=A24),0)),0)</f>
        <v/>
      </c>
      <c r="D24">
        <f>IFERROR(INDEX(CurrentPositions!E2:E500,MATCH(1,(CurrentPositions!C2:C500="SECTION_BIG")*(CurrentPositions!J2:J500=A24),0)),0)</f>
        <v/>
      </c>
      <c r="E24">
        <f>IFERROR(INDEX(CurrentPositions!B2:B500,MATCH(1,(CurrentPositions!C2:C500="SECTION_SMALL")*(CurrentPositions!J2:J500=A24),0)),"")</f>
        <v/>
      </c>
      <c r="F24">
        <f>IFERROR(INDEX(CurrentPositions!D2:D500,MATCH(1,(CurrentPositions!C2:C500="SECTION_SMALL")*(CurrentPositions!J2:J500=A24),0)),0)</f>
        <v/>
      </c>
      <c r="G24">
        <f>IFERROR(INDEX(CurrentPositions!E2:E500,MATCH(1,(CurrentPositions!C2:C500="SECTION_SMALL")*(CurrentPositions!J2:J500=A24),0)),0)</f>
        <v/>
      </c>
      <c r="H24">
        <f>Scenario_UP!B7</f>
        <v/>
      </c>
      <c r="I24">
        <f>IF(B24="",0,IF(B24="BUY",(H24-D24)/Settings!$B$3*C24*Settings!$B$4,(D24-H24)/Settings!$B$3*C24*Settings!$B$4))</f>
        <v/>
      </c>
      <c r="J24">
        <f>IF(E24="",0,IF(E24="BUY",(H24-G24)/Settings!$B$3*F24*Settings!$B$4,(G24-H24)/Settings!$B$3*F24*Settings!$B$4))</f>
        <v/>
      </c>
      <c r="K24">
        <f>C24+F24</f>
        <v/>
      </c>
      <c r="L24">
        <f>IF(Settings!$B$19="FULL_CYCLE",2,1)</f>
        <v/>
      </c>
      <c r="M24">
        <f>Settings!$B$12*Settings!$B$4*K24*L24</f>
        <v/>
      </c>
      <c r="N24">
        <f>Settings!$B$13*K24*L24</f>
        <v/>
      </c>
      <c r="O24">
        <f>Settings!$B$14*K24</f>
        <v/>
      </c>
      <c r="P24">
        <f>M24+N24+O24</f>
        <v/>
      </c>
      <c r="Q24">
        <f>I24+J24-P24</f>
        <v/>
      </c>
      <c r="R24">
        <f>IF(Q24&gt;0,"YES","NO")</f>
        <v/>
      </c>
    </row>
    <row r="30">
      <c r="A30" t="inlineStr">
        <is>
          <t>SelectedSectionID</t>
        </is>
      </c>
      <c r="B30">
        <f>IFERROR(INDEX(A21:A24,MATCH("YES",R21:R24,0)),"NONE")</f>
        <v/>
      </c>
    </row>
    <row r="31">
      <c r="A31" t="inlineStr">
        <is>
          <t>CycleProfit</t>
        </is>
      </c>
      <c r="B31">
        <f>IF(B30="NONE",0,INDEX(Q21:Q24,MATCH(B30,A21:A24,0)))</f>
        <v/>
      </c>
    </row>
    <row r="32">
      <c r="A32" t="inlineStr">
        <is>
          <t>CanCloseSection</t>
        </is>
      </c>
      <c r="B32">
        <f>IF(B31&gt;0,"YES","NO")</f>
        <v/>
      </c>
    </row>
    <row r="33">
      <c r="A33" t="inlineStr">
        <is>
          <t>ReserveAdd</t>
        </is>
      </c>
      <c r="B33">
        <f>IF(B31&gt;0,B31*Settings!$B$9,0)</f>
        <v/>
      </c>
    </row>
    <row r="34">
      <c r="A34" t="inlineStr">
        <is>
          <t>RecoveryAdd</t>
        </is>
      </c>
      <c r="B34">
        <f>IF(B31&gt;0,B31*Settings!$B$10,0)</f>
        <v/>
      </c>
    </row>
    <row r="35">
      <c r="A35" t="inlineStr">
        <is>
          <t>NewGlobalReserve</t>
        </is>
      </c>
      <c r="B35">
        <f>Settings!$B$17+B33</f>
        <v/>
      </c>
    </row>
    <row r="36">
      <c r="A36" t="inlineStr">
        <is>
          <t>NewRecoveryFund</t>
        </is>
      </c>
      <c r="B36">
        <f>Settings!$B$18+B34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Scenario_DOWN!B220</f>
        <v/>
      </c>
    </row>
    <row r="3">
      <c r="A3" t="inlineStr">
        <is>
          <t>TailLot</t>
        </is>
      </c>
      <c r="B3">
        <f>Scenario_DOWN!B223</f>
        <v/>
      </c>
    </row>
    <row r="4">
      <c r="A4" t="inlineStr">
        <is>
          <t>NextLevel</t>
        </is>
      </c>
      <c r="B4" t="n">
        <v>1</v>
      </c>
    </row>
    <row r="5">
      <c r="A5" t="inlineStr">
        <is>
          <t>BigRatio</t>
        </is>
      </c>
      <c r="B5">
        <f>INDEX(Settings!B21:B24,MATCH(B4,Settings!A21:A24,0))</f>
        <v/>
      </c>
    </row>
    <row r="6">
      <c r="A6" t="inlineStr">
        <is>
          <t>SmallRatio</t>
        </is>
      </c>
      <c r="B6">
        <f>INDEX(Settings!C21:C24,MATCH(B4,Settings!A21:A24,0))</f>
        <v/>
      </c>
    </row>
    <row r="7">
      <c r="A7" t="inlineStr">
        <is>
          <t>BigLot</t>
        </is>
      </c>
      <c r="B7">
        <f>IF(B3&lt;=0,0,FLOOR(B3*B5,Settings!$B$7))</f>
        <v/>
      </c>
    </row>
    <row r="8">
      <c r="A8" t="inlineStr">
        <is>
          <t>SmallLot</t>
        </is>
      </c>
      <c r="B8">
        <f>IF(B3&lt;=0,0,FLOOR(B3*B6,Settings!$B$7))</f>
        <v/>
      </c>
    </row>
    <row r="9">
      <c r="A9" t="inlineStr">
        <is>
          <t>ActiveSections</t>
        </is>
      </c>
      <c r="B9">
        <f>COUNTIFS(CurrentPositions!C2:C500,"SECTION_BIG")</f>
        <v/>
      </c>
    </row>
    <row r="10">
      <c r="A10" t="inlineStr">
        <is>
          <t>TotalLotAfterOpen</t>
        </is>
      </c>
      <c r="B10">
        <f>SUM(CurrentPositions!D2:D500)+B7+B8</f>
        <v/>
      </c>
    </row>
    <row r="11">
      <c r="A11" t="inlineStr">
        <is>
          <t>NetLotAfterOpen</t>
        </is>
      </c>
      <c r="B11">
        <f>ABS(SUMIFS(CurrentPositions!D2:D500,CurrentPositions!B2:B500,"BUY")+IF(B2="BUY",B7,0)+IF(B2="SELL",B8,0)-SUMIFS(CurrentPositions!D2:D500,CurrentPositions!B2:B500,"SELL")-IF(B2="SELL",B7,0)-IF(B2="BUY",B8,0))</f>
        <v/>
      </c>
    </row>
    <row r="12">
      <c r="A12" t="inlineStr">
        <is>
          <t>LevelReached</t>
        </is>
      </c>
      <c r="B12">
        <f>IF(Scenario_DOWN!B7&lt;=IF(B4=1,Scenario_DOWN!N9,IF(B4=2,Scenario_DOWN!N10,IF(B4=3,Scenario_DOWN!N11,Scenario_DOWN!N12))),"YES","NO")</f>
        <v/>
      </c>
    </row>
    <row r="13">
      <c r="A13" t="inlineStr">
        <is>
          <t>NoOppositeCascade</t>
        </is>
      </c>
      <c r="B13">
        <f>IF(B2="SELL",IF(COUNTIFS(CurrentPositions!B2:B500,"BUY",CurrentPositions!C2:C500,"SECTION_BIG")=0,"YES","NO"),IF(B2="BUY",IF(COUNTIFS(CurrentPositions!B2:B500,"SELL",CurrentPositions!C2:C500,"SECTION_BIG")=0,"YES","NO"),"NO"))</f>
        <v/>
      </c>
    </row>
    <row r="14">
      <c r="A14" t="inlineStr">
        <is>
          <t>CanOpenSection</t>
        </is>
      </c>
      <c r="B14">
        <f>IF(B3&lt;=0,"NO",IF(AND(B7&gt;=Settings!$B$6,B8&gt;=Settings!$B$6,B8&lt;B7,B7&lt;=B3,B9&lt;Settings!$B$8,B10&lt;=Settings!$B$15,B11&lt;=Settings!$B$16,B12="YES",B13="YES"),"YES","NO"))</f>
        <v/>
      </c>
    </row>
    <row r="20">
      <c r="A20" s="1" t="inlineStr">
        <is>
          <t>SectionID</t>
        </is>
      </c>
      <c r="B20" s="1" t="inlineStr">
        <is>
          <t>BigType</t>
        </is>
      </c>
      <c r="C20" s="1" t="inlineStr">
        <is>
          <t>BigLot</t>
        </is>
      </c>
      <c r="D20" s="1" t="inlineStr">
        <is>
          <t>BigOpenPrice</t>
        </is>
      </c>
      <c r="E20" s="1" t="inlineStr">
        <is>
          <t>SmallType</t>
        </is>
      </c>
      <c r="F20" s="1" t="inlineStr">
        <is>
          <t>SmallLot</t>
        </is>
      </c>
      <c r="G20" s="1" t="inlineStr">
        <is>
          <t>SmallOpenPrice</t>
        </is>
      </c>
      <c r="H20" s="1" t="inlineStr">
        <is>
          <t>ScenarioPrice</t>
        </is>
      </c>
      <c r="I20" s="1" t="inlineStr">
        <is>
          <t>BigPnL</t>
        </is>
      </c>
      <c r="J20" s="1" t="inlineStr">
        <is>
          <t>SmallPnL</t>
        </is>
      </c>
      <c r="K20" s="1" t="inlineStr">
        <is>
          <t>Lots</t>
        </is>
      </c>
      <c r="L20" s="1" t="inlineStr">
        <is>
          <t>CostMultiplier</t>
        </is>
      </c>
      <c r="M20" s="1" t="inlineStr">
        <is>
          <t>SpreadCost</t>
        </is>
      </c>
      <c r="N20" s="1" t="inlineStr">
        <is>
          <t>CommissionCost</t>
        </is>
      </c>
      <c r="O20" s="1" t="inlineStr">
        <is>
          <t>SwapCost</t>
        </is>
      </c>
      <c r="P20" s="1" t="inlineStr">
        <is>
          <t>Costs</t>
        </is>
      </c>
      <c r="Q20" s="1" t="inlineStr">
        <is>
          <t>CycleProfit</t>
        </is>
      </c>
      <c r="R20" s="1" t="inlineStr">
        <is>
          <t>CanCloseSection</t>
        </is>
      </c>
    </row>
    <row r="21">
      <c r="A21" t="inlineStr">
        <is>
          <t>S1</t>
        </is>
      </c>
      <c r="B21">
        <f>IFERROR(INDEX(CurrentPositions!B2:B500,MATCH(1,(CurrentPositions!C2:C500="SECTION_BIG")*(CurrentPositions!J2:J500=A21),0)),"")</f>
        <v/>
      </c>
      <c r="C21">
        <f>IFERROR(INDEX(CurrentPositions!D2:D500,MATCH(1,(CurrentPositions!C2:C500="SECTION_BIG")*(CurrentPositions!J2:J500=A21),0)),0)</f>
        <v/>
      </c>
      <c r="D21">
        <f>IFERROR(INDEX(CurrentPositions!E2:E500,MATCH(1,(CurrentPositions!C2:C500="SECTION_BIG")*(CurrentPositions!J2:J500=A21),0)),0)</f>
        <v/>
      </c>
      <c r="E21">
        <f>IFERROR(INDEX(CurrentPositions!B2:B500,MATCH(1,(CurrentPositions!C2:C500="SECTION_SMALL")*(CurrentPositions!J2:J500=A21),0)),"")</f>
        <v/>
      </c>
      <c r="F21">
        <f>IFERROR(INDEX(CurrentPositions!D2:D500,MATCH(1,(CurrentPositions!C2:C500="SECTION_SMALL")*(CurrentPositions!J2:J500=A21),0)),0)</f>
        <v/>
      </c>
      <c r="G21">
        <f>IFERROR(INDEX(CurrentPositions!E2:E500,MATCH(1,(CurrentPositions!C2:C500="SECTION_SMALL")*(CurrentPositions!J2:J500=A21),0)),0)</f>
        <v/>
      </c>
      <c r="H21">
        <f>Scenario_DOWN!B7</f>
        <v/>
      </c>
      <c r="I21">
        <f>IF(B21="",0,IF(B21="BUY",(H21-D21)/Settings!$B$3*C21*Settings!$B$4,(D21-H21)/Settings!$B$3*C21*Settings!$B$4))</f>
        <v/>
      </c>
      <c r="J21">
        <f>IF(E21="",0,IF(E21="BUY",(H21-G21)/Settings!$B$3*F21*Settings!$B$4,(G21-H21)/Settings!$B$3*F21*Settings!$B$4))</f>
        <v/>
      </c>
      <c r="K21">
        <f>C21+F21</f>
        <v/>
      </c>
      <c r="L21">
        <f>IF(Settings!$B$19="FULL_CYCLE",2,1)</f>
        <v/>
      </c>
      <c r="M21">
        <f>Settings!$B$12*Settings!$B$4*K21*L21</f>
        <v/>
      </c>
      <c r="N21">
        <f>Settings!$B$13*K21*L21</f>
        <v/>
      </c>
      <c r="O21">
        <f>Settings!$B$14*K21</f>
        <v/>
      </c>
      <c r="P21">
        <f>M21+N21+O21</f>
        <v/>
      </c>
      <c r="Q21">
        <f>I21+J21-P21</f>
        <v/>
      </c>
      <c r="R21">
        <f>IF(Q21&gt;0,"YES","NO")</f>
        <v/>
      </c>
    </row>
    <row r="22">
      <c r="A22" t="inlineStr">
        <is>
          <t>S2</t>
        </is>
      </c>
      <c r="B22">
        <f>IFERROR(INDEX(CurrentPositions!B2:B500,MATCH(1,(CurrentPositions!C2:C500="SECTION_BIG")*(CurrentPositions!J2:J500=A22),0)),"")</f>
        <v/>
      </c>
      <c r="C22">
        <f>IFERROR(INDEX(CurrentPositions!D2:D500,MATCH(1,(CurrentPositions!C2:C500="SECTION_BIG")*(CurrentPositions!J2:J500=A22),0)),0)</f>
        <v/>
      </c>
      <c r="D22">
        <f>IFERROR(INDEX(CurrentPositions!E2:E500,MATCH(1,(CurrentPositions!C2:C500="SECTION_BIG")*(CurrentPositions!J2:J500=A22),0)),0)</f>
        <v/>
      </c>
      <c r="E22">
        <f>IFERROR(INDEX(CurrentPositions!B2:B500,MATCH(1,(CurrentPositions!C2:C500="SECTION_SMALL")*(CurrentPositions!J2:J500=A22),0)),"")</f>
        <v/>
      </c>
      <c r="F22">
        <f>IFERROR(INDEX(CurrentPositions!D2:D500,MATCH(1,(CurrentPositions!C2:C500="SECTION_SMALL")*(CurrentPositions!J2:J500=A22),0)),0)</f>
        <v/>
      </c>
      <c r="G22">
        <f>IFERROR(INDEX(CurrentPositions!E2:E500,MATCH(1,(CurrentPositions!C2:C500="SECTION_SMALL")*(CurrentPositions!J2:J500=A22),0)),0)</f>
        <v/>
      </c>
      <c r="H22">
        <f>Scenario_DOWN!B7</f>
        <v/>
      </c>
      <c r="I22">
        <f>IF(B22="",0,IF(B22="BUY",(H22-D22)/Settings!$B$3*C22*Settings!$B$4,(D22-H22)/Settings!$B$3*C22*Settings!$B$4))</f>
        <v/>
      </c>
      <c r="J22">
        <f>IF(E22="",0,IF(E22="BUY",(H22-G22)/Settings!$B$3*F22*Settings!$B$4,(G22-H22)/Settings!$B$3*F22*Settings!$B$4))</f>
        <v/>
      </c>
      <c r="K22">
        <f>C22+F22</f>
        <v/>
      </c>
      <c r="L22">
        <f>IF(Settings!$B$19="FULL_CYCLE",2,1)</f>
        <v/>
      </c>
      <c r="M22">
        <f>Settings!$B$12*Settings!$B$4*K22*L22</f>
        <v/>
      </c>
      <c r="N22">
        <f>Settings!$B$13*K22*L22</f>
        <v/>
      </c>
      <c r="O22">
        <f>Settings!$B$14*K22</f>
        <v/>
      </c>
      <c r="P22">
        <f>M22+N22+O22</f>
        <v/>
      </c>
      <c r="Q22">
        <f>I22+J22-P22</f>
        <v/>
      </c>
      <c r="R22">
        <f>IF(Q22&gt;0,"YES","NO")</f>
        <v/>
      </c>
    </row>
    <row r="23">
      <c r="A23" t="inlineStr">
        <is>
          <t>S3</t>
        </is>
      </c>
      <c r="B23">
        <f>IFERROR(INDEX(CurrentPositions!B2:B500,MATCH(1,(CurrentPositions!C2:C500="SECTION_BIG")*(CurrentPositions!J2:J500=A23),0)),"")</f>
        <v/>
      </c>
      <c r="C23">
        <f>IFERROR(INDEX(CurrentPositions!D2:D500,MATCH(1,(CurrentPositions!C2:C500="SECTION_BIG")*(CurrentPositions!J2:J500=A23),0)),0)</f>
        <v/>
      </c>
      <c r="D23">
        <f>IFERROR(INDEX(CurrentPositions!E2:E500,MATCH(1,(CurrentPositions!C2:C500="SECTION_BIG")*(CurrentPositions!J2:J500=A23),0)),0)</f>
        <v/>
      </c>
      <c r="E23">
        <f>IFERROR(INDEX(CurrentPositions!B2:B500,MATCH(1,(CurrentPositions!C2:C500="SECTION_SMALL")*(CurrentPositions!J2:J500=A23),0)),"")</f>
        <v/>
      </c>
      <c r="F23">
        <f>IFERROR(INDEX(CurrentPositions!D2:D500,MATCH(1,(CurrentPositions!C2:C500="SECTION_SMALL")*(CurrentPositions!J2:J500=A23),0)),0)</f>
        <v/>
      </c>
      <c r="G23">
        <f>IFERROR(INDEX(CurrentPositions!E2:E500,MATCH(1,(CurrentPositions!C2:C500="SECTION_SMALL")*(CurrentPositions!J2:J500=A23),0)),0)</f>
        <v/>
      </c>
      <c r="H23">
        <f>Scenario_DOWN!B7</f>
        <v/>
      </c>
      <c r="I23">
        <f>IF(B23="",0,IF(B23="BUY",(H23-D23)/Settings!$B$3*C23*Settings!$B$4,(D23-H23)/Settings!$B$3*C23*Settings!$B$4))</f>
        <v/>
      </c>
      <c r="J23">
        <f>IF(E23="",0,IF(E23="BUY",(H23-G23)/Settings!$B$3*F23*Settings!$B$4,(G23-H23)/Settings!$B$3*F23*Settings!$B$4))</f>
        <v/>
      </c>
      <c r="K23">
        <f>C23+F23</f>
        <v/>
      </c>
      <c r="L23">
        <f>IF(Settings!$B$19="FULL_CYCLE",2,1)</f>
        <v/>
      </c>
      <c r="M23">
        <f>Settings!$B$12*Settings!$B$4*K23*L23</f>
        <v/>
      </c>
      <c r="N23">
        <f>Settings!$B$13*K23*L23</f>
        <v/>
      </c>
      <c r="O23">
        <f>Settings!$B$14*K23</f>
        <v/>
      </c>
      <c r="P23">
        <f>M23+N23+O23</f>
        <v/>
      </c>
      <c r="Q23">
        <f>I23+J23-P23</f>
        <v/>
      </c>
      <c r="R23">
        <f>IF(Q23&gt;0,"YES","NO")</f>
        <v/>
      </c>
    </row>
    <row r="24">
      <c r="A24" t="inlineStr">
        <is>
          <t>S4</t>
        </is>
      </c>
      <c r="B24">
        <f>IFERROR(INDEX(CurrentPositions!B2:B500,MATCH(1,(CurrentPositions!C2:C500="SECTION_BIG")*(CurrentPositions!J2:J500=A24),0)),"")</f>
        <v/>
      </c>
      <c r="C24">
        <f>IFERROR(INDEX(CurrentPositions!D2:D500,MATCH(1,(CurrentPositions!C2:C500="SECTION_BIG")*(CurrentPositions!J2:J500=A24),0)),0)</f>
        <v/>
      </c>
      <c r="D24">
        <f>IFERROR(INDEX(CurrentPositions!E2:E500,MATCH(1,(CurrentPositions!C2:C500="SECTION_BIG")*(CurrentPositions!J2:J500=A24),0)),0)</f>
        <v/>
      </c>
      <c r="E24">
        <f>IFERROR(INDEX(CurrentPositions!B2:B500,MATCH(1,(CurrentPositions!C2:C500="SECTION_SMALL")*(CurrentPositions!J2:J500=A24),0)),"")</f>
        <v/>
      </c>
      <c r="F24">
        <f>IFERROR(INDEX(CurrentPositions!D2:D500,MATCH(1,(CurrentPositions!C2:C500="SECTION_SMALL")*(CurrentPositions!J2:J500=A24),0)),0)</f>
        <v/>
      </c>
      <c r="G24">
        <f>IFERROR(INDEX(CurrentPositions!E2:E500,MATCH(1,(CurrentPositions!C2:C500="SECTION_SMALL")*(CurrentPositions!J2:J500=A24),0)),0)</f>
        <v/>
      </c>
      <c r="H24">
        <f>Scenario_DOWN!B7</f>
        <v/>
      </c>
      <c r="I24">
        <f>IF(B24="",0,IF(B24="BUY",(H24-D24)/Settings!$B$3*C24*Settings!$B$4,(D24-H24)/Settings!$B$3*C24*Settings!$B$4))</f>
        <v/>
      </c>
      <c r="J24">
        <f>IF(E24="",0,IF(E24="BUY",(H24-G24)/Settings!$B$3*F24*Settings!$B$4,(G24-H24)/Settings!$B$3*F24*Settings!$B$4))</f>
        <v/>
      </c>
      <c r="K24">
        <f>C24+F24</f>
        <v/>
      </c>
      <c r="L24">
        <f>IF(Settings!$B$19="FULL_CYCLE",2,1)</f>
        <v/>
      </c>
      <c r="M24">
        <f>Settings!$B$12*Settings!$B$4*K24*L24</f>
        <v/>
      </c>
      <c r="N24">
        <f>Settings!$B$13*K24*L24</f>
        <v/>
      </c>
      <c r="O24">
        <f>Settings!$B$14*K24</f>
        <v/>
      </c>
      <c r="P24">
        <f>M24+N24+O24</f>
        <v/>
      </c>
      <c r="Q24">
        <f>I24+J24-P24</f>
        <v/>
      </c>
      <c r="R24">
        <f>IF(Q24&gt;0,"YES","NO")</f>
        <v/>
      </c>
    </row>
    <row r="30">
      <c r="A30" t="inlineStr">
        <is>
          <t>SelectedSectionID</t>
        </is>
      </c>
      <c r="B30">
        <f>IFERROR(INDEX(A21:A24,MATCH("YES",R21:R24,0)),"NONE")</f>
        <v/>
      </c>
    </row>
    <row r="31">
      <c r="A31" t="inlineStr">
        <is>
          <t>CycleProfit</t>
        </is>
      </c>
      <c r="B31">
        <f>IF(B30="NONE",0,INDEX(Q21:Q24,MATCH(B30,A21:A24,0)))</f>
        <v/>
      </c>
    </row>
    <row r="32">
      <c r="A32" t="inlineStr">
        <is>
          <t>CanCloseSection</t>
        </is>
      </c>
      <c r="B32">
        <f>IF(B31&gt;0,"YES","NO")</f>
        <v/>
      </c>
    </row>
    <row r="33">
      <c r="A33" t="inlineStr">
        <is>
          <t>ReserveAdd</t>
        </is>
      </c>
      <c r="B33">
        <f>IF(B31&gt;0,B31*Settings!$B$9,0)</f>
        <v/>
      </c>
    </row>
    <row r="34">
      <c r="A34" t="inlineStr">
        <is>
          <t>RecoveryAdd</t>
        </is>
      </c>
      <c r="B34">
        <f>IF(B31&gt;0,B31*Settings!$B$10,0)</f>
        <v/>
      </c>
    </row>
    <row r="35">
      <c r="A35" t="inlineStr">
        <is>
          <t>NewGlobalReserve</t>
        </is>
      </c>
      <c r="B35">
        <f>Settings!$B$17+B33</f>
        <v/>
      </c>
    </row>
    <row r="36">
      <c r="A36" t="inlineStr">
        <is>
          <t>NewRecoveryFund</t>
        </is>
      </c>
      <c r="B36">
        <f>Settings!$B$18+B34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Scenario_UP!B220</f>
        <v/>
      </c>
    </row>
    <row r="3">
      <c r="A3" t="inlineStr">
        <is>
          <t>TailTicket</t>
        </is>
      </c>
      <c r="B3">
        <f>Scenario_UP!B222</f>
        <v/>
      </c>
    </row>
    <row r="4">
      <c r="A4" t="inlineStr">
        <is>
          <t>TailLot</t>
        </is>
      </c>
      <c r="B4">
        <f>Scenario_UP!B223</f>
        <v/>
      </c>
    </row>
    <row r="5">
      <c r="A5" t="inlineStr">
        <is>
          <t>TailLossPerLot</t>
        </is>
      </c>
      <c r="B5">
        <f>Scenario_UP!B225</f>
        <v/>
      </c>
    </row>
    <row r="6">
      <c r="A6" t="inlineStr">
        <is>
          <t>CanCloseSection</t>
        </is>
      </c>
      <c r="B6">
        <f>SectionCalculator_UP!B32</f>
        <v/>
      </c>
    </row>
    <row r="7">
      <c r="A7" t="inlineStr">
        <is>
          <t>RecoveryFundAfterCycle</t>
        </is>
      </c>
      <c r="B7">
        <f>SectionCalculator_UP!B36</f>
        <v/>
      </c>
    </row>
    <row r="8">
      <c r="A8" t="inlineStr">
        <is>
          <t>CloseLotRaw</t>
        </is>
      </c>
      <c r="B8">
        <f>IF(OR(B6&lt;&gt;"YES",B5=0),0,B7/B5)</f>
        <v/>
      </c>
    </row>
    <row r="9">
      <c r="A9" t="inlineStr">
        <is>
          <t>CloseLotRounded</t>
        </is>
      </c>
      <c r="B9">
        <f>FLOOR(B8,Settings!$B$7)</f>
        <v/>
      </c>
    </row>
    <row r="10">
      <c r="A10" t="inlineStr">
        <is>
          <t>CloseLotFinal</t>
        </is>
      </c>
      <c r="B10">
        <f>IF(B6="YES",MIN(B9,B4),0)</f>
        <v/>
      </c>
    </row>
    <row r="11">
      <c r="A11" t="inlineStr">
        <is>
          <t>CloseAllowed</t>
        </is>
      </c>
      <c r="B11">
        <f>IF(AND(B10&gt;=Settings!$B$6,B6="YES"),"YES","NO")</f>
        <v/>
      </c>
    </row>
    <row r="12">
      <c r="A12" t="inlineStr">
        <is>
          <t>TailCloseLoss</t>
        </is>
      </c>
      <c r="B12">
        <f>B10*B5</f>
        <v/>
      </c>
    </row>
    <row r="13">
      <c r="A13" t="inlineStr">
        <is>
          <t>RecoveryFundAfterClose</t>
        </is>
      </c>
      <c r="B13">
        <f>MAX(0,B7-B12)</f>
        <v/>
      </c>
    </row>
    <row r="14">
      <c r="A14" t="inlineStr">
        <is>
          <t>TailLotAfterClose</t>
        </is>
      </c>
      <c r="B14">
        <f>MAX(0,B4-B10)</f>
        <v/>
      </c>
    </row>
    <row r="15">
      <c r="A15" t="inlineStr">
        <is>
          <t>NextLevel</t>
        </is>
      </c>
      <c r="B15">
        <f>SectionCalculator_UP!B4</f>
        <v/>
      </c>
    </row>
    <row r="16">
      <c r="A16" t="inlineStr">
        <is>
          <t>NextBigLotAfterRecovery</t>
        </is>
      </c>
      <c r="B16">
        <f>FLOOR(B14*INDEX(Settings!B21:B24,MATCH(B15,Settings!A21:A24,0)),Settings!$B$7)</f>
        <v/>
      </c>
    </row>
    <row r="17">
      <c r="A17" t="inlineStr">
        <is>
          <t>NextSmallLotAfterRecovery</t>
        </is>
      </c>
      <c r="B17">
        <f>FLOOR(B14*INDEX(Settings!C21:C24,MATCH(B15,Settings!A21:A24,0)),Settings!$B$7)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Scenario_DOWN!B220</f>
        <v/>
      </c>
    </row>
    <row r="3">
      <c r="A3" t="inlineStr">
        <is>
          <t>TailTicket</t>
        </is>
      </c>
      <c r="B3">
        <f>Scenario_DOWN!B222</f>
        <v/>
      </c>
    </row>
    <row r="4">
      <c r="A4" t="inlineStr">
        <is>
          <t>TailLot</t>
        </is>
      </c>
      <c r="B4">
        <f>Scenario_DOWN!B223</f>
        <v/>
      </c>
    </row>
    <row r="5">
      <c r="A5" t="inlineStr">
        <is>
          <t>TailLossPerLot</t>
        </is>
      </c>
      <c r="B5">
        <f>Scenario_DOWN!B225</f>
        <v/>
      </c>
    </row>
    <row r="6">
      <c r="A6" t="inlineStr">
        <is>
          <t>CanCloseSection</t>
        </is>
      </c>
      <c r="B6">
        <f>SectionCalculator_DOWN!B32</f>
        <v/>
      </c>
    </row>
    <row r="7">
      <c r="A7" t="inlineStr">
        <is>
          <t>RecoveryFundAfterCycle</t>
        </is>
      </c>
      <c r="B7">
        <f>SectionCalculator_DOWN!B36</f>
        <v/>
      </c>
    </row>
    <row r="8">
      <c r="A8" t="inlineStr">
        <is>
          <t>CloseLotRaw</t>
        </is>
      </c>
      <c r="B8">
        <f>IF(OR(B6&lt;&gt;"YES",B5=0),0,B7/B5)</f>
        <v/>
      </c>
    </row>
    <row r="9">
      <c r="A9" t="inlineStr">
        <is>
          <t>CloseLotRounded</t>
        </is>
      </c>
      <c r="B9">
        <f>FLOOR(B8,Settings!$B$7)</f>
        <v/>
      </c>
    </row>
    <row r="10">
      <c r="A10" t="inlineStr">
        <is>
          <t>CloseLotFinal</t>
        </is>
      </c>
      <c r="B10">
        <f>IF(B6="YES",MIN(B9,B4),0)</f>
        <v/>
      </c>
    </row>
    <row r="11">
      <c r="A11" t="inlineStr">
        <is>
          <t>CloseAllowed</t>
        </is>
      </c>
      <c r="B11">
        <f>IF(AND(B10&gt;=Settings!$B$6,B6="YES"),"YES","NO")</f>
        <v/>
      </c>
    </row>
    <row r="12">
      <c r="A12" t="inlineStr">
        <is>
          <t>TailCloseLoss</t>
        </is>
      </c>
      <c r="B12">
        <f>B10*B5</f>
        <v/>
      </c>
    </row>
    <row r="13">
      <c r="A13" t="inlineStr">
        <is>
          <t>RecoveryFundAfterClose</t>
        </is>
      </c>
      <c r="B13">
        <f>MAX(0,B7-B12)</f>
        <v/>
      </c>
    </row>
    <row r="14">
      <c r="A14" t="inlineStr">
        <is>
          <t>TailLotAfterClose</t>
        </is>
      </c>
      <c r="B14">
        <f>MAX(0,B4-B10)</f>
        <v/>
      </c>
    </row>
    <row r="15">
      <c r="A15" t="inlineStr">
        <is>
          <t>NextLevel</t>
        </is>
      </c>
      <c r="B15">
        <f>SectionCalculator_DOWN!B4</f>
        <v/>
      </c>
    </row>
    <row r="16">
      <c r="A16" t="inlineStr">
        <is>
          <t>NextBigLotAfterRecovery</t>
        </is>
      </c>
      <c r="B16">
        <f>FLOOR(B14*INDEX(Settings!B21:B24,MATCH(B15,Settings!A21:A24,0)),Settings!$B$7)</f>
        <v/>
      </c>
    </row>
    <row r="17">
      <c r="A17" t="inlineStr">
        <is>
          <t>NextSmallLotAfterRecovery</t>
        </is>
      </c>
      <c r="B17">
        <f>FLOOR(B14*INDEX(Settings!C21:C24,MATCH(B15,Settings!A21:A24,0)),Settings!$B$7)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UP</t>
        </is>
      </c>
      <c r="C1" s="1" t="inlineStr">
        <is>
          <t>DOWN</t>
        </is>
      </c>
    </row>
    <row r="2">
      <c r="A2" t="inlineStr">
        <is>
          <t>ScenarioPrice</t>
        </is>
      </c>
      <c r="B2">
        <f>Scenario_UP!B7</f>
        <v/>
      </c>
      <c r="C2">
        <f>Scenario_DOWN!B7</f>
        <v/>
      </c>
    </row>
    <row r="3">
      <c r="A3" t="inlineStr">
        <is>
          <t>BasketFloating</t>
        </is>
      </c>
      <c r="B3">
        <f>SUM(Scenario_UP!H12:H211)</f>
        <v/>
      </c>
      <c r="C3">
        <f>SUM(Scenario_DOWN!H12:H211)</f>
        <v/>
      </c>
    </row>
    <row r="4">
      <c r="A4" t="inlineStr">
        <is>
          <t>GlobalReserveAfter</t>
        </is>
      </c>
      <c r="B4">
        <f>SectionCalculator_UP!B35</f>
        <v/>
      </c>
      <c r="C4">
        <f>SectionCalculator_DOWN!B35</f>
        <v/>
      </c>
    </row>
    <row r="5">
      <c r="A5" t="inlineStr">
        <is>
          <t>RecoveryFundAfterCycle</t>
        </is>
      </c>
      <c r="B5">
        <f>TailRecovery_UP!B7</f>
        <v/>
      </c>
      <c r="C5">
        <f>TailRecovery_DOWN!B7</f>
        <v/>
      </c>
    </row>
    <row r="6">
      <c r="A6" t="inlineStr">
        <is>
          <t>TailLotAfter</t>
        </is>
      </c>
      <c r="B6">
        <f>TailRecovery_UP!B14</f>
        <v/>
      </c>
      <c r="C6">
        <f>TailRecovery_DOWN!B14</f>
        <v/>
      </c>
    </row>
    <row r="7">
      <c r="A7" t="inlineStr">
        <is>
          <t>CloseLot</t>
        </is>
      </c>
      <c r="B7">
        <f>TailRecovery_UP!B10</f>
        <v/>
      </c>
      <c r="C7">
        <f>TailRecovery_DOWN!B10</f>
        <v/>
      </c>
    </row>
    <row r="8">
      <c r="A8" t="inlineStr">
        <is>
          <t>CanCloseSection</t>
        </is>
      </c>
      <c r="B8">
        <f>SectionCalculator_UP!B32</f>
        <v/>
      </c>
      <c r="C8">
        <f>SectionCalculator_DOWN!B32</f>
        <v/>
      </c>
    </row>
    <row r="9">
      <c r="A9" t="inlineStr">
        <is>
          <t>CanCloseTail</t>
        </is>
      </c>
      <c r="B9">
        <f>TailRecovery_UP!B11</f>
        <v/>
      </c>
      <c r="C9">
        <f>TailRecovery_DOWN!B11</f>
        <v/>
      </c>
    </row>
    <row r="10">
      <c r="A10" t="inlineStr">
        <is>
          <t>CanCloseBasket</t>
        </is>
      </c>
      <c r="B10">
        <f>IF(B3+B4&gt;=Settings!$B$11,"YES","NO")</f>
        <v/>
      </c>
      <c r="C10">
        <f>IF(C3+C4&gt;=Settings!$B$11,"YES","NO")</f>
        <v/>
      </c>
    </row>
    <row r="11">
      <c r="A11" t="inlineStr">
        <is>
          <t>NextBigLot</t>
        </is>
      </c>
      <c r="B11">
        <f>TailRecovery_UP!B16</f>
        <v/>
      </c>
      <c r="C11">
        <f>TailRecovery_DOWN!B16</f>
        <v/>
      </c>
    </row>
    <row r="12">
      <c r="A12" t="inlineStr">
        <is>
          <t>NextSmallLot</t>
        </is>
      </c>
      <c r="B12">
        <f>TailRecovery_UP!B17</f>
        <v/>
      </c>
      <c r="C12">
        <f>TailRecovery_DOWN!B17</f>
        <v/>
      </c>
    </row>
    <row r="13">
      <c r="A13" t="inlineStr">
        <is>
          <t>NextAction</t>
        </is>
      </c>
      <c r="B13">
        <f>IF(B10="YES","BASKET_CLOSE",IF(B8="NO","WAIT",IF(B9="YES","CLOSE_SECTION+CLOSE_TAIL","SAFE")))</f>
        <v/>
      </c>
      <c r="C13">
        <f>IF(C10="YES","BASKET_CLOSE",IF(C8="NO","WAIT",IF(C9="YES","CLOSE_SECTION+CLOSE_TAIL","SAFE")))</f>
        <v/>
      </c>
    </row>
    <row r="14">
      <c r="A14" t="inlineStr">
        <is>
          <t>HumanReadableAction</t>
        </is>
      </c>
      <c r="B14">
        <f>ScenarioText_UP!B31</f>
        <v/>
      </c>
      <c r="C14">
        <f>ScenarioText_DOWN!B31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UP</t>
        </is>
      </c>
      <c r="C1" s="1" t="inlineStr">
        <is>
          <t>DOWN</t>
        </is>
      </c>
    </row>
    <row r="2">
      <c r="A2" t="inlineStr">
        <is>
          <t>CycleProfit &gt; 0 before close section</t>
        </is>
      </c>
      <c r="B2">
        <f>IF(OR(SectionCalculator_UP!B31&gt;0,SectionCalculator_UP!B32="NO"),"OK","ERROR")</f>
        <v/>
      </c>
      <c r="C2">
        <f>IF(OR(SectionCalculator_DOWN!B31&gt;0,SectionCalculator_DOWN!B32="NO"),"OK","ERROR")</f>
        <v/>
      </c>
    </row>
    <row r="3">
      <c r="A3" t="inlineStr">
        <is>
          <t>CloseLot = 0 if CanCloseSection=NO</t>
        </is>
      </c>
      <c r="B3">
        <f>IF(OR(SectionCalculator_UP!B32="YES",TailRecovery_UP!B10=0),"OK","ERROR")</f>
        <v/>
      </c>
      <c r="C3">
        <f>IF(OR(SectionCalculator_DOWN!B32="YES",TailRecovery_DOWN!B10=0),"OK","ERROR")</f>
        <v/>
      </c>
    </row>
    <row r="4">
      <c r="A4" t="inlineStr">
        <is>
          <t>TailCloseLoss &lt;= RecoveryFundAfterCycle</t>
        </is>
      </c>
      <c r="B4">
        <f>IF(TailRecovery_UP!B12&lt;=TailRecovery_UP!B7,"OK","ERROR")</f>
        <v/>
      </c>
      <c r="C4">
        <f>IF(TailRecovery_DOWN!B12&lt;=TailRecovery_DOWN!B7,"OK","ERROR")</f>
        <v/>
      </c>
    </row>
    <row r="5">
      <c r="A5" t="inlineStr">
        <is>
          <t>LevelReached before open section</t>
        </is>
      </c>
      <c r="B5">
        <f>IF(SectionCalculator_UP!B12="YES","OK",IF(SectionCalculator_UP!B14="NO","BLOCKED","ERROR"))</f>
        <v/>
      </c>
      <c r="C5">
        <f>IF(SectionCalculator_DOWN!B12="YES","OK",IF(SectionCalculator_DOWN!B14="NO","BLOCKED","ERROR"))</f>
        <v/>
      </c>
    </row>
    <row r="6">
      <c r="A6" t="inlineStr">
        <is>
          <t>No opposite cascade active</t>
        </is>
      </c>
      <c r="B6">
        <f>IF(SectionCalculator_UP!B13="YES","OK","BLOCKED")</f>
        <v/>
      </c>
      <c r="C6">
        <f>IF(SectionCalculator_DOWN!B13="YES","OK","BLOCKED")</f>
        <v/>
      </c>
    </row>
    <row r="7">
      <c r="A7" t="inlineStr">
        <is>
          <t>Tail exists when loss exists</t>
        </is>
      </c>
      <c r="B7">
        <f>IF(AND(COUNTIFS(Scenario_UP!B12:B211,"SELL",Scenario_UP!H12:H211,"&lt;0")&gt;0,Scenario_UP!B222="N/A"),"ERROR","OK")</f>
        <v/>
      </c>
      <c r="C7">
        <f>IF(AND(COUNTIFS(Scenario_DOWN!B12:B211,"BUY",Scenario_DOWN!H12:H211,"&lt;0")&gt;0,Scenario_DOWN!B222="N/A"),"ERROR","OK")</f>
        <v/>
      </c>
    </row>
    <row r="8">
      <c r="A8" t="inlineStr">
        <is>
          <t>ScenarioText action equals BasketSummary action</t>
        </is>
      </c>
      <c r="B8">
        <f>IF(OR(AND(BasketSummary!B13="BASKET_CLOSE",ScenarioText_UP!B31="ЗАКРЫТЬ ВСЮ КОРЗИНУ"),BasketSummary!B13&lt;&gt;"BASKET_CLOSE"),"OK","ERROR")</f>
        <v/>
      </c>
      <c r="C8">
        <f>IF(OR(AND(BasketSummary!C13="BASKET_CLOSE",ScenarioText_DOWN!B31="ЗАКРЫТЬ ВСЮ КОРЗИНУ"),BasketSummary!C13&lt;&gt;"BASKET_CLOSE"),"OK","ERROR")</f>
        <v/>
      </c>
    </row>
    <row r="9">
      <c r="A9" t="inlineStr">
        <is>
          <t>NextTriggerLevel is numeric</t>
        </is>
      </c>
      <c r="B9">
        <f>IF(OR(ISNUMBER(ScenarioText_UP!B9),ScenarioText_UP!B9="Уровень не рассчитан"),"OK","ERROR")</f>
        <v/>
      </c>
      <c r="C9">
        <f>IF(OR(ISNUMBER(ScenarioText_DOWN!B9),ScenarioText_DOWN!B9="Уровень не рассчитан"),"OK","ERROR")</f>
        <v/>
      </c>
    </row>
    <row r="10">
      <c r="A10" t="inlineStr">
        <is>
          <t>DistancePoints is numeric</t>
        </is>
      </c>
      <c r="B10">
        <f>IF(OR(ISNUMBER(ScenarioText_UP!B10),ScenarioText_UP!B10="Расстояние не рассчитано"),"OK","ERROR")</f>
        <v/>
      </c>
      <c r="C10">
        <f>IF(OR(ISNUMBER(ScenarioText_DOWN!B10),ScenarioText_DOWN!B10="Расстояние не рассчитано"),"OK","ERROR")</f>
        <v/>
      </c>
    </row>
    <row r="11">
      <c r="A11" t="inlineStr">
        <is>
          <t>ScenarioMid is numeric</t>
        </is>
      </c>
      <c r="B11">
        <f>IF(ISNUMBER(ScenarioText_UP!B7),"OK","ERROR")</f>
        <v/>
      </c>
      <c r="C11">
        <f>IF(ISNUMBER(ScenarioText_DOWN!B7),"OK","ERROR")</f>
        <v/>
      </c>
    </row>
    <row r="12">
      <c r="A12" t="inlineStr">
        <is>
          <t>ScenarioSpread is numeric</t>
        </is>
      </c>
      <c r="B12">
        <f>IF(ISNUMBER(ScenarioText_UP!B8),"OK","ERROR")</f>
        <v/>
      </c>
      <c r="C12">
        <f>IF(ISNUMBER(ScenarioText_DOWN!B8),"OK","ERROR")</f>
        <v/>
      </c>
    </row>
    <row r="13">
      <c r="A13" t="inlineStr">
        <is>
          <t>ScenarioSpread bounds</t>
        </is>
      </c>
      <c r="B13">
        <f>IF(AND(ScenarioText_UP!B8&gt;0,ScenarioText_UP!B8&lt;1000),"OK","ERROR")</f>
        <v/>
      </c>
      <c r="C13">
        <f>IF(AND(ScenarioText_DOWN!B8&gt;0,ScenarioText_DOWN!B8&lt;1000),"OK","ERROR")</f>
        <v/>
      </c>
    </row>
    <row r="14">
      <c r="A14" t="inlineStr">
        <is>
          <t>Scenario_* B8 not empty</t>
        </is>
      </c>
      <c r="B14">
        <f>IF(Scenario_UP!B8&lt;&gt;"","OK","ERROR")</f>
        <v/>
      </c>
      <c r="C14">
        <f>IF(Scenario_DOWN!B8&lt;&gt;"","OK","ERROR")</f>
        <v/>
      </c>
    </row>
    <row r="15">
      <c r="A15" t="inlineStr">
        <is>
          <t>No legacy single-price wording</t>
        </is>
      </c>
      <c r="B15">
        <f>IF(ISERROR(SEARCH("Сценарная цена",ScenarioText_UP!B46)),"OK","ERROR")</f>
        <v/>
      </c>
      <c r="C15">
        <f>IF(ISERROR(SEARCH("Сценарная цена",ScenarioText_DOWN!B46)),"OK","ERROR")</f>
        <v/>
      </c>
    </row>
    <row r="16">
      <c r="A16" t="inlineStr">
        <is>
          <t>ScenarioText B9!=B5</t>
        </is>
      </c>
      <c r="B16">
        <f>IF(ScenarioText_UP!B9&lt;&gt;ScenarioText_UP!B5,"OK","ERROR")</f>
        <v/>
      </c>
      <c r="C16">
        <f>IF(ScenarioText_DOWN!B9&lt;&gt;ScenarioText_DOWN!B5,"OK","ERROR")</f>
        <v/>
      </c>
    </row>
    <row r="17">
      <c r="A17" t="inlineStr">
        <is>
          <t>ScenarioText B10!=B6</t>
        </is>
      </c>
      <c r="B17">
        <f>IF(ScenarioText_UP!B10&lt;&gt;ScenarioText_UP!B6,"OK","ERROR")</f>
        <v/>
      </c>
      <c r="C17">
        <f>IF(ScenarioText_DOWN!B10&lt;&gt;ScenarioText_DOWN!B6,"OK","ERROR")</f>
        <v/>
      </c>
    </row>
    <row r="18">
      <c r="A18" t="inlineStr">
        <is>
          <t>HumanReadableAction not empty</t>
        </is>
      </c>
      <c r="B18">
        <f>IF(AND(ScenarioText_UP!B31&lt;&gt;"",ISNUMBER(ScenarioText_UP!B4)),"OK","ERROR")</f>
        <v/>
      </c>
      <c r="C18">
        <f>IF(AND(ScenarioText_DOWN!B31&lt;&gt;"",ISNUMBER(ScenarioText_DOWN!B4)),"OK","ERROR")</f>
        <v/>
      </c>
    </row>
    <row r="19">
      <c r="A19" t="inlineStr">
        <is>
          <t>ReserveAdd mapping sync</t>
        </is>
      </c>
      <c r="B19">
        <f>IF(ScenarioText_UP!B19=SectionCalculator_UP!B33,"OK","ERROR")</f>
        <v/>
      </c>
      <c r="C19">
        <f>IF(ScenarioText_DOWN!B19=SectionCalculator_DOWN!B33,"OK","ERROR")</f>
        <v/>
      </c>
    </row>
    <row r="20">
      <c r="A20" t="inlineStr">
        <is>
          <t>RecoveryAdd mapping sync</t>
        </is>
      </c>
      <c r="B20">
        <f>IF(ScenarioText_UP!B20=SectionCalculator_UP!B34,"OK","ERROR")</f>
        <v/>
      </c>
      <c r="C20">
        <f>IF(ScenarioText_DOWN!B20=SectionCalculator_DOWN!B34,"OK","ERROR")</f>
        <v/>
      </c>
    </row>
    <row r="21">
      <c r="A21" t="inlineStr">
        <is>
          <t>TailTicket not mapped as lot</t>
        </is>
      </c>
      <c r="B21">
        <f>IF(AND(ISNUMBER(ScenarioText_UP!B24),ScenarioText_UP!B24&gt;1000,ISNUMBER(ScenarioText_UP!B25),ScenarioText_UP!B25&gt;100),"ERROR","OK")</f>
        <v/>
      </c>
      <c r="C21">
        <f>IF(AND(ISNUMBER(ScenarioText_DOWN!B24),ScenarioText_DOWN!B24&gt;1000,ISNUMBER(ScenarioText_DOWN!B25),ScenarioText_DOWN!B25&gt;100),"ERROR","OK")</f>
        <v/>
      </c>
    </row>
    <row r="22">
      <c r="A22" t="inlineStr">
        <is>
          <t>Tail lot reasonable</t>
        </is>
      </c>
      <c r="B22">
        <f>IF(AND(ISNUMBER(ScenarioText_UP!B25),ScenarioText_UP!B25&gt;100),"ERROR","OK")</f>
        <v/>
      </c>
      <c r="C22">
        <f>IF(AND(ISNUMBER(ScenarioText_DOWN!B25),ScenarioText_DOWN!B25&gt;100),"ERROR","OK")</f>
        <v/>
      </c>
    </row>
    <row r="23">
      <c r="A23" t="inlineStr">
        <is>
          <t>Tail остаток &lt;= исходного</t>
        </is>
      </c>
      <c r="B23">
        <f>IF(AND(ISNUMBER(ScenarioText_UP!B37),ISNUMBER(ScenarioText_UP!B25),ScenarioText_UP!B37&gt;ScenarioText_UP!B25),"ERROR","OK")</f>
        <v/>
      </c>
      <c r="C23">
        <f>IF(AND(ISNUMBER(ScenarioText_DOWN!B37),ISNUMBER(ScenarioText_DOWN!B25),ScenarioText_DOWN!B37&gt;ScenarioText_DOWN!B25),"ERROR","OK")</f>
        <v/>
      </c>
    </row>
    <row r="24">
      <c r="A24" t="inlineStr">
        <is>
          <t>RecoveryFundAfter &gt;= 0</t>
        </is>
      </c>
      <c r="B24">
        <f>IF(TailRecovery_UP!B13&lt;0,"ERROR","OK")</f>
        <v/>
      </c>
      <c r="C24">
        <f>IF(TailRecovery_DOWN!B13&lt;0,"ERROR","OK")</f>
        <v/>
      </c>
    </row>
    <row r="25">
      <c r="A25" t="inlineStr">
        <is>
          <t>CloseLotFinal &lt;= TailLot</t>
        </is>
      </c>
      <c r="B25">
        <f>IF(TailRecovery_UP!B10&gt;TailRecovery_UP!B4,"ERROR","OK")</f>
        <v/>
      </c>
      <c r="C25">
        <f>IF(TailRecovery_DOWN!B10&gt;TailRecovery_DOWN!B4,"ERROR","OK")</f>
        <v/>
      </c>
    </row>
    <row r="26">
      <c r="A26" t="inlineStr">
        <is>
          <t>TailLotAfter &gt;= 0</t>
        </is>
      </c>
      <c r="B26">
        <f>IF(TailRecovery_UP!B14&lt;0,"ERROR","OK")</f>
        <v/>
      </c>
      <c r="C26">
        <f>IF(TailRecovery_DOWN!B14&lt;0,"ERROR","OK")</f>
        <v/>
      </c>
    </row>
    <row r="27">
      <c r="A27" t="inlineStr">
        <is>
          <t>ScenarioText SAFE not empty</t>
        </is>
      </c>
      <c r="B27">
        <f>IF(ScenarioText_UP!B38&lt;&gt;"","OK","ERROR")</f>
        <v/>
      </c>
      <c r="C27">
        <f>IF(ScenarioText_DOWN!B38&lt;&gt;"","OK","ERROR")</f>
        <v/>
      </c>
    </row>
    <row r="28">
      <c r="A28" t="inlineStr">
        <is>
          <t>ScenarioText SAFE equals Log SAFE</t>
        </is>
      </c>
      <c r="B28">
        <f>IF(ScenarioText_UP!B38=Log!K2,"OK","ERROR")</f>
        <v/>
      </c>
      <c r="C28">
        <f>IF(ScenarioText_DOWN!B38=Log!K3,"OK","ERROR")</f>
        <v/>
      </c>
    </row>
    <row r="29">
      <c r="A29" t="inlineStr">
        <is>
          <t>Detailed recommendation block not empty</t>
        </is>
      </c>
      <c r="B29">
        <f>IF(AND(ScenarioText_UP!A39&lt;&gt;"",ScenarioText_UP!A39&lt;&gt;0),"OK","ERROR")</f>
        <v/>
      </c>
      <c r="C29">
        <f>IF(AND(ScenarioText_DOWN!A39&lt;&gt;"",ScenarioText_DOWN!A39&lt;&gt;0),"OK","ERROR")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</t>
        </is>
      </c>
      <c r="B1" s="1" t="inlineStr">
        <is>
          <t>Направление</t>
        </is>
      </c>
      <c r="C1" s="1" t="inlineStr">
        <is>
          <t>Сценарий</t>
        </is>
      </c>
      <c r="D1" s="1" t="inlineStr">
        <is>
          <t>Действие</t>
        </is>
      </c>
      <c r="E1" s="1" t="inlineStr">
        <is>
          <t>Хвост до закрытия</t>
        </is>
      </c>
      <c r="F1" s="1" t="inlineStr">
        <is>
          <t>Закрываемый лот хвоста</t>
        </is>
      </c>
      <c r="G1" s="1" t="inlineStr">
        <is>
          <t>Хвост после закрытия</t>
        </is>
      </c>
      <c r="H1" s="1" t="inlineStr">
        <is>
          <t>RecoveryFund до</t>
        </is>
      </c>
      <c r="I1" s="1" t="inlineStr">
        <is>
          <t>RecoveryFund после</t>
        </is>
      </c>
      <c r="J1" s="1" t="inlineStr">
        <is>
          <t>Резерв после</t>
        </is>
      </c>
      <c r="K1" s="1" t="inlineStr">
        <is>
          <t>SAFE</t>
        </is>
      </c>
    </row>
    <row r="2">
      <c r="A2">
        <f>NOW()</f>
        <v/>
      </c>
      <c r="B2" t="inlineStr">
        <is>
          <t>ВВЕРХ</t>
        </is>
      </c>
      <c r="C2" t="inlineStr">
        <is>
          <t>ScenarioText_UP</t>
        </is>
      </c>
      <c r="D2">
        <f>IF(BasketSummary!B13="WAIT","ЖДАТЬ",IF(BasketSummary!B13="SAFE","SAFE",IF(BasketSummary!B13="BASKET_CLOSE","ЗАКРЫТЬ ВСЮ КОРЗИНУ",IF(AND(TailRecovery_UP!B10&gt;0,TailRecovery_UP!B10&lt;TailRecovery_UP!B4),"ЗАКРЫТЬ ХВОСТ ЧАСТИЧНО","ЗАКРЫТЬ СЕКЦИЮ"))))</f>
        <v/>
      </c>
      <c r="E2">
        <f>IFERROR(TailRecovery_UP!B4,0)</f>
        <v/>
      </c>
      <c r="F2">
        <f>IFERROR(TailRecovery_UP!B10,0)</f>
        <v/>
      </c>
      <c r="G2">
        <f>IFERROR(TailRecovery_UP!B14,0)</f>
        <v/>
      </c>
      <c r="H2">
        <f>IFERROR(TailRecovery_UP!B7,0)</f>
        <v/>
      </c>
      <c r="I2">
        <f>IFERROR(TailRecovery_UP!B13,0)</f>
        <v/>
      </c>
      <c r="J2">
        <f>IFERROR(SectionCalculator_UP!B35,0)</f>
        <v/>
      </c>
      <c r="K2">
        <f>IF(BasketSummary!B13="SAFE","ДА","НЕТ")</f>
        <v/>
      </c>
    </row>
    <row r="3">
      <c r="A3">
        <f>NOW()</f>
        <v/>
      </c>
      <c r="B3" t="inlineStr">
        <is>
          <t>ВНИЗ</t>
        </is>
      </c>
      <c r="C3" t="inlineStr">
        <is>
          <t>ScenarioText_DOWN</t>
        </is>
      </c>
      <c r="D3">
        <f>IF(BasketSummary!C13="WAIT","ЖДАТЬ",IF(BasketSummary!C13="SAFE","SAFE",IF(BasketSummary!C13="BASKET_CLOSE","ЗАКРЫТЬ ВСЮ КОРЗИНУ",IF(AND(TailRecovery_DOWN!B10&gt;0,TailRecovery_DOWN!B10&lt;TailRecovery_DOWN!B4),"ЗАКРЫТЬ ХВОСТ ЧАСТИЧНО","ЗАКРЫТЬ СЕКЦИЮ"))))</f>
        <v/>
      </c>
      <c r="E3">
        <f>IFERROR(TailRecovery_DOWN!B4,0)</f>
        <v/>
      </c>
      <c r="F3">
        <f>IFERROR(TailRecovery_DOWN!B10,0)</f>
        <v/>
      </c>
      <c r="G3">
        <f>IFERROR(TailRecovery_DOWN!B14,0)</f>
        <v/>
      </c>
      <c r="H3">
        <f>IFERROR(TailRecovery_DOWN!B7,0)</f>
        <v/>
      </c>
      <c r="I3">
        <f>IFERROR(TailRecovery_DOWN!B13,0)</f>
        <v/>
      </c>
      <c r="J3">
        <f>IFERROR(SectionCalculator_DOWN!B35,0)</f>
        <v/>
      </c>
      <c r="K3">
        <f>IF(BasketSummary!C13="SAFE","ДА","НЕТ")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Название сценария</t>
        </is>
      </c>
      <c r="B2">
        <f>"СЦЕНАРИЙ: ЦЕНА ИДЕТ ВВЕРХ"</f>
        <v/>
      </c>
    </row>
    <row r="3">
      <c r="A3" t="inlineStr">
        <is>
          <t>Текущий Bid</t>
        </is>
      </c>
      <c r="B3" s="2">
        <f>IFERROR(Scenario_UP!B2,0)</f>
        <v/>
      </c>
    </row>
    <row r="4">
      <c r="A4" t="inlineStr">
        <is>
          <t>Текущий Ask</t>
        </is>
      </c>
      <c r="B4" s="2">
        <f>IFERROR(Scenario_UP!B3,0)</f>
        <v/>
      </c>
    </row>
    <row r="5">
      <c r="A5" t="inlineStr">
        <is>
          <t>Сценарный Bid</t>
        </is>
      </c>
      <c r="B5" s="2">
        <f>IFERROR(Scenario_UP!B5,0)</f>
        <v/>
      </c>
    </row>
    <row r="6">
      <c r="A6" t="inlineStr">
        <is>
          <t>Сценарный Ask</t>
        </is>
      </c>
      <c r="B6" s="3">
        <f>IFERROR(Scenario_UP!B6,0)</f>
        <v/>
      </c>
    </row>
    <row r="7">
      <c r="A7" t="inlineStr">
        <is>
          <t>Сценарный Mid</t>
        </is>
      </c>
      <c r="B7">
        <f>IFERROR(Scenario_UP!B7,0)</f>
        <v/>
      </c>
    </row>
    <row r="8">
      <c r="A8" t="inlineStr">
        <is>
          <t>Сценарный Spread</t>
        </is>
      </c>
      <c r="B8" s="3">
        <f>IFERROR(Scenario_UP!B8,0)</f>
        <v/>
      </c>
    </row>
    <row r="9">
      <c r="A9" t="inlineStr">
        <is>
          <t>Следующий уровень открытия</t>
        </is>
      </c>
      <c r="B9">
        <f>IFERROR(IF(SectionCalculator_UP!B4=1,Scenario_UP!N4,IF(SectionCalculator_UP!B4=2,Scenario_UP!N5,IF(SectionCalculator_UP!B4=3,Scenario_UP!N6,IF(SectionCalculator_UP!B4=4,Scenario_UP!N7,"Уровень не рассчитан")))),"Уровень не рассчитан")</f>
        <v/>
      </c>
    </row>
    <row r="10">
      <c r="A10" t="inlineStr">
        <is>
          <t>Расстояние до уровня, пунктов</t>
        </is>
      </c>
      <c r="B10">
        <f>IF(OR(B9="Уровень не рассчитан",B7=""),"Расстояние не рассчитано",ROUND(ABS(B9-B7)/Settings!$B$3,0))</f>
        <v/>
      </c>
    </row>
    <row r="11">
      <c r="A11" t="inlineStr">
        <is>
          <t>Большая позиция</t>
        </is>
      </c>
      <c r="B11">
        <f>IFERROR(IF(TailRecovery_UP!B16&gt;0,IF("UP"="UP","SELL ","BUY ")&amp;TEXT(TailRecovery_UP!B16,"0.00"),"Не открывать"),"Не открывать")</f>
        <v/>
      </c>
    </row>
    <row r="12">
      <c r="A12" t="inlineStr">
        <is>
          <t>Малая защитная позиция</t>
        </is>
      </c>
      <c r="B12">
        <f>IFERROR(IF(TailRecovery_UP!B17&gt;0,IF("UP"="UP","BUY ","SELL ")&amp;TEXT(TailRecovery_UP!B17,"0.00"),"Не открывать"),"Не открывать")</f>
        <v/>
      </c>
    </row>
    <row r="13">
      <c r="A13" t="inlineStr">
        <is>
          <t>Уровень секции</t>
        </is>
      </c>
      <c r="B13">
        <f>IFERROR(SectionCalculator_UP!B4,0)</f>
        <v/>
      </c>
    </row>
    <row r="14">
      <c r="A14" t="inlineStr">
        <is>
          <t>Нет встречного каскада</t>
        </is>
      </c>
      <c r="B14">
        <f>IF(SectionCalculator_UP!B13="YES","ДА","НЕТ")</f>
        <v/>
      </c>
    </row>
    <row r="15">
      <c r="A15" t="inlineStr">
        <is>
          <t>Можно закрыть секцию</t>
        </is>
      </c>
      <c r="B15">
        <f>IF(SectionCalculator_UP!B32="YES","ДА","НЕТ")</f>
        <v/>
      </c>
    </row>
    <row r="16">
      <c r="A16" t="inlineStr">
        <is>
          <t>Можно закрыть хвост</t>
        </is>
      </c>
      <c r="B16">
        <f>IF(TailRecovery_UP!B11="YES","ДА","НЕТ")</f>
        <v/>
      </c>
    </row>
    <row r="18">
      <c r="A18" t="inlineStr">
        <is>
          <t>Прибыль цикла</t>
        </is>
      </c>
      <c r="B18">
        <f>IFERROR(SectionCalculator_UP!B31,0)</f>
        <v/>
      </c>
    </row>
    <row r="19">
      <c r="A19" t="inlineStr">
        <is>
          <t>Добавить в резерв</t>
        </is>
      </c>
      <c r="B19">
        <f>IFERROR(SectionCalculator_UP!B33,0)</f>
        <v/>
      </c>
    </row>
    <row r="20">
      <c r="A20" t="inlineStr">
        <is>
          <t>Добавить в RecoveryFund</t>
        </is>
      </c>
      <c r="B20">
        <f>IFERROR(SectionCalculator_UP!B34,0)</f>
        <v/>
      </c>
    </row>
    <row r="21">
      <c r="A21" t="inlineStr">
        <is>
          <t>Резерв после</t>
        </is>
      </c>
      <c r="B21">
        <f>IFERROR(SectionCalculator_UP!B35,0)</f>
        <v/>
      </c>
    </row>
    <row r="22">
      <c r="A22" t="inlineStr">
        <is>
          <t>RecoveryFund после цикла</t>
        </is>
      </c>
      <c r="B22">
        <f>IFERROR(SectionCalculator_UP!B36,0)</f>
        <v/>
      </c>
    </row>
    <row r="23">
      <c r="A23" t="inlineStr">
        <is>
          <t>Тип хвоста</t>
        </is>
      </c>
      <c r="B23">
        <f>IF(OR(TailRecovery_UP!B2="",TailRecovery_UP!B2="N/A"),"Хвост не найден",TailRecovery_UP!B2)</f>
        <v/>
      </c>
    </row>
    <row r="24">
      <c r="A24" t="inlineStr">
        <is>
          <t>Тикет хвоста</t>
        </is>
      </c>
      <c r="B24">
        <f>IFERROR(TailRecovery_UP!B3,"N/A")</f>
        <v/>
      </c>
    </row>
    <row r="25">
      <c r="A25" t="inlineStr">
        <is>
          <t>Лот хвоста</t>
        </is>
      </c>
      <c r="B25" s="4">
        <f>IFERROR(IF(TailRecovery_UP!B4&gt;0,TailRecovery_UP!B4,"Хвост не найден"),"Хвост не найден")</f>
        <v/>
      </c>
    </row>
    <row r="26">
      <c r="A26" t="inlineStr">
        <is>
          <t>Убыток хвоста на 1 лот</t>
        </is>
      </c>
      <c r="B26">
        <f>IFERROR(TailRecovery_UP!B5,0)</f>
        <v/>
      </c>
    </row>
    <row r="27">
      <c r="A27" t="inlineStr">
        <is>
          <t>RecoveryFund до закрытия</t>
        </is>
      </c>
      <c r="B27">
        <f>IFERROR(TailRecovery_UP!B7,0)</f>
        <v/>
      </c>
    </row>
    <row r="28">
      <c r="A28" t="inlineStr">
        <is>
          <t>Расчётный лот закрытия</t>
        </is>
      </c>
      <c r="B28" s="4">
        <f>IFERROR(TailRecovery_UP!B8,0)</f>
        <v/>
      </c>
    </row>
    <row r="29">
      <c r="A29" t="inlineStr">
        <is>
          <t>Округлённый лот закрытия</t>
        </is>
      </c>
      <c r="B29" s="4">
        <f>IFERROR(TailRecovery_UP!B9,0)</f>
        <v/>
      </c>
    </row>
    <row r="30">
      <c r="A30" t="inlineStr">
        <is>
          <t>Итоговый лот закрытия</t>
        </is>
      </c>
      <c r="B30" s="4">
        <f>IFERROR(TailRecovery_UP!B10,0)</f>
        <v/>
      </c>
    </row>
    <row r="31">
      <c r="A31" t="inlineStr">
        <is>
          <t>HumanReadableAction</t>
        </is>
      </c>
      <c r="B31">
        <f>IF(BasketSummary!B13="BASKET_CLOSE","ЗАКРЫТЬ ВСЮ КОРЗИНУ",IF(BasketSummary!B13="CLOSE_SECTION+CLOSE_TAIL","ЗАКРЫТЬ СЕКЦИЮ + ЗАКРЫТЬ ХВОСТ",IF(BasketSummary!B13="CLOSE_SECTION","ЗАКРЫТЬ СЕКЦИЮ",IF(BasketSummary!B13="OPEN_SECTION","ОТКРЫТЬ СЕКЦИЮ",IF(BasketSummary!B13="SAFE","SAFE",IF(BasketSummary!B13="WAIT","ЖДАТЬ","BLOCKED"))))))</f>
        <v/>
      </c>
    </row>
    <row r="34">
      <c r="A34" t="inlineStr">
        <is>
          <t>Разрешено закрытие хвоста</t>
        </is>
      </c>
      <c r="B34">
        <f>IF(TailRecovery_UP!B11="YES","ДА","НЕТ")</f>
        <v/>
      </c>
    </row>
    <row r="35">
      <c r="A35" t="inlineStr">
        <is>
          <t>Убыток закрываемой части</t>
        </is>
      </c>
      <c r="B35" s="4">
        <f>IFERROR(TailRecovery_UP!B12,0)</f>
        <v/>
      </c>
    </row>
    <row r="36">
      <c r="A36" t="inlineStr">
        <is>
          <t>RecoveryFund после закрытия</t>
        </is>
      </c>
      <c r="B36" s="4">
        <f>IFERROR(TailRecovery_UP!B13,0)</f>
        <v/>
      </c>
    </row>
    <row r="37">
      <c r="A37" t="inlineStr">
        <is>
          <t>Остаток хвоста</t>
        </is>
      </c>
      <c r="B37" s="4">
        <f>IFERROR(TailRecovery_UP!B14,0)</f>
        <v/>
      </c>
    </row>
    <row r="38">
      <c r="A38" t="inlineStr">
        <is>
          <t>SAFE</t>
        </is>
      </c>
      <c r="B38">
        <f>IF(BasketSummary!B13="SAFE","ДА","НЕТ")</f>
        <v/>
      </c>
    </row>
    <row r="39">
      <c r="A39" s="5">
        <f>"ПОДРОБНАЯ РЕКОМЕНДАЦИЯ"&amp;CHAR(10)&amp;CHAR(10)&amp;"Сценарий: цена идет вверх."&amp;CHAR(10)&amp;"Текущий Bid: "&amp;TEXT(B3,"0.00000")&amp;CHAR(10)&amp;"Текущий Ask: "&amp;TEXT(B4,"0.00000")&amp;CHAR(10)&amp;"Сценарный Bid: "&amp;TEXT(B5,"0.00000")&amp;CHAR(10)&amp;"Сценарный Ask: "&amp;TEXT(B6,"0.00000")&amp;CHAR(10)&amp;"Сценарный Mid: "&amp;TEXT(B7,"0.00000")&amp;CHAR(10)&amp;"Spread: "&amp;TEXT(B8,"0")&amp;" пунктов"&amp;CHAR(10)&amp;"Следующий уровень: "&amp;IF(ISNUMBER(B9),TEXT(B9,"0.00000"),B9)&amp;CHAR(10)&amp;"Расстояние до уровня: "&amp;IF(ISNUMBER(B10),TEXT(B10,"0")&amp;" пунктов",B10)&amp;CHAR(10)&amp;CHAR(10)&amp;"Рекомендация по секции: "&amp;B11&amp;" / "&amp;B12&amp;CHAR(10)&amp;"Можно открыть секцию: "&amp;IF(SectionCalculator_UP!B14="YES","ДА","НЕТ")&amp;CHAR(10)&amp;"Можно закрыть секцию: "&amp;B15&amp;CHAR(10)&amp;"Можно закрыть хвост: "&amp;B16&amp;CHAR(10)&amp;CHAR(10)&amp;"Тип хвоста: "&amp;B23&amp;CHAR(10)&amp;"Тикет хвоста: "&amp;IF(ISNUMBER(B24),TEXT(B24,"0"),B24)&amp;CHAR(10)&amp;"Лот хвоста до закрытия: "&amp;IF(ISNUMBER(B25),TEXT(B25,"0.00"),B25)&amp;CHAR(10)&amp;"Итоговый лот закрытия: "&amp;IF(ISNUMBER(B30),TEXT(B30,"0.00"),"0.00")&amp;CHAR(10)&amp;"Остаток хвоста после закрытия: "&amp;TEXT(TailRecovery_UP!B14,"0.00")&amp;CHAR(10)&amp;CHAR(10)&amp;"RecoveryFund после: "&amp;TEXT(TailRecovery_UP!B13,"0.00")&amp;CHAR(10)&amp;"ДЕЙСТВИЕ: "&amp;B31&amp;CHAR(10)&amp;"Если открывать секцию: "&amp;B11&amp;" / "&amp;B12&amp;CHAR(10)&amp;"Если закрывать хвост: тип="&amp;B23&amp;", тикет="&amp;IF(ISNUMBER(B24),TEXT(B24,"0"),B24)&amp;", до="&amp;IF(ISNUMBER(B25),TEXT(B25,"0.00"),B25)&amp;", закрыть="&amp;TEXT(B30,"0.00")&amp;", остаток="&amp;TEXT(TailRecovery_UP!B14,"0.00")&amp;CHAR(10)&amp;"Добавить в резерв: "&amp;TEXT(B19,"0.00")&amp;"; Добавить в RecoveryFund: "&amp;TEXT(B20,"0.00")&amp;CHAR(10)&amp;"Резерв после: "&amp;TEXT(B21,"0.00")&amp;"; RecoveryFund после цикла: "&amp;TEXT(B22,"0.00")&amp;CHAR(10)&amp;"RecoveryFund до/после закрытия хвоста: "&amp;TEXT(B27,"0.00")&amp;" / "&amp;TEXT(TailRecovery_UP!B13,"0.00")&amp;CHAR(10)&amp;"SAFE: "&amp;B38&amp;CHAR(10)&amp;"ИТОГОВОЕ ДЕЙСТВИЕ: "&amp;B31</f>
        <v/>
      </c>
    </row>
    <row r="40"/>
    <row r="41"/>
    <row r="42"/>
    <row r="43"/>
    <row r="44"/>
    <row r="45"/>
    <row r="46"/>
    <row r="47"/>
    <row r="48"/>
    <row r="49"/>
    <row r="50"/>
    <row r="51"/>
    <row r="52"/>
  </sheetData>
  <mergeCells count="1">
    <mergeCell ref="A39:H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Название сценария</t>
        </is>
      </c>
      <c r="B2">
        <f>"СЦЕНАРИЙ: ЦЕНА ИДЕТ ВНИЗ"</f>
        <v/>
      </c>
    </row>
    <row r="3">
      <c r="A3" t="inlineStr">
        <is>
          <t>Текущий Bid</t>
        </is>
      </c>
      <c r="B3" s="2">
        <f>IFERROR(Scenario_DOWN!B2,0)</f>
        <v/>
      </c>
    </row>
    <row r="4">
      <c r="A4" t="inlineStr">
        <is>
          <t>Текущий Ask</t>
        </is>
      </c>
      <c r="B4" s="2">
        <f>IFERROR(Scenario_DOWN!B3,0)</f>
        <v/>
      </c>
    </row>
    <row r="5">
      <c r="A5" t="inlineStr">
        <is>
          <t>Сценарный Bid</t>
        </is>
      </c>
      <c r="B5" s="2">
        <f>IFERROR(Scenario_DOWN!B5,0)</f>
        <v/>
      </c>
    </row>
    <row r="6">
      <c r="A6" t="inlineStr">
        <is>
          <t>Сценарный Ask</t>
        </is>
      </c>
      <c r="B6" s="3">
        <f>IFERROR(Scenario_DOWN!B6,0)</f>
        <v/>
      </c>
    </row>
    <row r="7">
      <c r="A7" t="inlineStr">
        <is>
          <t>Сценарный Mid</t>
        </is>
      </c>
      <c r="B7">
        <f>IFERROR(Scenario_DOWN!B7,0)</f>
        <v/>
      </c>
    </row>
    <row r="8">
      <c r="A8" t="inlineStr">
        <is>
          <t>Сценарный Spread</t>
        </is>
      </c>
      <c r="B8" s="3">
        <f>IFERROR(Scenario_DOWN!B8,0)</f>
        <v/>
      </c>
    </row>
    <row r="9">
      <c r="A9" t="inlineStr">
        <is>
          <t>Следующий уровень открытия</t>
        </is>
      </c>
      <c r="B9">
        <f>IFERROR(IF(SectionCalculator_DOWN!B4=1,Scenario_DOWN!N9,IF(SectionCalculator_DOWN!B4=2,Scenario_DOWN!N10,IF(SectionCalculator_DOWN!B4=3,Scenario_DOWN!N11,IF(SectionCalculator_DOWN!B4=4,Scenario_DOWN!N12,"Уровень не рассчитан")))),"Уровень не рассчитан")</f>
        <v/>
      </c>
    </row>
    <row r="10">
      <c r="A10" t="inlineStr">
        <is>
          <t>Расстояние до уровня, пунктов</t>
        </is>
      </c>
      <c r="B10">
        <f>IF(OR(B9="Уровень не рассчитан",B7=""),"Расстояние не рассчитано",ROUND(ABS(B9-B7)/Settings!$B$3,0))</f>
        <v/>
      </c>
    </row>
    <row r="11">
      <c r="A11" t="inlineStr">
        <is>
          <t>Большая позиция</t>
        </is>
      </c>
      <c r="B11">
        <f>IFERROR(IF(TailRecovery_DOWN!B16&gt;0,IF("DOWN"="UP","SELL ","BUY ")&amp;TEXT(TailRecovery_DOWN!B16,"0.00"),"Не открывать"),"Не открывать")</f>
        <v/>
      </c>
    </row>
    <row r="12">
      <c r="A12" t="inlineStr">
        <is>
          <t>Малая защитная позиция</t>
        </is>
      </c>
      <c r="B12">
        <f>IFERROR(IF(TailRecovery_DOWN!B17&gt;0,IF("DOWN"="UP","BUY ","SELL ")&amp;TEXT(TailRecovery_DOWN!B17,"0.00"),"Не открывать"),"Не открывать")</f>
        <v/>
      </c>
    </row>
    <row r="13">
      <c r="A13" t="inlineStr">
        <is>
          <t>Уровень секции</t>
        </is>
      </c>
      <c r="B13">
        <f>IFERROR(SectionCalculator_DOWN!B4,0)</f>
        <v/>
      </c>
    </row>
    <row r="14">
      <c r="A14" t="inlineStr">
        <is>
          <t>Нет встречного каскада</t>
        </is>
      </c>
      <c r="B14">
        <f>IF(SectionCalculator_DOWN!B13="YES","ДА","НЕТ")</f>
        <v/>
      </c>
    </row>
    <row r="15">
      <c r="A15" t="inlineStr">
        <is>
          <t>Можно закрыть секцию</t>
        </is>
      </c>
      <c r="B15">
        <f>IF(SectionCalculator_DOWN!B32="YES","ДА","НЕТ")</f>
        <v/>
      </c>
    </row>
    <row r="16">
      <c r="A16" t="inlineStr">
        <is>
          <t>Можно закрыть хвост</t>
        </is>
      </c>
      <c r="B16">
        <f>IF(TailRecovery_DOWN!B11="YES","ДА","НЕТ")</f>
        <v/>
      </c>
    </row>
    <row r="18">
      <c r="A18" t="inlineStr">
        <is>
          <t>Прибыль цикла</t>
        </is>
      </c>
      <c r="B18">
        <f>IFERROR(SectionCalculator_DOWN!B31,0)</f>
        <v/>
      </c>
    </row>
    <row r="19">
      <c r="A19" t="inlineStr">
        <is>
          <t>Добавить в резерв</t>
        </is>
      </c>
      <c r="B19">
        <f>IFERROR(SectionCalculator_DOWN!B33,0)</f>
        <v/>
      </c>
    </row>
    <row r="20">
      <c r="A20" t="inlineStr">
        <is>
          <t>Добавить в RecoveryFund</t>
        </is>
      </c>
      <c r="B20">
        <f>IFERROR(SectionCalculator_DOWN!B34,0)</f>
        <v/>
      </c>
    </row>
    <row r="21">
      <c r="A21" t="inlineStr">
        <is>
          <t>Резерв после</t>
        </is>
      </c>
      <c r="B21">
        <f>IFERROR(SectionCalculator_DOWN!B35,0)</f>
        <v/>
      </c>
    </row>
    <row r="22">
      <c r="A22" t="inlineStr">
        <is>
          <t>RecoveryFund после цикла</t>
        </is>
      </c>
      <c r="B22">
        <f>IFERROR(SectionCalculator_DOWN!B36,0)</f>
        <v/>
      </c>
    </row>
    <row r="23">
      <c r="A23" t="inlineStr">
        <is>
          <t>Тип хвоста</t>
        </is>
      </c>
      <c r="B23">
        <f>IF(OR(TailRecovery_DOWN!B2="",TailRecovery_DOWN!B2="N/A"),"Хвост не найден",TailRecovery_DOWN!B2)</f>
        <v/>
      </c>
    </row>
    <row r="24">
      <c r="A24" t="inlineStr">
        <is>
          <t>Тикет хвоста</t>
        </is>
      </c>
      <c r="B24">
        <f>IFERROR(TailRecovery_DOWN!B3,"N/A")</f>
        <v/>
      </c>
    </row>
    <row r="25">
      <c r="A25" t="inlineStr">
        <is>
          <t>Лот хвоста</t>
        </is>
      </c>
      <c r="B25" s="4">
        <f>IFERROR(IF(TailRecovery_DOWN!B4&gt;0,TailRecovery_DOWN!B4,"Хвост не найден"),"Хвост не найден")</f>
        <v/>
      </c>
    </row>
    <row r="26">
      <c r="A26" t="inlineStr">
        <is>
          <t>Убыток хвоста на 1 лот</t>
        </is>
      </c>
      <c r="B26">
        <f>IFERROR(TailRecovery_DOWN!B5,0)</f>
        <v/>
      </c>
    </row>
    <row r="27">
      <c r="A27" t="inlineStr">
        <is>
          <t>RecoveryFund до закрытия</t>
        </is>
      </c>
      <c r="B27">
        <f>IFERROR(TailRecovery_DOWN!B7,0)</f>
        <v/>
      </c>
    </row>
    <row r="28">
      <c r="A28" t="inlineStr">
        <is>
          <t>Расчётный лот закрытия</t>
        </is>
      </c>
      <c r="B28" s="4">
        <f>IFERROR(TailRecovery_DOWN!B8,0)</f>
        <v/>
      </c>
    </row>
    <row r="29">
      <c r="A29" t="inlineStr">
        <is>
          <t>Округлённый лот закрытия</t>
        </is>
      </c>
      <c r="B29" s="4">
        <f>IFERROR(TailRecovery_DOWN!B9,0)</f>
        <v/>
      </c>
    </row>
    <row r="30">
      <c r="A30" t="inlineStr">
        <is>
          <t>Итоговый лот закрытия</t>
        </is>
      </c>
      <c r="B30" s="4">
        <f>IFERROR(TailRecovery_DOWN!B10,0)</f>
        <v/>
      </c>
    </row>
    <row r="31">
      <c r="A31" t="inlineStr">
        <is>
          <t>HumanReadableAction</t>
        </is>
      </c>
      <c r="B31">
        <f>IF(BasketSummary!C13="BASKET_CLOSE","ЗАКРЫТЬ ВСЮ КОРЗИНУ",IF(BasketSummary!C13="CLOSE_SECTION+CLOSE_TAIL","ЗАКРЫТЬ СЕКЦИЮ + ЗАКРЫТЬ ХВОСТ",IF(BasketSummary!C13="CLOSE_SECTION","ЗАКРЫТЬ СЕКЦИЮ",IF(BasketSummary!C13="OPEN_SECTION","ОТКРЫТЬ СЕКЦИЮ",IF(BasketSummary!C13="SAFE","SAFE",IF(BasketSummary!C13="WAIT","ЖДАТЬ","BLOCKED"))))))</f>
        <v/>
      </c>
    </row>
    <row r="34">
      <c r="A34" t="inlineStr">
        <is>
          <t>Разрешено закрытие хвоста</t>
        </is>
      </c>
      <c r="B34">
        <f>IF(TailRecovery_DOWN!B11="YES","ДА","НЕТ")</f>
        <v/>
      </c>
    </row>
    <row r="35">
      <c r="A35" t="inlineStr">
        <is>
          <t>Убыток закрываемой части</t>
        </is>
      </c>
      <c r="B35" s="4">
        <f>IFERROR(TailRecovery_DOWN!B12,0)</f>
        <v/>
      </c>
    </row>
    <row r="36">
      <c r="A36" t="inlineStr">
        <is>
          <t>RecoveryFund после закрытия</t>
        </is>
      </c>
      <c r="B36" s="4">
        <f>IFERROR(TailRecovery_DOWN!B13,0)</f>
        <v/>
      </c>
    </row>
    <row r="37">
      <c r="A37" t="inlineStr">
        <is>
          <t>Остаток хвоста</t>
        </is>
      </c>
      <c r="B37" s="4">
        <f>IFERROR(TailRecovery_DOWN!B14,0)</f>
        <v/>
      </c>
    </row>
    <row r="38">
      <c r="A38" t="inlineStr">
        <is>
          <t>SAFE</t>
        </is>
      </c>
      <c r="B38">
        <f>IF(BasketSummary!C13="SAFE","ДА","НЕТ")</f>
        <v/>
      </c>
    </row>
    <row r="39">
      <c r="A39" s="5">
        <f>"ПОДРОБНАЯ РЕКОМЕНДАЦИЯ"&amp;CHAR(10)&amp;CHAR(10)&amp;"Сценарий: цена идет вниз."&amp;CHAR(10)&amp;"Текущий Bid: "&amp;TEXT(B3,"0.00000")&amp;CHAR(10)&amp;"Текущий Ask: "&amp;TEXT(B4,"0.00000")&amp;CHAR(10)&amp;"Сценарный Bid: "&amp;TEXT(B5,"0.00000")&amp;CHAR(10)&amp;"Сценарный Ask: "&amp;TEXT(B6,"0.00000")&amp;CHAR(10)&amp;"Сценарный Mid: "&amp;TEXT(B7,"0.00000")&amp;CHAR(10)&amp;"Spread: "&amp;TEXT(B8,"0")&amp;" пунктов"&amp;CHAR(10)&amp;"Следующий уровень: "&amp;IF(ISNUMBER(B9),TEXT(B9,"0.00000"),B9)&amp;CHAR(10)&amp;"Расстояние до уровня: "&amp;IF(ISNUMBER(B10),TEXT(B10,"0")&amp;" пунктов",B10)&amp;CHAR(10)&amp;CHAR(10)&amp;"Рекомендация по секции: "&amp;B11&amp;" / "&amp;B12&amp;CHAR(10)&amp;"Можно открыть секцию: "&amp;IF(SectionCalculator_DOWN!B14="YES","ДА","НЕТ")&amp;CHAR(10)&amp;"Можно закрыть секцию: "&amp;B15&amp;CHAR(10)&amp;"Можно закрыть хвост: "&amp;B16&amp;CHAR(10)&amp;CHAR(10)&amp;"Тип хвоста: "&amp;B23&amp;CHAR(10)&amp;"Тикет хвоста: "&amp;IF(ISNUMBER(B24),TEXT(B24,"0"),B24)&amp;CHAR(10)&amp;"Лот хвоста до закрытия: "&amp;IF(ISNUMBER(B25),TEXT(B25,"0.00"),B25)&amp;CHAR(10)&amp;"Итоговый лот закрытия: "&amp;IF(ISNUMBER(B30),TEXT(B30,"0.00"),"0.00")&amp;CHAR(10)&amp;"Остаток хвоста после закрытия: "&amp;TEXT(TailRecovery_DOWN!B14,"0.00")&amp;CHAR(10)&amp;CHAR(10)&amp;"RecoveryFund после: "&amp;TEXT(TailRecovery_DOWN!B13,"0.00")&amp;CHAR(10)&amp;"ДЕЙСТВИЕ: "&amp;B31&amp;CHAR(10)&amp;"Если открывать секцию: "&amp;B11&amp;" / "&amp;B12&amp;CHAR(10)&amp;"Если закрывать хвост: тип="&amp;B23&amp;", тикет="&amp;IF(ISNUMBER(B24),TEXT(B24,"0"),B24)&amp;", до="&amp;IF(ISNUMBER(B25),TEXT(B25,"0.00"),B25)&amp;", закрыть="&amp;TEXT(B30,"0.00")&amp;", остаток="&amp;TEXT(TailRecovery_DOWN!B14,"0.00")&amp;CHAR(10)&amp;"Добавить в резерв: "&amp;TEXT(B19,"0.00")&amp;"; Добавить в RecoveryFund: "&amp;TEXT(B20,"0.00")&amp;CHAR(10)&amp;"Резерв после: "&amp;TEXT(B21,"0.00")&amp;"; RecoveryFund после цикла: "&amp;TEXT(B22,"0.00")&amp;CHAR(10)&amp;"RecoveryFund до/после закрытия хвоста: "&amp;TEXT(B27,"0.00")&amp;" / "&amp;TEXT(TailRecovery_DOWN!B13,"0.00")&amp;CHAR(10)&amp;"SAFE: "&amp;B38&amp;CHAR(10)&amp;"ИТОГОВОЕ ДЕЙСТВИЕ: "&amp;B31</f>
        <v/>
      </c>
    </row>
    <row r="40"/>
    <row r="41"/>
    <row r="42"/>
    <row r="43"/>
    <row r="44"/>
    <row r="45"/>
    <row r="46"/>
    <row r="47"/>
    <row r="48"/>
    <row r="49"/>
    <row r="50"/>
    <row r="51"/>
    <row r="52"/>
  </sheetData>
  <mergeCells count="1">
    <mergeCell ref="A39:H5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Formula</t>
        </is>
      </c>
      <c r="C1" s="1" t="inlineStr">
        <is>
          <t>DependsOn</t>
        </is>
      </c>
      <c r="D1" s="1" t="inlineStr">
        <is>
          <t>UsedBy</t>
        </is>
      </c>
      <c r="E1" s="1" t="inlineStr">
        <is>
          <t>Description</t>
        </is>
      </c>
    </row>
    <row r="2">
      <c r="A2" t="inlineStr">
        <is>
          <t>Scenario_UP!B5</t>
        </is>
      </c>
      <c r="B2" t="inlineStr">
        <is>
          <t>'=B2+B4*Settings!B3</t>
        </is>
      </c>
      <c r="C2" t="inlineStr">
        <is>
          <t>Scenario_UP!B2, Scenario_UP!B4, Settings!B3</t>
        </is>
      </c>
      <c r="D2" t="inlineStr">
        <is>
          <t>Scenario_UP!B7:B8, SectionCalculator_UP!B12, ScenarioText_UP!B5</t>
        </is>
      </c>
      <c r="E2" t="inlineStr">
        <is>
          <t>ScenarioBid</t>
        </is>
      </c>
    </row>
    <row r="3">
      <c r="A3" t="inlineStr">
        <is>
          <t>Scenario_UP!B6</t>
        </is>
      </c>
      <c r="B3" t="inlineStr">
        <is>
          <t>'=B3+B4*Settings!B3</t>
        </is>
      </c>
      <c r="C3" t="inlineStr">
        <is>
          <t>Scenario_UP!B3, Scenario_UP!B4, Settings!B3</t>
        </is>
      </c>
      <c r="D3" t="inlineStr">
        <is>
          <t>Scenario_UP!B7:B8, Scenario_UP!F12:F211, ScenarioText_UP!B6</t>
        </is>
      </c>
      <c r="E3" t="inlineStr">
        <is>
          <t>ScenarioAsk</t>
        </is>
      </c>
    </row>
    <row r="4">
      <c r="A4" t="inlineStr">
        <is>
          <t>Scenario_UP!B7</t>
        </is>
      </c>
      <c r="B4" t="inlineStr">
        <is>
          <t>'=(B5+B6)/2</t>
        </is>
      </c>
      <c r="C4" t="inlineStr">
        <is>
          <t>Scenario_UP!B5, Scenario_UP!B6</t>
        </is>
      </c>
      <c r="D4" t="inlineStr">
        <is>
          <t>SectionCalculator_UP!B12, ScenarioText_UP!B7</t>
        </is>
      </c>
      <c r="E4" t="inlineStr">
        <is>
          <t>ScenarioMid</t>
        </is>
      </c>
    </row>
    <row r="5">
      <c r="A5" t="inlineStr">
        <is>
          <t>Scenario_UP!B8</t>
        </is>
      </c>
      <c r="B5" t="inlineStr">
        <is>
          <t>'=(B6-B5)/Settings!B3</t>
        </is>
      </c>
      <c r="C5" t="inlineStr">
        <is>
          <t>Scenario_UP!B6, Scenario_UP!B5, Settings!B3</t>
        </is>
      </c>
      <c r="D5" t="inlineStr">
        <is>
          <t>ScenarioText_UP!B8</t>
        </is>
      </c>
      <c r="E5" t="inlineStr">
        <is>
          <t>ScenarioSpread</t>
        </is>
      </c>
    </row>
    <row r="6">
      <c r="A6" t="inlineStr">
        <is>
          <t>Scenario_UP!K12:L211</t>
        </is>
      </c>
      <c r="B6" t="inlineStr">
        <is>
          <t>PnL helper range</t>
        </is>
      </c>
      <c r="C6" t="inlineStr">
        <is>
          <t>Scenario_UP!C12:F211, Settings!B3</t>
        </is>
      </c>
      <c r="D6" t="inlineStr">
        <is>
          <t>Scenario_UP!B221:B223</t>
        </is>
      </c>
      <c r="E6" t="inlineStr">
        <is>
          <t>Tail helper range</t>
        </is>
      </c>
    </row>
    <row r="7">
      <c r="A7" t="inlineStr">
        <is>
          <t>Scenario_UP!B221</t>
        </is>
      </c>
      <c r="B7" t="inlineStr">
        <is>
          <t>'=IF(COUNT(K12:K211)=0,0,MIN(K12:K211))</t>
        </is>
      </c>
      <c r="C7" t="inlineStr">
        <is>
          <t>Scenario_UP!K12:K211</t>
        </is>
      </c>
      <c r="D7" t="inlineStr">
        <is>
          <t>Scenario_UP!B222</t>
        </is>
      </c>
      <c r="E7" t="inlineStr">
        <is>
          <t>TailWorstPnL</t>
        </is>
      </c>
    </row>
    <row r="8">
      <c r="A8" t="inlineStr">
        <is>
          <t>Scenario_UP!B222</t>
        </is>
      </c>
      <c r="B8" t="inlineStr">
        <is>
          <t>'=IF(B221=0,"N/A",MIN(L12:L211))</t>
        </is>
      </c>
      <c r="C8" t="inlineStr">
        <is>
          <t>Scenario_UP!B221, Scenario_UP!L12:L211</t>
        </is>
      </c>
      <c r="D8" t="inlineStr">
        <is>
          <t>Scenario_UP!B223, ScenarioText_UP!B24</t>
        </is>
      </c>
      <c r="E8" t="inlineStr">
        <is>
          <t>TailTicket</t>
        </is>
      </c>
    </row>
    <row r="9">
      <c r="A9" t="inlineStr">
        <is>
          <t>BasketSummary!B13</t>
        </is>
      </c>
      <c r="B9" t="inlineStr">
        <is>
          <t>'=IF(...)</t>
        </is>
      </c>
      <c r="C9" t="inlineStr">
        <is>
          <t>BasketSummary!B8, BasketSummary!B9, BasketSummary!B10</t>
        </is>
      </c>
      <c r="D9" t="inlineStr">
        <is>
          <t>ScenarioText_UP!B31, ScenarioText_UP!B38, Log!D2, Log!K2</t>
        </is>
      </c>
      <c r="E9" t="inlineStr">
        <is>
          <t>NextAction</t>
        </is>
      </c>
    </row>
    <row r="10">
      <c r="A10" t="inlineStr">
        <is>
          <t>ScenarioText_UP!B31</t>
        </is>
      </c>
      <c r="B10" t="inlineStr">
        <is>
          <t>'=IF(BasketSummary!B13...)</t>
        </is>
      </c>
      <c r="C10" t="inlineStr">
        <is>
          <t>BasketSummary!B13</t>
        </is>
      </c>
      <c r="D10" t="inlineStr">
        <is>
          <t>ScenarioText_UP!B46</t>
        </is>
      </c>
      <c r="E10" t="inlineStr">
        <is>
          <t>HumanReadableAction</t>
        </is>
      </c>
    </row>
    <row r="11">
      <c r="A11" t="inlineStr">
        <is>
          <t>ScenarioText_UP!B38</t>
        </is>
      </c>
      <c r="B11" t="inlineStr">
        <is>
          <t>'=IF(BasketSummary!B13="SAFE","ДА","НЕТ")</t>
        </is>
      </c>
      <c r="C11" t="inlineStr">
        <is>
          <t>BasketSummary!B13</t>
        </is>
      </c>
      <c r="D11" t="inlineStr">
        <is>
          <t>ScenarioText_UP!B46, Validation</t>
        </is>
      </c>
      <c r="E11" t="inlineStr">
        <is>
          <t>SAFE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2026-05-12T23:18:38Z</dcterms:created>
  <dcterms:modified xsi:type="dcterms:W3CDTF">2026-05-12T23:18:38Z</dcterms:modified>
</cp:coreProperties>
</file>