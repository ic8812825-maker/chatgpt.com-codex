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  <sheet name="ScenarioText_UP" sheetId="12" state="visible" r:id="rId12"/>
    <sheet name="ScenarioText_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3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 t="n">
        <v>1.23</v>
      </c>
      <c r="G2">
        <f>IF(B2="BUY",(F2-E2)/Settings!$B$3,(E2-F2)/Settings!$B$3)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 t="n">
        <v>1.23</v>
      </c>
      <c r="G3">
        <f>IF(B3="BUY",(F3-E3)/Settings!$B$3,(E3-F3)/Settings!$B$3)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 t="n">
        <v>1.23</v>
      </c>
      <c r="G4">
        <f>IF(B4="BUY",(F4-E4)/Settings!$B$3,(E4-F4)/Settings!$B$3)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 t="n">
        <v>1.23</v>
      </c>
      <c r="G5">
        <f>IF(B5="BUY",(F5-E5)/Settings!$B$3,(E5-F5)/Settings!$B$3)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IFERROR(SUMPRODUCT((B7:B206="BUY")*E7:E206*D7:D206)/SUMIFS(D7:D206,B7:B206,"BUY"),0)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IFERROR(SUMPRODUCT((B7:B206="SELL")*E7:E206*D7:D206)/SUMIFS(D7:D206,B7:B206,"SELL"),0)</f>
        <v/>
      </c>
    </row>
    <row r="3">
      <c r="A3" t="inlineStr">
        <is>
          <t>MoveUpPoints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B2+B3*Settings!$B$3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IFERROR(MIN(IF((B7:B206="SELL")*(H7:H206&lt;0),H7:H206)),0)</f>
        <v/>
      </c>
    </row>
    <row r="222">
      <c r="A222" t="inlineStr">
        <is>
          <t>TailTicket</t>
        </is>
      </c>
      <c r="B222">
        <f>IFERROR(MIN(IF((B7:B206="SELL")*(H7:H206=B221),A7:A206)),"N/A")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IFERROR(SUMPRODUCT((B7:B206="BUY")*E7:E206*D7:D206)/SUMIFS(D7:D206,B7:B206,"BUY"),0)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IFERROR(SUMPRODUCT((B7:B206="SELL")*E7:E206*D7:D206)/SUMIFS(D7:D206,B7:B206,"SELL"),0)</f>
        <v/>
      </c>
    </row>
    <row r="3">
      <c r="A3" t="inlineStr">
        <is>
          <t>MoveDownPoints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B2-B3*Settings!$B$3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IFERROR(MIN(IF((B7:B206="BUY")*(H7:H206&lt;0),H7:H206)),0)</f>
        <v/>
      </c>
    </row>
    <row r="222">
      <c r="A222" t="inlineStr">
        <is>
          <t>TailTicket</t>
        </is>
      </c>
      <c r="B222">
        <f>IFERROR(MIN(IF((B7:B206="BUY")*(H7:H206=B221),A7:A206)),"N/A")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FLOOR(B3*B5,Settings!$B$7)</f>
        <v/>
      </c>
    </row>
    <row r="8">
      <c r="A8" t="inlineStr">
        <is>
          <t>SmallLot</t>
        </is>
      </c>
      <c r="B8">
        <f>FLOOR(B3*B6,Settings!$B$7)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IF(Scenario_UP!B4&gt;=IF(B4=1,Scenario_UP!E4,IF(B4=2,Scenario_UP!E5,IF(B4=3,Scenario_UP!E6,Scenario_UP!E7))),"YES","NO")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IF(AND(B7&gt;=Settings!$B$6,B8&gt;=Settings!$B$6,B8&lt;B7,B7&lt;=B3,B9&lt;Settings!$B$8,B10&lt;=Settings!$B$15,B11&lt;=Settings!$B$16,B12="YES",B13="YES"),"YES","NO")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FLOOR(B3*B5,Settings!$B$7)</f>
        <v/>
      </c>
    </row>
    <row r="8">
      <c r="A8" t="inlineStr">
        <is>
          <t>SmallLot</t>
        </is>
      </c>
      <c r="B8">
        <f>FLOOR(B3*B6,Settings!$B$7)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IF(Scenario_DOWN!B4&lt;=IF(B4=1,Scenario_DOWN!E9,IF(B4=2,Scenario_DOWN!E10,IF(B4=3,Scenario_DOWN!E11,Scenario_DOWN!E12))),"YES","NO")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IF(AND(B7&gt;=Settings!$B$6,B8&gt;=Settings!$B$6,B8&lt;B7,B7&lt;=B3,B9&lt;Settings!$B$8,B10&lt;=Settings!$B$15,B11&lt;=Settings!$B$16,B12="YES",B13="YES"),"YES","NO")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Scenario_UP!B4</f>
        <v/>
      </c>
      <c r="C2">
        <f>Scenario_DOWN!B4</f>
        <v/>
      </c>
    </row>
    <row r="3">
      <c r="A3" t="inlineStr">
        <is>
          <t>BasketFloating</t>
        </is>
      </c>
      <c r="B3">
        <f>SUM(Scenario_UP!H7:H206)</f>
        <v/>
      </c>
      <c r="C3">
        <f>SUM(Scenario_DOWN!H7:H206)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>
      <c r="A14" t="inlineStr">
        <is>
          <t>HumanReadableAction</t>
        </is>
      </c>
      <c r="B14">
        <f>ScenarioText_UP!B31</f>
        <v/>
      </c>
      <c r="C14">
        <f>ScenarioText_DOWN!B31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IF(OR(SectionCalculator_UP!B14="NO",SectionCalculator_UP!B12="YES"),"OK","ERROR")</f>
        <v/>
      </c>
      <c r="C5">
        <f>IF(OR(SectionCalculator_DOWN!B14="NO",SectionCalculator_DOWN!B12="YES"),"OK","ERROR")</f>
        <v/>
      </c>
    </row>
    <row r="6">
      <c r="A6" t="inlineStr">
        <is>
          <t>No opposite cascade active</t>
        </is>
      </c>
      <c r="B6">
        <f>IF(SectionCalculator_UP!B13="YES","OK","ERROR")</f>
        <v/>
      </c>
      <c r="C6">
        <f>IF(SectionCalculator_DOWN!B13="YES","OK","ERROR")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Время</t>
        </is>
      </c>
      <c r="B1" s="1" t="inlineStr">
        <is>
          <t>Направление</t>
        </is>
      </c>
      <c r="C1" s="1" t="inlineStr">
        <is>
          <t>Сценарий</t>
        </is>
      </c>
      <c r="D1" s="1" t="inlineStr">
        <is>
          <t>Действие</t>
        </is>
      </c>
      <c r="E1" s="1" t="inlineStr">
        <is>
          <t>Хвост до закрытия</t>
        </is>
      </c>
      <c r="F1" s="1" t="inlineStr">
        <is>
          <t>Закрываемый лот хвоста</t>
        </is>
      </c>
      <c r="G1" s="1" t="inlineStr">
        <is>
          <t>Хвост после закрытия</t>
        </is>
      </c>
      <c r="H1" s="1" t="inlineStr">
        <is>
          <t>RecoveryFund до</t>
        </is>
      </c>
      <c r="I1" s="1" t="inlineStr">
        <is>
          <t>RecoveryFund после</t>
        </is>
      </c>
      <c r="J1" s="1" t="inlineStr">
        <is>
          <t>Резерв после</t>
        </is>
      </c>
      <c r="K1" s="1" t="inlineStr">
        <is>
          <t>SAFE</t>
        </is>
      </c>
    </row>
    <row r="2">
      <c r="A2">
        <f>NOW()</f>
        <v/>
      </c>
      <c r="B2" t="inlineStr">
        <is>
          <t>ВВЕРХ</t>
        </is>
      </c>
      <c r="C2" t="inlineStr">
        <is>
          <t>ScenarioText_UP</t>
        </is>
      </c>
      <c r="D2">
        <f>BasketSummary!B13</f>
        <v/>
      </c>
      <c r="E2">
        <f>TailRecovery_UP!B3</f>
        <v/>
      </c>
      <c r="F2">
        <f>TailRecovery_UP!B10</f>
        <v/>
      </c>
      <c r="G2">
        <f>MAX(E2-F2,0)</f>
        <v/>
      </c>
      <c r="H2">
        <f>TailRecovery_UP!B5</f>
        <v/>
      </c>
      <c r="I2">
        <f>TailRecovery_UP!B7</f>
        <v/>
      </c>
      <c r="J2">
        <f>SectionCalculator_UP!B35</f>
        <v/>
      </c>
      <c r="K2">
        <f>IF(OR(SectionCalculator_UP!B14&lt;&gt;"YES",SectionCalculator_UP!B13&lt;&gt;"YES"),"YES","NO")</f>
        <v/>
      </c>
    </row>
    <row r="3">
      <c r="A3">
        <f>NOW()</f>
        <v/>
      </c>
      <c r="B3" t="inlineStr">
        <is>
          <t>ВНИЗ</t>
        </is>
      </c>
      <c r="C3" t="inlineStr">
        <is>
          <t>ScenarioText_DOWN</t>
        </is>
      </c>
      <c r="D3">
        <f>BasketSummary!C13</f>
        <v/>
      </c>
      <c r="E3">
        <f>TailRecovery_DOWN!B3</f>
        <v/>
      </c>
      <c r="F3">
        <f>TailRecovery_DOWN!B10</f>
        <v/>
      </c>
      <c r="G3">
        <f>MAX(E3-F3,0)</f>
        <v/>
      </c>
      <c r="H3">
        <f>TailRecovery_DOWN!B5</f>
        <v/>
      </c>
      <c r="I3">
        <f>TailRecovery_DOWN!B7</f>
        <v/>
      </c>
      <c r="J3">
        <f>SectionCalculator_DOWN!B35</f>
        <v/>
      </c>
      <c r="K3">
        <f>IF(OR(SectionCalculator_DOWN!B14&lt;&gt;"YES",SectionCalculator_DOWN!B13&lt;&gt;"YES"),"YES","NO")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ВВЕРХ"</f>
        <v/>
      </c>
    </row>
    <row r="3">
      <c r="A3" t="inlineStr">
        <is>
          <t>Текущая цена</t>
        </is>
      </c>
      <c r="B3">
        <f>IFERROR(Scenario_UP!B4,0)</f>
        <v/>
      </c>
    </row>
    <row r="4">
      <c r="A4" t="inlineStr">
        <is>
          <t>Следующий уровень</t>
        </is>
      </c>
      <c r="B4">
        <f>IFERROR(IF(SectionCalculator_UP!B4=1,Scenario_UP!E4,IF(SectionCalculator_UP!B4=2,Scenario_UP!E5,IF(SectionCalculator_UP!B4=3,Scenario_UP!E6,IF(SectionCalculator_UP!B4=4,Scenario_UP!E7,"Уровень не рассчитан")))),"Уровень не рассчитан")</f>
        <v/>
      </c>
    </row>
    <row r="5">
      <c r="A5" t="inlineStr">
        <is>
          <t>Расстояние до уровня, пунктов</t>
        </is>
      </c>
      <c r="B5">
        <f>IF(OR(B4="Уровень не рассчитан",B3=""),"Уровень не рассчитан",ROUND(ABS(B4-B3)*10000,0))</f>
        <v/>
      </c>
    </row>
    <row r="6">
      <c r="A6" t="inlineStr">
        <is>
          <t>Большая позиция</t>
        </is>
      </c>
      <c r="B6">
        <f>IFERROR(IF(TailRecovery_UP!B16&gt;0,IF("UP"="UP","SELL ","BUY ")&amp;TEXT(TailRecovery_UP!B16,"0.00"),"Не открывать"),"Не открывать")</f>
        <v/>
      </c>
    </row>
    <row r="7">
      <c r="A7" t="inlineStr">
        <is>
          <t>Малая защитная позиция</t>
        </is>
      </c>
      <c r="B7">
        <f>IFERROR(IF(TailRecovery_UP!B17&gt;0,IF("UP"="UP","BUY ","SELL ")&amp;TEXT(TailRecovery_UP!B17,"0.00"),"Не открывать"),"Не открывать")</f>
        <v/>
      </c>
    </row>
    <row r="8">
      <c r="A8" t="inlineStr">
        <is>
          <t>Уровень секции</t>
        </is>
      </c>
      <c r="B8">
        <f>IFERROR(SectionCalculator_UP!B4,0)</f>
        <v/>
      </c>
    </row>
    <row r="9">
      <c r="A9" t="inlineStr">
        <is>
          <t>Причина</t>
        </is>
      </c>
      <c r="B9">
        <f>IF(SectionCalculator_UP!B14="YES","цена достигла уровня; хвост найден; риск-лимиты OK","секция сейчас недоступна: уровень/риск-гейт/хвост")</f>
        <v/>
      </c>
    </row>
    <row r="11">
      <c r="A11" t="inlineStr">
        <is>
          <t>Проверки риска</t>
        </is>
      </c>
    </row>
    <row r="12">
      <c r="A12" t="inlineStr">
        <is>
          <t>Можно открыть секцию</t>
        </is>
      </c>
      <c r="B12">
        <f>IF(SectionCalculator_UP!B14="YES","ДА","НЕТ")</f>
        <v/>
      </c>
    </row>
    <row r="13">
      <c r="A13" t="inlineStr">
        <is>
          <t>Нет встречного каскада</t>
        </is>
      </c>
      <c r="B13">
        <f>IF(SectionCalculator_UP!B13="YES","ДА","НЕТ")</f>
        <v/>
      </c>
    </row>
    <row r="14">
      <c r="A14" t="inlineStr">
        <is>
          <t>Можно закрыть секцию</t>
        </is>
      </c>
      <c r="B14">
        <f>IF(SectionCalculator_UP!B32="YES","ДА","НЕТ")</f>
        <v/>
      </c>
    </row>
    <row r="15">
      <c r="A15" t="inlineStr">
        <is>
          <t>Можно закрыть хвост</t>
        </is>
      </c>
      <c r="B15">
        <f>IF(TailRecovery_UP!B11="YES","ДА","НЕТ")</f>
        <v/>
      </c>
    </row>
    <row r="17">
      <c r="A17" t="inlineStr">
        <is>
          <t>Прибыль цикла</t>
        </is>
      </c>
      <c r="B17">
        <f>IFERROR(SectionCalculator_UP!B31,0)</f>
        <v/>
      </c>
    </row>
    <row r="18">
      <c r="A18" t="inlineStr">
        <is>
          <t>Добавить в резерв</t>
        </is>
      </c>
      <c r="B18">
        <f>IFERROR(TailRecovery_UP!B6,0)</f>
        <v/>
      </c>
    </row>
    <row r="19">
      <c r="A19" t="inlineStr">
        <is>
          <t>Добавить в RecoveryFund</t>
        </is>
      </c>
      <c r="B19">
        <f>IFERROR(TailRecovery_UP!B8,0)</f>
        <v/>
      </c>
    </row>
    <row r="21">
      <c r="A21" t="inlineStr">
        <is>
          <t>Тип хвоста</t>
        </is>
      </c>
      <c r="B21">
        <f>IF(OR(TailRecovery_UP!B2="",TailRecovery_UP!B2="N/A"),"Хвост не найден",TailRecovery_UP!B2)</f>
        <v/>
      </c>
    </row>
    <row r="22">
      <c r="A22" t="inlineStr">
        <is>
          <t>Лот хвоста</t>
        </is>
      </c>
      <c r="B22">
        <f>IFERROR(IF(TailRecovery_UP!B3&gt;0,TailRecovery_UP!B3,"Хвост не найден"),"Хвост не найден")</f>
        <v/>
      </c>
    </row>
    <row r="23">
      <c r="A23" t="inlineStr">
        <is>
          <t>Убыток хвоста</t>
        </is>
      </c>
      <c r="B23">
        <f>IFERROR(TailRecovery_UP!B12,0)</f>
        <v/>
      </c>
    </row>
    <row r="24">
      <c r="A24" t="inlineStr">
        <is>
          <t>RecoveryFund до закрытия</t>
        </is>
      </c>
      <c r="B24">
        <f>IFERROR(TailRecovery_UP!B5,0)</f>
        <v/>
      </c>
    </row>
    <row r="25">
      <c r="A25" t="inlineStr">
        <is>
          <t>Расчётный лот закрытия</t>
        </is>
      </c>
      <c r="B25">
        <f>IFERROR(TailRecovery_UP!B9,0)</f>
        <v/>
      </c>
    </row>
    <row r="26">
      <c r="A26" t="inlineStr">
        <is>
          <t>Округлённый лот закрытия</t>
        </is>
      </c>
      <c r="B26">
        <f>IFERROR(TailRecovery_UP!B10,0)</f>
        <v/>
      </c>
    </row>
    <row r="27">
      <c r="A27" t="inlineStr">
        <is>
          <t>Итоговый лот закрытия</t>
        </is>
      </c>
      <c r="B27">
        <f>IFERROR(TailRecovery_UP!B10,0)</f>
        <v/>
      </c>
    </row>
    <row r="28">
      <c r="A28" t="inlineStr">
        <is>
          <t>Остаток хвоста</t>
        </is>
      </c>
      <c r="B28">
        <f>IF(OR(B22="Хвост не найден",NOT(ISNUMBER(B22))),"Хвост не найден",MAX(B22-B27,0))</f>
        <v/>
      </c>
    </row>
    <row r="29">
      <c r="A29" t="inlineStr">
        <is>
          <t>RecoveryFund после закрытия</t>
        </is>
      </c>
      <c r="B29">
        <f>IFERROR(TailRecovery_UP!B7,0)</f>
        <v/>
      </c>
    </row>
    <row r="31">
      <c r="A31" t="inlineStr">
        <is>
          <t>HumanReadableAction</t>
        </is>
      </c>
      <c r="B31">
        <f>"ПОДРОБНАЯ РЕКОМЕНДАЦИЯ"&amp;CHAR(10)&amp;CHAR(10)&amp;"Сценарий: цена идет вверх."&amp;CHAR(10)&amp;"Текущая расчетная цена: "&amp;TEXT(B3,"0.00000")&amp;"."&amp;CHAR(10)&amp;"Следующий уровень: "&amp;IF(ISNUMBER(B4),TEXT(B4,"0.00000"),B4)&amp;"."&amp;CHAR(10)&amp;"Расстояние до уровня: "&amp;IF(ISNUMBER(B5),TEXT(B5,"0")&amp;" пунктов",B5)&amp;"."&amp;CHAR(10)&amp;CHAR(10)&amp;"Проверки: открыть секцию="&amp;B12&amp;", встречный каскад="&amp;B13&amp;", закрыть секцию="&amp;B14&amp;", закрыть хвост="&amp;B15&amp;"."&amp;CHAR(10)&amp;"Рекомендация по открытию: "&amp;B6&amp;" и "&amp;B7&amp;"."&amp;CHAR(10)&amp;"Хвост: "&amp;B21&amp;". Лот хвоста: "&amp;IF(ISNUMBER(B22),TEXT(B22,"0.00"),B22)&amp;"."&amp;CHAR(10)&amp;"Рекомендованный лот закрытия: "&amp;IF(ISNUMBER(B27),TEXT(B27,"0.00"),"0.00")&amp;". Остаток хвоста: "&amp;IF(ISNUMBER(B28),TEXT(B28,"0.00"),B28)&amp;"."&amp;CHAR(10)&amp;"RecoveryFund после: "&amp;TEXT(B29,"0.00")&amp;". Резерв после: "&amp;TEXT(B18,"0.00")&amp;"."&amp;CHAR(10)&amp;CHAR(10)&amp;"Итоговое действие: "&amp;IF(BasketSummary!B10="YES","BASKET_CLOSE",IF(B12="НЕТ","WAIT",IF(B14="ДА",IF(B15="ДА","CLOSE_SECTION+CLOSE_TAIL","CLOSE_SECTION"),"OPEN_SECTION")))&amp;" / "&amp;IF(OR(B12="НЕТ",B13="НЕТ"),"SAFE","NORMAL")</f>
        <v/>
      </c>
    </row>
    <row r="32">
      <c r="A32" s="2">
        <f>B31</f>
        <v/>
      </c>
    </row>
    <row r="33"/>
    <row r="34"/>
    <row r="35"/>
    <row r="36"/>
    <row r="37"/>
    <row r="38"/>
    <row r="39"/>
    <row r="40"/>
    <row r="41"/>
    <row r="42"/>
    <row r="43"/>
    <row r="44"/>
    <row r="45"/>
  </sheetData>
  <mergeCells count="1">
    <mergeCell ref="A32:H4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ВНИЗ"</f>
        <v/>
      </c>
    </row>
    <row r="3">
      <c r="A3" t="inlineStr">
        <is>
          <t>Текущая цена</t>
        </is>
      </c>
      <c r="B3">
        <f>IFERROR(Scenario_DOWN!B4,0)</f>
        <v/>
      </c>
    </row>
    <row r="4">
      <c r="A4" t="inlineStr">
        <is>
          <t>Следующий уровень</t>
        </is>
      </c>
      <c r="B4">
        <f>IFERROR(IF(SectionCalculator_DOWN!B4=1,Scenario_DOWN!E9,IF(SectionCalculator_DOWN!B4=2,Scenario_DOWN!E10,IF(SectionCalculator_DOWN!B4=3,Scenario_DOWN!E11,IF(SectionCalculator_DOWN!B4=4,Scenario_DOWN!E12,"Уровень не рассчитан")))),"Уровень не рассчитан")</f>
        <v/>
      </c>
    </row>
    <row r="5">
      <c r="A5" t="inlineStr">
        <is>
          <t>Расстояние до уровня, пунктов</t>
        </is>
      </c>
      <c r="B5">
        <f>IF(OR(B4="Уровень не рассчитан",B3=""),"Уровень не рассчитан",ROUND(ABS(B4-B3)*10000,0))</f>
        <v/>
      </c>
    </row>
    <row r="6">
      <c r="A6" t="inlineStr">
        <is>
          <t>Большая позиция</t>
        </is>
      </c>
      <c r="B6">
        <f>IFERROR(IF(TailRecovery_DOWN!B16&gt;0,IF("DOWN"="UP","SELL ","BUY ")&amp;TEXT(TailRecovery_DOWN!B16,"0.00"),"Не открывать"),"Не открывать")</f>
        <v/>
      </c>
    </row>
    <row r="7">
      <c r="A7" t="inlineStr">
        <is>
          <t>Малая защитная позиция</t>
        </is>
      </c>
      <c r="B7">
        <f>IFERROR(IF(TailRecovery_DOWN!B17&gt;0,IF("DOWN"="UP","BUY ","SELL ")&amp;TEXT(TailRecovery_DOWN!B17,"0.00"),"Не открывать"),"Не открывать")</f>
        <v/>
      </c>
    </row>
    <row r="8">
      <c r="A8" t="inlineStr">
        <is>
          <t>Уровень секции</t>
        </is>
      </c>
      <c r="B8">
        <f>IFERROR(SectionCalculator_DOWN!B4,0)</f>
        <v/>
      </c>
    </row>
    <row r="9">
      <c r="A9" t="inlineStr">
        <is>
          <t>Причина</t>
        </is>
      </c>
      <c r="B9">
        <f>IF(SectionCalculator_DOWN!B14="YES","цена достигла уровня; хвост найден; риск-лимиты OK","секция сейчас недоступна: уровень/риск-гейт/хвост")</f>
        <v/>
      </c>
    </row>
    <row r="11">
      <c r="A11" t="inlineStr">
        <is>
          <t>Проверки риска</t>
        </is>
      </c>
    </row>
    <row r="12">
      <c r="A12" t="inlineStr">
        <is>
          <t>Можно открыть секцию</t>
        </is>
      </c>
      <c r="B12">
        <f>IF(SectionCalculator_DOWN!B14="YES","ДА","НЕТ")</f>
        <v/>
      </c>
    </row>
    <row r="13">
      <c r="A13" t="inlineStr">
        <is>
          <t>Нет встречного каскада</t>
        </is>
      </c>
      <c r="B13">
        <f>IF(SectionCalculator_DOWN!B13="YES","ДА","НЕТ")</f>
        <v/>
      </c>
    </row>
    <row r="14">
      <c r="A14" t="inlineStr">
        <is>
          <t>Можно закрыть секцию</t>
        </is>
      </c>
      <c r="B14">
        <f>IF(SectionCalculator_DOWN!B32="YES","ДА","НЕТ")</f>
        <v/>
      </c>
    </row>
    <row r="15">
      <c r="A15" t="inlineStr">
        <is>
          <t>Можно закрыть хвост</t>
        </is>
      </c>
      <c r="B15">
        <f>IF(TailRecovery_DOWN!B11="YES","ДА","НЕТ")</f>
        <v/>
      </c>
    </row>
    <row r="17">
      <c r="A17" t="inlineStr">
        <is>
          <t>Прибыль цикла</t>
        </is>
      </c>
      <c r="B17">
        <f>IFERROR(SectionCalculator_DOWN!B31,0)</f>
        <v/>
      </c>
    </row>
    <row r="18">
      <c r="A18" t="inlineStr">
        <is>
          <t>Добавить в резерв</t>
        </is>
      </c>
      <c r="B18">
        <f>IFERROR(TailRecovery_DOWN!B6,0)</f>
        <v/>
      </c>
    </row>
    <row r="19">
      <c r="A19" t="inlineStr">
        <is>
          <t>Добавить в RecoveryFund</t>
        </is>
      </c>
      <c r="B19">
        <f>IFERROR(TailRecovery_DOWN!B8,0)</f>
        <v/>
      </c>
    </row>
    <row r="21">
      <c r="A21" t="inlineStr">
        <is>
          <t>Тип хвоста</t>
        </is>
      </c>
      <c r="B21">
        <f>IF(OR(TailRecovery_DOWN!B2="",TailRecovery_DOWN!B2="N/A"),"Хвост не найден",TailRecovery_DOWN!B2)</f>
        <v/>
      </c>
    </row>
    <row r="22">
      <c r="A22" t="inlineStr">
        <is>
          <t>Лот хвоста</t>
        </is>
      </c>
      <c r="B22">
        <f>IFERROR(IF(TailRecovery_DOWN!B3&gt;0,TailRecovery_DOWN!B3,"Хвост не найден"),"Хвост не найден")</f>
        <v/>
      </c>
    </row>
    <row r="23">
      <c r="A23" t="inlineStr">
        <is>
          <t>Убыток хвоста</t>
        </is>
      </c>
      <c r="B23">
        <f>IFERROR(TailRecovery_DOWN!B12,0)</f>
        <v/>
      </c>
    </row>
    <row r="24">
      <c r="A24" t="inlineStr">
        <is>
          <t>RecoveryFund до закрытия</t>
        </is>
      </c>
      <c r="B24">
        <f>IFERROR(TailRecovery_DOWN!B5,0)</f>
        <v/>
      </c>
    </row>
    <row r="25">
      <c r="A25" t="inlineStr">
        <is>
          <t>Расчётный лот закрытия</t>
        </is>
      </c>
      <c r="B25">
        <f>IFERROR(TailRecovery_DOWN!B9,0)</f>
        <v/>
      </c>
    </row>
    <row r="26">
      <c r="A26" t="inlineStr">
        <is>
          <t>Округлённый лот закрытия</t>
        </is>
      </c>
      <c r="B26">
        <f>IFERROR(TailRecovery_DOWN!B10,0)</f>
        <v/>
      </c>
    </row>
    <row r="27">
      <c r="A27" t="inlineStr">
        <is>
          <t>Итоговый лот закрытия</t>
        </is>
      </c>
      <c r="B27">
        <f>IFERROR(TailRecovery_DOWN!B10,0)</f>
        <v/>
      </c>
    </row>
    <row r="28">
      <c r="A28" t="inlineStr">
        <is>
          <t>Остаток хвоста</t>
        </is>
      </c>
      <c r="B28">
        <f>IF(OR(B22="Хвост не найден",NOT(ISNUMBER(B22))),"Хвост не найден",MAX(B22-B27,0))</f>
        <v/>
      </c>
    </row>
    <row r="29">
      <c r="A29" t="inlineStr">
        <is>
          <t>RecoveryFund после закрытия</t>
        </is>
      </c>
      <c r="B29">
        <f>IFERROR(TailRecovery_DOWN!B7,0)</f>
        <v/>
      </c>
    </row>
    <row r="31">
      <c r="A31" t="inlineStr">
        <is>
          <t>HumanReadableAction</t>
        </is>
      </c>
      <c r="B31">
        <f>"ПОДРОБНАЯ РЕКОМЕНДАЦИЯ"&amp;CHAR(10)&amp;CHAR(10)&amp;"Сценарий: цена идет вниз."&amp;CHAR(10)&amp;"Текущая расчетная цена: "&amp;TEXT(B3,"0.00000")&amp;"."&amp;CHAR(10)&amp;"Следующий уровень: "&amp;IF(ISNUMBER(B4),TEXT(B4,"0.00000"),B4)&amp;"."&amp;CHAR(10)&amp;"Расстояние до уровня: "&amp;IF(ISNUMBER(B5),TEXT(B5,"0")&amp;" пунктов",B5)&amp;"."&amp;CHAR(10)&amp;CHAR(10)&amp;"Проверки: открыть секцию="&amp;B12&amp;", встречный каскад="&amp;B13&amp;", закрыть секцию="&amp;B14&amp;", закрыть хвост="&amp;B15&amp;"."&amp;CHAR(10)&amp;"Рекомендация по открытию: "&amp;B6&amp;" и "&amp;B7&amp;"."&amp;CHAR(10)&amp;"Хвост: "&amp;B21&amp;". Лот хвоста: "&amp;IF(ISNUMBER(B22),TEXT(B22,"0.00"),B22)&amp;"."&amp;CHAR(10)&amp;"Рекомендованный лот закрытия: "&amp;IF(ISNUMBER(B27),TEXT(B27,"0.00"),"0.00")&amp;". Остаток хвоста: "&amp;IF(ISNUMBER(B28),TEXT(B28,"0.00"),B28)&amp;"."&amp;CHAR(10)&amp;"RecoveryFund после: "&amp;TEXT(B29,"0.00")&amp;". Резерв после: "&amp;TEXT(B18,"0.00")&amp;"."&amp;CHAR(10)&amp;CHAR(10)&amp;"Итоговое действие: "&amp;IF(BasketSummary!C10="YES","BASKET_CLOSE",IF(B12="НЕТ","WAIT",IF(B14="ДА",IF(B15="ДА","CLOSE_SECTION+CLOSE_TAIL","CLOSE_SECTION"),"OPEN_SECTION")))&amp;" / "&amp;IF(OR(B12="НЕТ",B13="НЕТ"),"SAFE","NORMAL")</f>
        <v/>
      </c>
    </row>
    <row r="32">
      <c r="A32" s="2">
        <f>B31</f>
        <v/>
      </c>
    </row>
    <row r="33"/>
    <row r="34"/>
    <row r="35"/>
    <row r="36"/>
    <row r="37"/>
    <row r="38"/>
    <row r="39"/>
    <row r="40"/>
    <row r="41"/>
    <row r="42"/>
    <row r="43"/>
    <row r="44"/>
    <row r="45"/>
  </sheetData>
  <mergeCells count="1">
    <mergeCell ref="A32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2026-05-11T20:42:22Z</dcterms:created>
  <dcterms:modified xsi:type="dcterms:W3CDTF">2026-05-11T20:42:22Z</dcterms:modified>
</cp:coreProperties>
</file>