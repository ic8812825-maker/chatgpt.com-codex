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MoveUpPoints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B2+B3*Settings!$B$3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IFERROR(MIN(IF((B7:B206="SELL")*(H7:H206&lt;0),H7:H206)),0)</f>
        <v/>
      </c>
    </row>
    <row r="222">
      <c r="A222" t="inlineStr">
        <is>
          <t>TailTicket</t>
        </is>
      </c>
      <c r="B222">
        <f>IFERROR(MIN(IF((B7:B206="SELL")*(H7:H206=B221),A7:A206)),"N/A")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D1" t="inlineStr">
        <is>
          <t>AverageBuyPrice</t>
        </is>
      </c>
      <c r="E1">
        <f>IFERROR(SUMPRODUCT((B7:B206="BUY")*E7:E206*D7:D206)/SUMIFS(D7:D206,B7:B206,"BUY"),0)</f>
        <v/>
      </c>
    </row>
    <row r="2">
      <c r="A2" t="inlineStr">
        <is>
          <t>CurrentPrice</t>
        </is>
      </c>
      <c r="B2">
        <f>CurrentPositions!F2</f>
        <v/>
      </c>
      <c r="D2" t="inlineStr">
        <is>
          <t>AverageSellPrice</t>
        </is>
      </c>
      <c r="E2">
        <f>IFERROR(SUMPRODUCT((B7:B206="SELL")*E7:E206*D7:D206)/SUMIFS(D7:D206,B7:B206,"SELL"),0)</f>
        <v/>
      </c>
    </row>
    <row r="3">
      <c r="A3" t="inlineStr">
        <is>
          <t>MoveDownPoints</t>
        </is>
      </c>
      <c r="B3" t="n">
        <v>100</v>
      </c>
      <c r="D3" t="inlineStr">
        <is>
          <t>Center</t>
        </is>
      </c>
      <c r="E3">
        <f>(E1+E2)/2</f>
        <v/>
      </c>
    </row>
    <row r="4">
      <c r="A4" t="inlineStr">
        <is>
          <t>ScenarioPrice</t>
        </is>
      </c>
      <c r="B4">
        <f>B2-B3*Settings!$B$3</f>
        <v/>
      </c>
      <c r="D4" t="inlineStr">
        <is>
          <t>UpperLevel1</t>
        </is>
      </c>
      <c r="E4">
        <f>E3+1*Settings!$B$5*Settings!$B$3</f>
        <v/>
      </c>
    </row>
    <row r="5">
      <c r="D5" t="inlineStr">
        <is>
          <t>UpperLevel2</t>
        </is>
      </c>
      <c r="E5">
        <f>E3+2*Settings!$B$5*Settings!$B$3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UpperLevel3</t>
        </is>
      </c>
      <c r="E6" s="1">
        <f>E3+3*Settings!$B$5*Settings!$B$3</f>
        <v/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 t="inlineStr">
        <is>
          <t>UpperLevel4</t>
        </is>
      </c>
      <c r="E7">
        <f>E3+4*Settings!$B$5*Settings!$B$3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 t="inlineStr">
        <is>
          <t>LowerLevel1</t>
        </is>
      </c>
      <c r="E9">
        <f>E3-1*Settings!$B$5*Settings!$B$3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 t="inlineStr">
        <is>
          <t>LowerLevel2</t>
        </is>
      </c>
      <c r="E10">
        <f>E3-2*Settings!$B$5*Settings!$B$3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 t="inlineStr">
        <is>
          <t>LowerLevel3</t>
        </is>
      </c>
      <c r="E11">
        <f>E3-3*Settings!$B$5*Settings!$B$3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 t="inlineStr">
        <is>
          <t>LowerLevel4</t>
        </is>
      </c>
      <c r="E12">
        <f>E3-4*Settings!$B$5*Settings!$B$3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IFERROR(MIN(IF((B7:B206="BUY")*(H7:H206&lt;0),H7:H206)),0)</f>
        <v/>
      </c>
    </row>
    <row r="222">
      <c r="A222" t="inlineStr">
        <is>
          <t>TailTicket</t>
        </is>
      </c>
      <c r="B222">
        <f>IFERROR(MIN(IF((B7:B206="BUY")*(H7:H206=B221),A7:A206)),"N/A")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IF(Scenario_UP!B4&gt;=IF(B4=1,Scenario_UP!E4,IF(B4=2,Scenario_UP!E5,IF(B4=3,Scenario_UP!E6,Scenario_UP!E7))),"YES","NO")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FLOOR(B3*B5,Settings!$B$7)</f>
        <v/>
      </c>
    </row>
    <row r="8">
      <c r="A8" t="inlineStr">
        <is>
          <t>SmallLot</t>
        </is>
      </c>
      <c r="B8">
        <f>FLOOR(B3*B6,Settings!$B$7)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IF(Scenario_DOWN!B4&lt;=IF(B4=1,Scenario_DOWN!E9,IF(B4=2,Scenario_DOWN!E10,IF(B4=3,Scenario_DOWN!E11,Scenario_DOWN!E12))),"YES","NO")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IF(AND(B7&gt;=Settings!$B$6,B8&gt;=Settings!$B$6,B8&lt;B7,B7&lt;=B3,B9&lt;Settings!$B$8,B10&lt;=Settings!$B$15,B11&lt;=Settings!$B$16,B12="YES",B13="YES"),"YES","NO")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IF(OR(SectionCalculator_UP!B14="NO",SectionCalculator_UP!B12="YES"),"OK","ERROR")</f>
        <v/>
      </c>
      <c r="C5">
        <f>IF(OR(SectionCalculator_DOWN!B14="NO",SectionCalculator_DOWN!B12="YES"),"OK","ERROR")</f>
        <v/>
      </c>
    </row>
    <row r="6">
      <c r="A6" t="inlineStr">
        <is>
          <t>No opposite cascade active</t>
        </is>
      </c>
      <c r="B6">
        <f>IF(SectionCalculator_UP!B13="YES","OK","ERROR")</f>
        <v/>
      </c>
      <c r="C6">
        <f>IF(SectionCalculator_DOWN!B13="YES","OK","ERROR")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"NEXT ACTION UP:"&amp;CHAR(10)&amp;BasketSummary!B13&amp;CHAR(10)&amp;"NEXT ACTION DOWN:"&amp;CHAR(10)&amp;BasketSummary!C13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2026-05-09T22:51:43Z</dcterms:created>
  <dcterms:modified xsi:type="dcterms:W3CDTF">2026-05-09T22:51:43Z</dcterms:modified>
</cp:coreProperties>
</file>