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IF(E3=0,"Уровень не рассчитан",E3+1*Settings!$B$5*Settings!$B$3)</f>
        <v/>
      </c>
    </row>
    <row r="5">
      <c r="D5" t="inlineStr">
        <is>
          <t>UpperLevel2</t>
        </is>
      </c>
      <c r="E5">
        <f>IF(E3=0,"Уровень не рассчитан",E3+2*Settings!$B$5*Settings!$B$3)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IF(E3=0,"Уровень не рассчитан",E3+3*Settings!$B$5*Settings!$B$3)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IF(E3=0,"Уровень не рассчитан",E3+4*Settings!$B$5*Settings!$B$3)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IF(E3=0,"Уровень не рассчитан",E3-1*Settings!$B$5*Settings!$B$3)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IF(E3=0,"Уровень не рассчитан",E3-2*Settings!$B$5*Settings!$B$3)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IF(E3=0,"Уровень не рассчитан",E3-3*Settings!$B$5*Settings!$B$3)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IF(E3=0,"Уровень не рассчитан",E3-4*Settings!$B$5*Settings!$B$3)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IF(E3=0,"Уровень не рассчитан",E3+1*Settings!$B$5*Settings!$B$3)</f>
        <v/>
      </c>
    </row>
    <row r="5">
      <c r="D5" t="inlineStr">
        <is>
          <t>UpperLevel2</t>
        </is>
      </c>
      <c r="E5">
        <f>IF(E3=0,"Уровень не рассчитан",E3+2*Settings!$B$5*Settings!$B$3)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IF(E3=0,"Уровень не рассчитан",E3+3*Settings!$B$5*Settings!$B$3)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IF(E3=0,"Уровень не рассчитан",E3+4*Settings!$B$5*Settings!$B$3)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IF(E3=0,"Уровень не рассчитан",E3-1*Settings!$B$5*Settings!$B$3)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IF(E3=0,"Уровень не рассчитан",E3-2*Settings!$B$5*Settings!$B$3)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IF(E3=0,"Уровень не рассчитан",E3-3*Settings!$B$5*Settings!$B$3)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IF(E3=0,"Уровень не рассчитан",E3-4*Settings!$B$5*Settings!$B$3)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КОРЗИНУ",IF(AND(TailRecovery_UP!B10&gt;0,TailRecovery_UP!B10&lt;TailRecovery_UP!B3),"ЗАКРЫТЬ ХВОСТ ЧАСТИЧНО","ЗАКРЫТЬ СЕКЦИЮ"))))</f>
        <v/>
      </c>
      <c r="E2">
        <f>IFERROR(TailRecovery_UP!B3,0)</f>
        <v/>
      </c>
      <c r="F2">
        <f>IFERROR(TailRecovery_UP!B10,0)</f>
        <v/>
      </c>
      <c r="G2">
        <f>IF(OR(NOT(ISNUMBER(E2)),NOT(ISNUMBER(F2))),"Хвост не найден",MAX(E2-F2,0))</f>
        <v/>
      </c>
      <c r="H2">
        <f>IFERROR(TailRecovery_UP!B5,0)</f>
        <v/>
      </c>
      <c r="I2">
        <f>IFERROR(TailRecovery_UP!B7,0)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КОРЗИНУ",IF(AND(TailRecovery_DOWN!B10&gt;0,TailRecovery_DOWN!B10&lt;TailRecovery_DOWN!B3),"ЗАКРЫТЬ ХВОСТ ЧАСТИЧНО","ЗАКРЫТЬ СЕКЦИЮ"))))</f>
        <v/>
      </c>
      <c r="E3">
        <f>IFERROR(TailRecovery_DOWN!B3,0)</f>
        <v/>
      </c>
      <c r="F3">
        <f>IFERROR(TailRecovery_DOWN!B10,0)</f>
        <v/>
      </c>
      <c r="G3">
        <f>IF(OR(NOT(ISNUMBER(E3)),NOT(ISNUMBER(F3))),"Хвост не найден",MAX(E3-F3,0))</f>
        <v/>
      </c>
      <c r="H3">
        <f>IFERROR(TailRecovery_DOWN!B5,0)</f>
        <v/>
      </c>
      <c r="I3">
        <f>IFERROR(TailRecovery_DOWN!B7,0)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IFERROR(Scenario_UP!B4,0)</f>
        <v/>
      </c>
    </row>
    <row r="5">
      <c r="A5" t="inlineStr">
        <is>
          <t>Следующий уровень открытия</t>
        </is>
      </c>
      <c r="B5">
        <f>IFERROR(IF(SectionCalculator_UP!B4=1,Scenario_UP!E4,IF(SectionCalculator_UP!B4=2,Scenario_UP!E5,IF(SectionCalculator_UP!B4=3,Scenario_UP!E6,IF(SectionCalculator_UP!B4=4,Scenario_UP!E7,"Уровень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>
        <f>IFERROR(TailRecovery_UP!B9,0)</f>
        <v/>
      </c>
    </row>
    <row r="28">
      <c r="A28" t="inlineStr">
        <is>
          <t>Округлённый лот закрытия</t>
        </is>
      </c>
      <c r="B28">
        <f>IFERROR(TailRecovery_UP!B10,0)</f>
        <v/>
      </c>
    </row>
    <row r="29">
      <c r="A29" t="inlineStr">
        <is>
          <t>Итоговый лот закрытия</t>
        </is>
      </c>
      <c r="B29">
        <f>IFERROR(TailRecovery_UP!B10,0)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IFERROR(Scenario_DOWN!B4,0)</f>
        <v/>
      </c>
    </row>
    <row r="5">
      <c r="A5" t="inlineStr">
        <is>
          <t>Следующий уровень открытия</t>
        </is>
      </c>
      <c r="B5">
        <f>IFERROR(IF(SectionCalculator_DOWN!B4=1,Scenario_DOWN!E9,IF(SectionCalculator_DOWN!B4=2,Scenario_DOWN!E10,IF(SectionCalculator_DOWN!B4=3,Scenario_DOWN!E11,IF(SectionCalculator_DOWN!B4=4,Scenario_DOWN!E12,"Уровень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>
        <f>IFERROR(TailRecovery_DOWN!B9,0)</f>
        <v/>
      </c>
    </row>
    <row r="28">
      <c r="A28" t="inlineStr">
        <is>
          <t>Округлённый лот закрытия</t>
        </is>
      </c>
      <c r="B28">
        <f>IFERROR(TailRecovery_DOWN!B10,0)</f>
        <v/>
      </c>
    </row>
    <row r="29">
      <c r="A29" t="inlineStr">
        <is>
          <t>Итоговый лот закрытия</t>
        </is>
      </c>
      <c r="B29">
        <f>IFERROR(TailRecovery_DOWN!B10,0)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2026-05-11T21:53:03Z</dcterms:created>
  <dcterms:modified xsi:type="dcterms:W3CDTF">2026-05-11T21:53:03Z</dcterms:modified>
</cp:coreProperties>
</file>