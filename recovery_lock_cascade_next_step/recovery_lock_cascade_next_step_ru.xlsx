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БольшойКоэф</t>
        </is>
      </c>
      <c r="C20" s="1" t="inlineStr">
        <is>
          <t>МалыйКоэф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Тикет</t>
        </is>
      </c>
      <c r="B1" s="1" t="inlineStr">
        <is>
          <t>Тип</t>
        </is>
      </c>
      <c r="C1" s="1" t="inlineStr">
        <is>
          <t>Роль</t>
        </is>
      </c>
      <c r="D1" s="1" t="inlineStr">
        <is>
          <t>Лот</t>
        </is>
      </c>
      <c r="E1" s="1" t="inlineStr">
        <is>
          <t>ЦенаОткрытия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  <c r="D1" t="inlineStr">
        <is>
          <t>СредняяЦенаBUY</t>
        </is>
      </c>
      <c r="E1">
        <f>IFERROR(SUMPRODUCT((B7:B206="BUY")*E7:E206*D7:D206)/SUMIFS(D7:D206,B7:B206,"BUY"),0)</f>
        <v/>
      </c>
    </row>
    <row r="2">
      <c r="A2" t="inlineStr">
        <is>
          <t>ТекущаяЦена</t>
        </is>
      </c>
      <c r="B2">
        <f>CurrentPositions!F2</f>
        <v/>
      </c>
      <c r="D2" t="inlineStr">
        <is>
          <t>СредняяЦенаSELL</t>
        </is>
      </c>
      <c r="E2">
        <f>IFERROR(SUMPRODUCT((B7:B206="SELL")*E7:E206*D7:D206)/SUMIFS(D7:D206,B7:B206,"SELL"),0)</f>
        <v/>
      </c>
    </row>
    <row r="3">
      <c r="A3" t="inlineStr">
        <is>
          <t>ДвижениеВверхПункты</t>
        </is>
      </c>
      <c r="B3" t="n">
        <v>100</v>
      </c>
      <c r="D3" t="inlineStr">
        <is>
          <t>Центр</t>
        </is>
      </c>
      <c r="E3">
        <f>(E1+E2)/2</f>
        <v/>
      </c>
    </row>
    <row r="4">
      <c r="A4" t="inlineStr">
        <is>
          <t>СценарнаяЦена</t>
        </is>
      </c>
      <c r="B4">
        <f>B2+B3*Settings!$B$3</f>
        <v/>
      </c>
      <c r="D4" t="inlineStr">
        <is>
          <t>ВерхУровень1</t>
        </is>
      </c>
      <c r="E4">
        <f>E3+1*Settings!$B$5*Settings!$B$3</f>
        <v/>
      </c>
    </row>
    <row r="5">
      <c r="D5" t="inlineStr">
        <is>
          <t>ВерхУровень2</t>
        </is>
      </c>
      <c r="E5">
        <f>E3+2*Settings!$B$5*Settings!$B$3</f>
        <v/>
      </c>
    </row>
    <row r="6">
      <c r="A6" s="1" t="inlineStr">
        <is>
          <t>Тикет</t>
        </is>
      </c>
      <c r="B6" s="1" t="inlineStr">
        <is>
          <t>Тип</t>
        </is>
      </c>
      <c r="C6" s="1" t="inlineStr">
        <is>
          <t>Роль</t>
        </is>
      </c>
      <c r="D6" s="1" t="inlineStr">
        <is>
          <t>ВерхУровень3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ВерхУровень4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НизУровень1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НизУровень2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НизУровень3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НизУровень4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07"/>
    <row r="208"/>
    <row r="209"/>
    <row r="210"/>
    <row r="211"/>
    <row r="212"/>
    <row r="213"/>
    <row r="214"/>
    <row r="215"/>
    <row r="216"/>
    <row r="217"/>
    <row r="218"/>
    <row r="219"/>
    <row r="220">
      <c r="A220" t="inlineStr">
        <is>
          <t>ТипХвоста</t>
        </is>
      </c>
      <c r="B220" t="inlineStr">
        <is>
          <t>SELL</t>
        </is>
      </c>
    </row>
    <row r="221">
      <c r="A221" t="inlineStr">
        <is>
          <t>ХудшийPnLХвоста</t>
        </is>
      </c>
      <c r="B221">
        <f>IFERROR(MIN(IF((B7:B206="SELL")*(H7:H206&lt;0),H7:H206)),0)</f>
        <v/>
      </c>
    </row>
    <row r="222">
      <c r="A222" t="inlineStr">
        <is>
          <t>ТикетХвоста</t>
        </is>
      </c>
      <c r="B222">
        <f>IFERROR(MIN(IF((B7:B206="SELL")*(H7:H206=B221),A7:A206)),"N/A")</f>
        <v/>
      </c>
    </row>
    <row r="223">
      <c r="A223" t="inlineStr">
        <is>
          <t>ЛотХвоста</t>
        </is>
      </c>
      <c r="B223">
        <f>IF(B222="N/A",0,INDEX(D7:D206,MATCH(B222,A7:A206,0)))</f>
        <v/>
      </c>
    </row>
    <row r="224">
      <c r="A224" t="inlineStr">
        <is>
          <t>УбытокХвостаДеньги</t>
        </is>
      </c>
      <c r="B224">
        <f>IF(B222="N/A",0,ABS(INDEX(H7:H206,MATCH(B222,A7:A206,0))))</f>
        <v/>
      </c>
    </row>
    <row r="225">
      <c r="A225" t="inlineStr">
        <is>
          <t>УбытокНаЛот</t>
        </is>
      </c>
      <c r="B225">
        <f>IF(B223=0,0,ABS(B224/B223))</f>
        <v/>
      </c>
    </row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  <c r="D1" t="inlineStr">
        <is>
          <t>СредняяЦенаBUY</t>
        </is>
      </c>
      <c r="E1">
        <f>IFERROR(SUMPRODUCT((B7:B206="BUY")*E7:E206*D7:D206)/SUMIFS(D7:D206,B7:B206,"BUY"),0)</f>
        <v/>
      </c>
    </row>
    <row r="2">
      <c r="A2" t="inlineStr">
        <is>
          <t>ТекущаяЦена</t>
        </is>
      </c>
      <c r="B2">
        <f>CurrentPositions!F2</f>
        <v/>
      </c>
      <c r="D2" t="inlineStr">
        <is>
          <t>СредняяЦенаSELL</t>
        </is>
      </c>
      <c r="E2">
        <f>IFERROR(SUMPRODUCT((B7:B206="SELL")*E7:E206*D7:D206)/SUMIFS(D7:D206,B7:B206,"SELL"),0)</f>
        <v/>
      </c>
    </row>
    <row r="3">
      <c r="A3" t="inlineStr">
        <is>
          <t>ДвижениеВнизПункты</t>
        </is>
      </c>
      <c r="B3" t="n">
        <v>100</v>
      </c>
      <c r="D3" t="inlineStr">
        <is>
          <t>Центр</t>
        </is>
      </c>
      <c r="E3">
        <f>(E1+E2)/2</f>
        <v/>
      </c>
    </row>
    <row r="4">
      <c r="A4" t="inlineStr">
        <is>
          <t>СценарнаяЦена</t>
        </is>
      </c>
      <c r="B4">
        <f>B2-B3*Settings!$B$3</f>
        <v/>
      </c>
      <c r="D4" t="inlineStr">
        <is>
          <t>ВерхУровень1</t>
        </is>
      </c>
      <c r="E4">
        <f>E3+1*Settings!$B$5*Settings!$B$3</f>
        <v/>
      </c>
    </row>
    <row r="5">
      <c r="D5" t="inlineStr">
        <is>
          <t>ВерхУровень2</t>
        </is>
      </c>
      <c r="E5">
        <f>E3+2*Settings!$B$5*Settings!$B$3</f>
        <v/>
      </c>
    </row>
    <row r="6">
      <c r="A6" s="1" t="inlineStr">
        <is>
          <t>Тикет</t>
        </is>
      </c>
      <c r="B6" s="1" t="inlineStr">
        <is>
          <t>Тип</t>
        </is>
      </c>
      <c r="C6" s="1" t="inlineStr">
        <is>
          <t>Роль</t>
        </is>
      </c>
      <c r="D6" s="1" t="inlineStr">
        <is>
          <t>ВерхУровень3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ВерхУровень4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НизУровень1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НизУровень2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НизУровень3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НизУровень4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07"/>
    <row r="208"/>
    <row r="209"/>
    <row r="210"/>
    <row r="211"/>
    <row r="212"/>
    <row r="213"/>
    <row r="214"/>
    <row r="215"/>
    <row r="216"/>
    <row r="217"/>
    <row r="218"/>
    <row r="219"/>
    <row r="220">
      <c r="A220" t="inlineStr">
        <is>
          <t>ТипХвоста</t>
        </is>
      </c>
      <c r="B220" t="inlineStr">
        <is>
          <t>BUY</t>
        </is>
      </c>
    </row>
    <row r="221">
      <c r="A221" t="inlineStr">
        <is>
          <t>ХудшийPnLХвоста</t>
        </is>
      </c>
      <c r="B221">
        <f>IFERROR(MIN(IF((B7:B206="BUY")*(H7:H206&lt;0),H7:H206)),0)</f>
        <v/>
      </c>
    </row>
    <row r="222">
      <c r="A222" t="inlineStr">
        <is>
          <t>ТикетХвоста</t>
        </is>
      </c>
      <c r="B222">
        <f>IFERROR(MIN(IF((B7:B206="BUY")*(H7:H206=B221),A7:A206)),"N/A")</f>
        <v/>
      </c>
    </row>
    <row r="223">
      <c r="A223" t="inlineStr">
        <is>
          <t>ЛотХвоста</t>
        </is>
      </c>
      <c r="B223">
        <f>IF(B222="N/A",0,INDEX(D7:D206,MATCH(B222,A7:A206,0)))</f>
        <v/>
      </c>
    </row>
    <row r="224">
      <c r="A224" t="inlineStr">
        <is>
          <t>УбытокХвостаДеньги</t>
        </is>
      </c>
      <c r="B224">
        <f>IF(B222="N/A",0,ABS(INDEX(H7:H206,MATCH(B222,A7:A206,0))))</f>
        <v/>
      </c>
    </row>
    <row r="225">
      <c r="A225" t="inlineStr">
        <is>
          <t>УбытокНаЛот</t>
        </is>
      </c>
      <c r="B225">
        <f>IF(B223=0,0,ABS(B224/B223))</f>
        <v/>
      </c>
    </row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</row>
    <row r="2">
      <c r="A2" t="inlineStr">
        <is>
          <t>ТипХвоста</t>
        </is>
      </c>
      <c r="B2">
        <f>Scenario_UP!B220</f>
        <v/>
      </c>
    </row>
    <row r="3">
      <c r="A3" t="inlineStr">
        <is>
          <t>ЛотХвоста</t>
        </is>
      </c>
      <c r="B3">
        <f>Scenario_UP!B223</f>
        <v/>
      </c>
    </row>
    <row r="4">
      <c r="A4" t="inlineStr">
        <is>
          <t>СледующийУровень</t>
        </is>
      </c>
      <c r="B4" t="n">
        <v>1</v>
      </c>
    </row>
    <row r="5">
      <c r="A5" t="inlineStr">
        <is>
          <t>БольшойКоэф</t>
        </is>
      </c>
      <c r="B5">
        <f>INDEX(Settings!B21:B24,MATCH(B4,Settings!A21:A24,0))</f>
        <v/>
      </c>
    </row>
    <row r="6">
      <c r="A6" t="inlineStr">
        <is>
          <t>МалыйКоэф</t>
        </is>
      </c>
      <c r="B6">
        <f>INDEX(Settings!C21:C24,MATCH(B4,Settings!A21:A24,0))</f>
        <v/>
      </c>
    </row>
    <row r="7">
      <c r="A7" t="inlineStr">
        <is>
          <t>БольшойЛот</t>
        </is>
      </c>
      <c r="B7">
        <f>FLOOR(B3*B5,Settings!$B$7)</f>
        <v/>
      </c>
    </row>
    <row r="8">
      <c r="A8" t="inlineStr">
        <is>
          <t>МалыйЛот</t>
        </is>
      </c>
      <c r="B8">
        <f>FLOOR(B3*B6,Settings!$B$7)</f>
        <v/>
      </c>
    </row>
    <row r="9">
      <c r="A9" t="inlineStr">
        <is>
          <t>АктивныеСекции</t>
        </is>
      </c>
      <c r="B9">
        <f>COUNTIFS(CurrentPositions!C2:C500,"SECTION_BIG")</f>
        <v/>
      </c>
    </row>
    <row r="10">
      <c r="A10" t="inlineStr">
        <is>
          <t>ОбщийЛотПослеОткрытия</t>
        </is>
      </c>
      <c r="B10">
        <f>SUM(CurrentPositions!D2:D500)+B7+B8</f>
        <v/>
      </c>
    </row>
    <row r="11">
      <c r="A11" t="inlineStr">
        <is>
          <t>ЧистыйЛотПослеОткрытия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УровеньДостигнут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НетВстречногоКаскада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МожноОткрытьСекцию</t>
        </is>
      </c>
      <c r="B14">
        <f>IF(AND(B7&gt;=Settings!$B$6,B8&gt;=Settings!$B$6,B8&lt;B7,B7&lt;=B3,B9&lt;Settings!$B$8,B10&lt;=Settings!$B$15,B11&lt;=Settings!$B$16,B12="YES",B13="YES"),"YES","NO")</f>
        <v/>
      </c>
    </row>
    <row r="15"/>
    <row r="16"/>
    <row r="17"/>
    <row r="18"/>
    <row r="19"/>
    <row r="20">
      <c r="A20" s="1" t="inlineStr">
        <is>
          <t>IDСекции</t>
        </is>
      </c>
      <c r="B20" s="1" t="inlineStr">
        <is>
          <t>BigType</t>
        </is>
      </c>
      <c r="C20" s="1" t="inlineStr">
        <is>
          <t>БольшойЛот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25"/>
    <row r="26"/>
    <row r="27"/>
    <row r="28"/>
    <row r="29"/>
    <row r="30">
      <c r="A30" t="inlineStr">
        <is>
          <t>ВыбраннаяСекция</t>
        </is>
      </c>
      <c r="B30">
        <f>IFERROR(INDEX(A21:A24,MATCH("YES",R21:R24,0)),"NONE")</f>
        <v/>
      </c>
    </row>
    <row r="31">
      <c r="A31" t="inlineStr">
        <is>
          <t>ПрибыльЦикла</t>
        </is>
      </c>
      <c r="B31">
        <f>IF(B30="NONE",0,INDEX(Q21:Q24,MATCH(B30,A21:A24,0)))</f>
        <v/>
      </c>
    </row>
    <row r="32">
      <c r="A32" t="inlineStr">
        <is>
          <t>МожноЗакрытьСекцию</t>
        </is>
      </c>
      <c r="B32">
        <f>IF(B31&gt;0,"YES","NO")</f>
        <v/>
      </c>
    </row>
    <row r="33">
      <c r="A33" t="inlineStr">
        <is>
          <t>ДобавкаРезерв</t>
        </is>
      </c>
      <c r="B33">
        <f>IF(B31&gt;0,B31*Settings!$B$9,0)</f>
        <v/>
      </c>
    </row>
    <row r="34">
      <c r="A34" t="inlineStr">
        <is>
          <t>ДобавкаRecovery</t>
        </is>
      </c>
      <c r="B34">
        <f>IF(B31&gt;0,B31*Settings!$B$10,0)</f>
        <v/>
      </c>
    </row>
    <row r="35">
      <c r="A35" t="inlineStr">
        <is>
          <t>НовыйГлобРезерв</t>
        </is>
      </c>
      <c r="B35">
        <f>Settings!$B$17+B33</f>
        <v/>
      </c>
    </row>
    <row r="36">
      <c r="A36" t="inlineStr">
        <is>
          <t>НовыйRecoveryFund</t>
        </is>
      </c>
      <c r="B36">
        <f>Settings!$B$18+B34</f>
        <v/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</row>
    <row r="2">
      <c r="A2" t="inlineStr">
        <is>
          <t>ТипХвоста</t>
        </is>
      </c>
      <c r="B2">
        <f>Scenario_DOWN!B220</f>
        <v/>
      </c>
    </row>
    <row r="3">
      <c r="A3" t="inlineStr">
        <is>
          <t>ЛотХвоста</t>
        </is>
      </c>
      <c r="B3">
        <f>Scenario_DOWN!B223</f>
        <v/>
      </c>
    </row>
    <row r="4">
      <c r="A4" t="inlineStr">
        <is>
          <t>СледующийУровень</t>
        </is>
      </c>
      <c r="B4" t="n">
        <v>1</v>
      </c>
    </row>
    <row r="5">
      <c r="A5" t="inlineStr">
        <is>
          <t>БольшойКоэф</t>
        </is>
      </c>
      <c r="B5">
        <f>INDEX(Settings!B21:B24,MATCH(B4,Settings!A21:A24,0))</f>
        <v/>
      </c>
    </row>
    <row r="6">
      <c r="A6" t="inlineStr">
        <is>
          <t>МалыйКоэф</t>
        </is>
      </c>
      <c r="B6">
        <f>INDEX(Settings!C21:C24,MATCH(B4,Settings!A21:A24,0))</f>
        <v/>
      </c>
    </row>
    <row r="7">
      <c r="A7" t="inlineStr">
        <is>
          <t>БольшойЛот</t>
        </is>
      </c>
      <c r="B7">
        <f>FLOOR(B3*B5,Settings!$B$7)</f>
        <v/>
      </c>
    </row>
    <row r="8">
      <c r="A8" t="inlineStr">
        <is>
          <t>МалыйЛот</t>
        </is>
      </c>
      <c r="B8">
        <f>FLOOR(B3*B6,Settings!$B$7)</f>
        <v/>
      </c>
    </row>
    <row r="9">
      <c r="A9" t="inlineStr">
        <is>
          <t>АктивныеСекции</t>
        </is>
      </c>
      <c r="B9">
        <f>COUNTIFS(CurrentPositions!C2:C500,"SECTION_BIG")</f>
        <v/>
      </c>
    </row>
    <row r="10">
      <c r="A10" t="inlineStr">
        <is>
          <t>ОбщийЛотПослеОткрытия</t>
        </is>
      </c>
      <c r="B10">
        <f>SUM(CurrentPositions!D2:D500)+B7+B8</f>
        <v/>
      </c>
    </row>
    <row r="11">
      <c r="A11" t="inlineStr">
        <is>
          <t>ЧистыйЛотПослеОткрытия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УровеньДостигнут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НетВстречногоКаскада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МожноОткрытьСекцию</t>
        </is>
      </c>
      <c r="B14">
        <f>IF(AND(B7&gt;=Settings!$B$6,B8&gt;=Settings!$B$6,B8&lt;B7,B7&lt;=B3,B9&lt;Settings!$B$8,B10&lt;=Settings!$B$15,B11&lt;=Settings!$B$16,B12="YES",B13="YES"),"YES","NO")</f>
        <v/>
      </c>
    </row>
    <row r="15"/>
    <row r="16"/>
    <row r="17"/>
    <row r="18"/>
    <row r="19"/>
    <row r="20">
      <c r="A20" s="1" t="inlineStr">
        <is>
          <t>IDСекции</t>
        </is>
      </c>
      <c r="B20" s="1" t="inlineStr">
        <is>
          <t>BigType</t>
        </is>
      </c>
      <c r="C20" s="1" t="inlineStr">
        <is>
          <t>БольшойЛот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25"/>
    <row r="26"/>
    <row r="27"/>
    <row r="28"/>
    <row r="29"/>
    <row r="30">
      <c r="A30" t="inlineStr">
        <is>
          <t>ВыбраннаяСекция</t>
        </is>
      </c>
      <c r="B30">
        <f>IFERROR(INDEX(A21:A24,MATCH("YES",R21:R24,0)),"NONE")</f>
        <v/>
      </c>
    </row>
    <row r="31">
      <c r="A31" t="inlineStr">
        <is>
          <t>ПрибыльЦикла</t>
        </is>
      </c>
      <c r="B31">
        <f>IF(B30="NONE",0,INDEX(Q21:Q24,MATCH(B30,A21:A24,0)))</f>
        <v/>
      </c>
    </row>
    <row r="32">
      <c r="A32" t="inlineStr">
        <is>
          <t>МожноЗакрытьСекцию</t>
        </is>
      </c>
      <c r="B32">
        <f>IF(B31&gt;0,"YES","NO")</f>
        <v/>
      </c>
    </row>
    <row r="33">
      <c r="A33" t="inlineStr">
        <is>
          <t>ДобавкаРезерв</t>
        </is>
      </c>
      <c r="B33">
        <f>IF(B31&gt;0,B31*Settings!$B$9,0)</f>
        <v/>
      </c>
    </row>
    <row r="34">
      <c r="A34" t="inlineStr">
        <is>
          <t>ДобавкаRecovery</t>
        </is>
      </c>
      <c r="B34">
        <f>IF(B31&gt;0,B31*Settings!$B$10,0)</f>
        <v/>
      </c>
    </row>
    <row r="35">
      <c r="A35" t="inlineStr">
        <is>
          <t>НовыйГлобРезерв</t>
        </is>
      </c>
      <c r="B35">
        <f>Settings!$B$17+B33</f>
        <v/>
      </c>
    </row>
    <row r="36">
      <c r="A36" t="inlineStr">
        <is>
          <t>НовыйRecoveryFund</t>
        </is>
      </c>
      <c r="B36">
        <f>Settings!$B$18+B34</f>
        <v/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</row>
    <row r="2">
      <c r="A2" t="inlineStr">
        <is>
          <t>ТипХвоста</t>
        </is>
      </c>
      <c r="B2">
        <f>Scenario_UP!B220</f>
        <v/>
      </c>
    </row>
    <row r="3">
      <c r="A3" t="inlineStr">
        <is>
          <t>ТикетХвоста</t>
        </is>
      </c>
      <c r="B3">
        <f>Scenario_UP!B222</f>
        <v/>
      </c>
    </row>
    <row r="4">
      <c r="A4" t="inlineStr">
        <is>
          <t>ЛотХвоста</t>
        </is>
      </c>
      <c r="B4">
        <f>Scenario_UP!B223</f>
        <v/>
      </c>
    </row>
    <row r="5">
      <c r="A5" t="inlineStr">
        <is>
          <t>УбытокНаЛот</t>
        </is>
      </c>
      <c r="B5">
        <f>Scenario_UP!B225</f>
        <v/>
      </c>
    </row>
    <row r="6">
      <c r="A6" t="inlineStr">
        <is>
          <t>МожноЗакрытьСекцию</t>
        </is>
      </c>
      <c r="B6">
        <f>SectionCalculator_UP!B32</f>
        <v/>
      </c>
    </row>
    <row r="7">
      <c r="A7" t="inlineStr">
        <is>
          <t>RecoveryПослеЦикла</t>
        </is>
      </c>
      <c r="B7">
        <f>SectionCalculator_UP!B36</f>
        <v/>
      </c>
    </row>
    <row r="8">
      <c r="A8" t="inlineStr">
        <is>
          <t>ЛотЗакрытияСырой</t>
        </is>
      </c>
      <c r="B8">
        <f>IF(OR(B6&lt;&gt;"YES",B5=0),0,B7/B5)</f>
        <v/>
      </c>
    </row>
    <row r="9">
      <c r="A9" t="inlineStr">
        <is>
          <t>ЛотЗакрытияОкругл</t>
        </is>
      </c>
      <c r="B9">
        <f>FLOOR(B8,Settings!$B$7)</f>
        <v/>
      </c>
    </row>
    <row r="10">
      <c r="A10" t="inlineStr">
        <is>
          <t>ЛотЗакрытияФинал</t>
        </is>
      </c>
      <c r="B10">
        <f>IF(B6="YES",MIN(B9,B4),0)</f>
        <v/>
      </c>
    </row>
    <row r="11">
      <c r="A11" t="inlineStr">
        <is>
          <t>ЗакрытиеРазрешено</t>
        </is>
      </c>
      <c r="B11">
        <f>IF(AND(B10&gt;=Settings!$B$6,B6="YES"),"YES","NO")</f>
        <v/>
      </c>
    </row>
    <row r="12">
      <c r="A12" t="inlineStr">
        <is>
          <t>УбытокЗакрытияХвоста</t>
        </is>
      </c>
      <c r="B12">
        <f>B10*B5</f>
        <v/>
      </c>
    </row>
    <row r="13">
      <c r="A13" t="inlineStr">
        <is>
          <t>RecoveryПослеЗакрытия</t>
        </is>
      </c>
      <c r="B13">
        <f>MAX(0,B7-B12)</f>
        <v/>
      </c>
    </row>
    <row r="14">
      <c r="A14" t="inlineStr">
        <is>
          <t>ЛотХвостаПослеЗакрытия</t>
        </is>
      </c>
      <c r="B14">
        <f>B4-B10</f>
        <v/>
      </c>
    </row>
    <row r="15">
      <c r="A15" t="inlineStr">
        <is>
          <t>СледующийУровень</t>
        </is>
      </c>
      <c r="B15">
        <f>SectionCalculator_UP!B4</f>
        <v/>
      </c>
    </row>
    <row r="16">
      <c r="A16" t="inlineStr">
        <is>
          <t>СледБольшойЛотПослеRecovery</t>
        </is>
      </c>
      <c r="B16">
        <f>FLOOR(B14*INDEX(Settings!B21:B24,MATCH(B15,Settings!A21:A24,0)),Settings!$B$7)</f>
        <v/>
      </c>
    </row>
    <row r="17">
      <c r="A17" t="inlineStr">
        <is>
          <t>СледМалыйЛотПослеRecovery</t>
        </is>
      </c>
      <c r="B17">
        <f>FLOOR(B14*INDEX(Settings!C21:C24,MATCH(B15,Settings!A21:A24,0)),Settings!$B$7)</f>
        <v/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Значение</t>
        </is>
      </c>
    </row>
    <row r="2">
      <c r="A2" t="inlineStr">
        <is>
          <t>ТипХвоста</t>
        </is>
      </c>
      <c r="B2">
        <f>Scenario_DOWN!B220</f>
        <v/>
      </c>
    </row>
    <row r="3">
      <c r="A3" t="inlineStr">
        <is>
          <t>ТикетХвоста</t>
        </is>
      </c>
      <c r="B3">
        <f>Scenario_DOWN!B222</f>
        <v/>
      </c>
    </row>
    <row r="4">
      <c r="A4" t="inlineStr">
        <is>
          <t>ЛотХвоста</t>
        </is>
      </c>
      <c r="B4">
        <f>Scenario_DOWN!B223</f>
        <v/>
      </c>
    </row>
    <row r="5">
      <c r="A5" t="inlineStr">
        <is>
          <t>УбытокНаЛот</t>
        </is>
      </c>
      <c r="B5">
        <f>Scenario_DOWN!B225</f>
        <v/>
      </c>
    </row>
    <row r="6">
      <c r="A6" t="inlineStr">
        <is>
          <t>МожноЗакрытьСекцию</t>
        </is>
      </c>
      <c r="B6">
        <f>SectionCalculator_DOWN!B32</f>
        <v/>
      </c>
    </row>
    <row r="7">
      <c r="A7" t="inlineStr">
        <is>
          <t>RecoveryПослеЦикла</t>
        </is>
      </c>
      <c r="B7">
        <f>SectionCalculator_DOWN!B36</f>
        <v/>
      </c>
    </row>
    <row r="8">
      <c r="A8" t="inlineStr">
        <is>
          <t>ЛотЗакрытияСырой</t>
        </is>
      </c>
      <c r="B8">
        <f>IF(OR(B6&lt;&gt;"YES",B5=0),0,B7/B5)</f>
        <v/>
      </c>
    </row>
    <row r="9">
      <c r="A9" t="inlineStr">
        <is>
          <t>ЛотЗакрытияОкругл</t>
        </is>
      </c>
      <c r="B9">
        <f>FLOOR(B8,Settings!$B$7)</f>
        <v/>
      </c>
    </row>
    <row r="10">
      <c r="A10" t="inlineStr">
        <is>
          <t>ЛотЗакрытияФинал</t>
        </is>
      </c>
      <c r="B10">
        <f>IF(B6="YES",MIN(B9,B4),0)</f>
        <v/>
      </c>
    </row>
    <row r="11">
      <c r="A11" t="inlineStr">
        <is>
          <t>ЗакрытиеРазрешено</t>
        </is>
      </c>
      <c r="B11">
        <f>IF(AND(B10&gt;=Settings!$B$6,B6="YES"),"YES","NO")</f>
        <v/>
      </c>
    </row>
    <row r="12">
      <c r="A12" t="inlineStr">
        <is>
          <t>УбытокЗакрытияХвоста</t>
        </is>
      </c>
      <c r="B12">
        <f>B10*B5</f>
        <v/>
      </c>
    </row>
    <row r="13">
      <c r="A13" t="inlineStr">
        <is>
          <t>RecoveryПослеЗакрытия</t>
        </is>
      </c>
      <c r="B13">
        <f>MAX(0,B7-B12)</f>
        <v/>
      </c>
    </row>
    <row r="14">
      <c r="A14" t="inlineStr">
        <is>
          <t>ЛотХвостаПослеЗакрытия</t>
        </is>
      </c>
      <c r="B14">
        <f>B4-B10</f>
        <v/>
      </c>
    </row>
    <row r="15">
      <c r="A15" t="inlineStr">
        <is>
          <t>СледующийУровень</t>
        </is>
      </c>
      <c r="B15">
        <f>SectionCalculator_DOWN!B4</f>
        <v/>
      </c>
    </row>
    <row r="16">
      <c r="A16" t="inlineStr">
        <is>
          <t>СледБольшойЛотПослеRecovery</t>
        </is>
      </c>
      <c r="B16">
        <f>FLOOR(B14*INDEX(Settings!B21:B24,MATCH(B15,Settings!A21:A24,0)),Settings!$B$7)</f>
        <v/>
      </c>
    </row>
    <row r="17">
      <c r="A17" t="inlineStr">
        <is>
          <t>СледМалыйЛотПослеRecovery</t>
        </is>
      </c>
      <c r="B17">
        <f>FLOOR(B14*INDEX(Settings!C21:C24,MATCH(B15,Settings!A21:A24,0)),Settings!$B$7)</f>
        <v/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Поле</t>
        </is>
      </c>
      <c r="B1" s="1" t="inlineStr">
        <is>
          <t>ВВЕРХ</t>
        </is>
      </c>
      <c r="C1" s="1" t="inlineStr">
        <is>
          <t>ВНИЗ</t>
        </is>
      </c>
    </row>
    <row r="2">
      <c r="A2" t="inlineStr">
        <is>
          <t>СценарнаяЦена</t>
        </is>
      </c>
      <c r="B2">
        <f>Scenario_UP!B4</f>
        <v/>
      </c>
      <c r="C2">
        <f>Scenario_DOWN!B4</f>
        <v/>
      </c>
    </row>
    <row r="3">
      <c r="A3" t="inlineStr">
        <is>
          <t>ПлавающийИтогКорзины</t>
        </is>
      </c>
      <c r="B3">
        <f>SUM(Scenario_UP!H7:H206)</f>
        <v/>
      </c>
      <c r="C3">
        <f>SUM(Scenario_DOWN!H7:H206)</f>
        <v/>
      </c>
    </row>
    <row r="4">
      <c r="A4" t="inlineStr">
        <is>
          <t>ГлобРезервПосле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RecoveryПослеЦикла</t>
        </is>
      </c>
      <c r="B5">
        <f>TailRecovery_UP!B7</f>
        <v/>
      </c>
      <c r="C5">
        <f>TailRecovery_DOWN!B7</f>
        <v/>
      </c>
    </row>
    <row r="6">
      <c r="A6" t="inlineStr">
        <is>
          <t>ЛотХвостаПосле</t>
        </is>
      </c>
      <c r="B6">
        <f>TailRecovery_UP!B14</f>
        <v/>
      </c>
      <c r="C6">
        <f>TailRecovery_DOWN!B14</f>
        <v/>
      </c>
    </row>
    <row r="7">
      <c r="A7" t="inlineStr">
        <is>
          <t>ЛотЗакрытия</t>
        </is>
      </c>
      <c r="B7">
        <f>TailRecovery_UP!B10</f>
        <v/>
      </c>
      <c r="C7">
        <f>TailRecovery_DOWN!B10</f>
        <v/>
      </c>
    </row>
    <row r="8">
      <c r="A8" t="inlineStr">
        <is>
          <t>МожноЗакрытьСекцию</t>
        </is>
      </c>
      <c r="B8">
        <f>SectionCalculator_UP!B32</f>
        <v/>
      </c>
      <c r="C8">
        <f>SectionCalculator_DOWN!B32</f>
        <v/>
      </c>
    </row>
    <row r="9">
      <c r="A9" t="inlineStr">
        <is>
          <t>МожноЗакрытьХвост</t>
        </is>
      </c>
      <c r="B9">
        <f>TailRecovery_UP!B11</f>
        <v/>
      </c>
      <c r="C9">
        <f>TailRecovery_DOWN!B11</f>
        <v/>
      </c>
    </row>
    <row r="10">
      <c r="A10" t="inlineStr">
        <is>
          <t>МожноЗакрытьКорзину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СледБольшойЛот</t>
        </is>
      </c>
      <c r="B11">
        <f>TailRecovery_UP!B16</f>
        <v/>
      </c>
      <c r="C11">
        <f>TailRecovery_DOWN!B16</f>
        <v/>
      </c>
    </row>
    <row r="12">
      <c r="A12" t="inlineStr">
        <is>
          <t>СледМалыйЛот</t>
        </is>
      </c>
      <c r="B12">
        <f>TailRecovery_UP!B17</f>
        <v/>
      </c>
      <c r="C12">
        <f>TailRecovery_DOWN!B17</f>
        <v/>
      </c>
    </row>
    <row r="13">
      <c r="A13" t="inlineStr">
        <is>
          <t>СледДействие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Правило</t>
        </is>
      </c>
      <c r="B1" s="1" t="inlineStr">
        <is>
          <t>ВВЕРХ</t>
        </is>
      </c>
      <c r="C1" s="1" t="inlineStr">
        <is>
          <t>ВНИЗ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UP:"&amp;CHAR(10)&amp;BasketSummary!B13&amp;CHAR(10)&amp;"NEXT ACTION DOWN:"&amp;CHAR(10)&amp;BasketSummary!C13</f>
        <v/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2026-05-09T22:51:43Z</dcterms:created>
  <dcterms:modified xsi:type="dcterms:W3CDTF">2026-05-09T23:18:38Z</dcterms:modified>
</cp:coreProperties>
</file>