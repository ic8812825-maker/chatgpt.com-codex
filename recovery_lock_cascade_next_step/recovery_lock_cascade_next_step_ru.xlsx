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IFERROR(MIN(IF((B7:B206="SELL")*(H7:H206&lt;0),H7:H206)),0)</f>
        <v/>
      </c>
    </row>
    <row r="222">
      <c r="A222" t="inlineStr">
        <is>
          <t>TailTicket</t>
        </is>
      </c>
      <c r="B222">
        <f>IFERROR(MIN(IF((B7:B206="SELL")*(H7:H206=B221),A7:A206)),"N/A")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IFERROR(MIN(IF((B7:B206="BUY")*(H7:H206&lt;0),H7:H206)),0)</f>
        <v/>
      </c>
    </row>
    <row r="222">
      <c r="A222" t="inlineStr">
        <is>
          <t>TailTicket</t>
        </is>
      </c>
      <c r="B222">
        <f>IFERROR(MIN(IF((B7:B206="BUY")*(H7:H206=B221),A7:A206)),"N/A")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IF(Scenario_UP!B4&gt;=IF(B4=1,Scenario_UP!E4,IF(B4=2,Scenario_UP!E5,IF(B4=3,Scenario_UP!E6,Scenario_UP!E7))),"YES","NO")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IF(Scenario_DOWN!B4&lt;=IF(B4=1,Scenario_DOWN!E9,IF(B4=2,Scenario_DOWN!E10,IF(B4=3,Scenario_DOWN!E11,Scenario_DOWN!E12))),"YES","NO")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IF(OR(SectionCalculator_UP!B14="NO",SectionCalculator_UP!B12="YES"),"OK","ERROR")</f>
        <v/>
      </c>
      <c r="C5">
        <f>IF(OR(SectionCalculator_DOWN!B14="NO",SectionCalculator_DOWN!B12="YES"),"OK","ERROR")</f>
        <v/>
      </c>
    </row>
    <row r="6">
      <c r="A6" t="inlineStr">
        <is>
          <t>No opposite cascade active</t>
        </is>
      </c>
      <c r="B6">
        <f>IF(SectionCalculator_UP!B13="YES","OK","ERROR")</f>
        <v/>
      </c>
      <c r="C6">
        <f>IF(SectionCalculator_DOWN!B13="YES","OK","ERROR")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BasketSummary!B13</f>
        <v/>
      </c>
      <c r="E2">
        <f>TailRecovery_UP!B3</f>
        <v/>
      </c>
      <c r="F2">
        <f>TailRecovery_UP!B10</f>
        <v/>
      </c>
      <c r="G2">
        <f>MAX(E2-F2,0)</f>
        <v/>
      </c>
      <c r="H2">
        <f>TailRecovery_UP!B5</f>
        <v/>
      </c>
      <c r="I2">
        <f>TailRecovery_UP!B7</f>
        <v/>
      </c>
      <c r="J2">
        <f>SectionCalculator_UP!B35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BasketSummary!C13</f>
        <v/>
      </c>
      <c r="E3">
        <f>TailRecovery_DOWN!B3</f>
        <v/>
      </c>
      <c r="F3">
        <f>TailRecovery_DOWN!B10</f>
        <v/>
      </c>
      <c r="G3">
        <f>MAX(E3-F3,0)</f>
        <v/>
      </c>
      <c r="H3">
        <f>TailRecovery_DOWN!B5</f>
        <v/>
      </c>
      <c r="I3">
        <f>TailRecovery_DOWN!B7</f>
        <v/>
      </c>
      <c r="J3">
        <f>SectionCalculator_DOWN!B35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Текущая цена</t>
        </is>
      </c>
      <c r="B3">
        <f>IFERROR(CurrentPositions!F2,0)</f>
        <v/>
      </c>
    </row>
    <row r="4">
      <c r="A4" t="inlineStr">
        <is>
          <t>Сценарная цена</t>
        </is>
      </c>
      <c r="B4">
        <f>IFERROR(Scenario_UP!B4,0)</f>
        <v/>
      </c>
    </row>
    <row r="5">
      <c r="A5" t="inlineStr">
        <is>
          <t>Следующий уровень открытия</t>
        </is>
      </c>
      <c r="B5">
        <f>IFERROR(IF(SectionCalculator_UP!B4=1,Scenario_UP!E4,IF(SectionCalculator_UP!B4=2,Scenario_UP!E5,IF(SectionCalculator_UP!B4=3,Scenario_UP!E6,IF(SectionCalculator_UP!B4=4,Scenario_UP!E7,"Уровень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>
        <f>IFERROR(IF(TailRecovery_UP!B16&gt;0,IF("UP"="UP","SELL ","BUY ")&amp;TEXT(TailRecovery_UP!B16,"0.00"),"Не открывать"),"Не открывать")</f>
        <v/>
      </c>
    </row>
    <row r="8">
      <c r="A8" t="inlineStr">
        <is>
          <t>Малая защитная позиция</t>
        </is>
      </c>
      <c r="B8">
        <f>IFERROR(IF(TailRecovery_UP!B17&gt;0,IF("UP"="UP","BUY ","SELL ")&amp;TEXT(TailRecovery_UP!B17,"0.00"),"Не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IFERROR(SectionCalculator_UP!B4,0)</f>
        <v/>
      </c>
    </row>
    <row r="10">
      <c r="A10" t="inlineStr">
        <is>
          <t>Причина</t>
        </is>
      </c>
      <c r="B10">
        <f>IF(SectionCalculator_UP!B14="YES","цена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IFERROR(TailRecovery_UP!B6,0)</f>
        <v/>
      </c>
    </row>
    <row r="20">
      <c r="A20" t="inlineStr">
        <is>
          <t>Добавить в RecoveryFund</t>
        </is>
      </c>
      <c r="B20">
        <f>IFERROR(TailRecovery_UP!B8,0)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Лот хвоста</t>
        </is>
      </c>
      <c r="B24">
        <f>IFERROR(IF(TailRecovery_UP!B3&gt;0,TailRecovery_UP!B3,"Хвост не найден"),"Хвост не найден")</f>
        <v/>
      </c>
    </row>
    <row r="25">
      <c r="A25" t="inlineStr">
        <is>
          <t>Убыток хвоста</t>
        </is>
      </c>
      <c r="B25">
        <f>IFERROR(TailRecovery_UP!B12,0)</f>
        <v/>
      </c>
    </row>
    <row r="26">
      <c r="A26" t="inlineStr">
        <is>
          <t>RecoveryFund до закрытия</t>
        </is>
      </c>
      <c r="B26">
        <f>IFERROR(TailRecovery_UP!B5,0)</f>
        <v/>
      </c>
    </row>
    <row r="27">
      <c r="A27" t="inlineStr">
        <is>
          <t>Расчётный лот закрытия</t>
        </is>
      </c>
      <c r="B27">
        <f>IFERROR(TailRecovery_UP!B9,0)</f>
        <v/>
      </c>
    </row>
    <row r="28">
      <c r="A28" t="inlineStr">
        <is>
          <t>Округлённый лот закрытия</t>
        </is>
      </c>
      <c r="B28">
        <f>IFERROR(TailRecovery_UP!B10,0)</f>
        <v/>
      </c>
    </row>
    <row r="29">
      <c r="A29" t="inlineStr">
        <is>
          <t>Итоговый лот закрытия</t>
        </is>
      </c>
      <c r="B29">
        <f>IFERROR(TailRecovery_UP!B10,0)</f>
        <v/>
      </c>
    </row>
    <row r="30">
      <c r="A30" t="inlineStr">
        <is>
          <t>Остаток хвоста</t>
        </is>
      </c>
      <c r="B30">
        <f>IF(OR(B24="Хвост не найден",NOT(ISNUMBER(B24))),"Хвост не найден",MAX(B24-B29,0))</f>
        <v/>
      </c>
    </row>
    <row r="31">
      <c r="A31" t="inlineStr">
        <is>
          <t>HumanReadableAction</t>
        </is>
      </c>
      <c r="B31">
        <f>IF(B13="ДА","ОТКРЫТЬ СЕКЦИЮ",IF(B15="ДА",IF(B16="ДА","ЗАКРЫТЬ СЕКЦИЮ + ЗАКРЫТЬ ХВОСТ","ЗАКРЫТЬ СЕКЦИЮ"),"ЖДАТЬ / НИЧЕГО НЕ ДЕЛАТЬ"))</f>
        <v/>
      </c>
    </row>
    <row r="32">
      <c r="A32" s="2">
        <f>B46</f>
        <v/>
      </c>
    </row>
    <row r="33"/>
    <row r="34"/>
    <row r="35"/>
    <row r="36"/>
    <row r="37"/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"&amp;B23&amp;CHAR(10)&amp;"Лот хвоста: "&amp;IF(ISNUMBER(B24),TEXT(B24,"0.00"),B24)&amp;CHAR(10)&amp;"Итоговый лот закрытия: "&amp;IF(ISNUMBER(B29),TEXT(B29,"0.00"),"0.00")&amp;CHAR(10)&amp;"Остаток хвоста: "&amp;IF(ISNUMBER(B30),TEXT(B30,"0.00"),B30)&amp;CHAR(10)&amp;CHAR(10)&amp;"RecoveryFund после: "&amp;TEXT(B34,"0.00")&amp;CHAR(10)&amp;"ИТОГОВОЕ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Текущая цена</t>
        </is>
      </c>
      <c r="B3">
        <f>IFERROR(CurrentPositions!F2,0)</f>
        <v/>
      </c>
    </row>
    <row r="4">
      <c r="A4" t="inlineStr">
        <is>
          <t>Сценарная цена</t>
        </is>
      </c>
      <c r="B4">
        <f>IFERROR(Scenario_DOWN!B4,0)</f>
        <v/>
      </c>
    </row>
    <row r="5">
      <c r="A5" t="inlineStr">
        <is>
          <t>Следующий уровень открытия</t>
        </is>
      </c>
      <c r="B5">
        <f>IFERROR(IF(SectionCalculator_DOWN!B4=1,Scenario_DOWN!E9,IF(SectionCalculator_DOWN!B4=2,Scenario_DOWN!E10,IF(SectionCalculator_DOWN!B4=3,Scenario_DOWN!E11,IF(SectionCalculator_DOWN!B4=4,Scenario_DOWN!E12,"Уровень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>
        <f>IFERROR(IF(TailRecovery_DOWN!B16&gt;0,IF("DOWN"="UP","SELL ","BUY ")&amp;TEXT(TailRecovery_DOWN!B16,"0.00"),"Не открывать"),"Не открывать")</f>
        <v/>
      </c>
    </row>
    <row r="8">
      <c r="A8" t="inlineStr">
        <is>
          <t>Малая защитная позиция</t>
        </is>
      </c>
      <c r="B8">
        <f>IFERROR(IF(TailRecovery_DOWN!B17&gt;0,IF("DOWN"="UP","BUY ","SELL ")&amp;TEXT(TailRecovery_DOWN!B17,"0.00"),"Не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IFERROR(SectionCalculator_DOWN!B4,0)</f>
        <v/>
      </c>
    </row>
    <row r="10">
      <c r="A10" t="inlineStr">
        <is>
          <t>Причина</t>
        </is>
      </c>
      <c r="B10">
        <f>IF(SectionCalculator_DOWN!B14="YES","цена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IFERROR(TailRecovery_DOWN!B6,0)</f>
        <v/>
      </c>
    </row>
    <row r="20">
      <c r="A20" t="inlineStr">
        <is>
          <t>Добавить в RecoveryFund</t>
        </is>
      </c>
      <c r="B20">
        <f>IFERROR(TailRecovery_DOWN!B8,0)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Лот хвоста</t>
        </is>
      </c>
      <c r="B24">
        <f>IFERROR(IF(TailRecovery_DOWN!B3&gt;0,TailRecovery_DOWN!B3,"Хвост не найден"),"Хвост не найден")</f>
        <v/>
      </c>
    </row>
    <row r="25">
      <c r="A25" t="inlineStr">
        <is>
          <t>Убыток хвоста</t>
        </is>
      </c>
      <c r="B25">
        <f>IFERROR(TailRecovery_DOWN!B12,0)</f>
        <v/>
      </c>
    </row>
    <row r="26">
      <c r="A26" t="inlineStr">
        <is>
          <t>RecoveryFund до закрытия</t>
        </is>
      </c>
      <c r="B26">
        <f>IFERROR(TailRecovery_DOWN!B5,0)</f>
        <v/>
      </c>
    </row>
    <row r="27">
      <c r="A27" t="inlineStr">
        <is>
          <t>Расчётный лот закрытия</t>
        </is>
      </c>
      <c r="B27">
        <f>IFERROR(TailRecovery_DOWN!B9,0)</f>
        <v/>
      </c>
    </row>
    <row r="28">
      <c r="A28" t="inlineStr">
        <is>
          <t>Округлённый лот закрытия</t>
        </is>
      </c>
      <c r="B28">
        <f>IFERROR(TailRecovery_DOWN!B10,0)</f>
        <v/>
      </c>
    </row>
    <row r="29">
      <c r="A29" t="inlineStr">
        <is>
          <t>Итоговый лот закрытия</t>
        </is>
      </c>
      <c r="B29">
        <f>IFERROR(TailRecovery_DOWN!B10,0)</f>
        <v/>
      </c>
    </row>
    <row r="30">
      <c r="A30" t="inlineStr">
        <is>
          <t>Остаток хвоста</t>
        </is>
      </c>
      <c r="B30">
        <f>IF(OR(B24="Хвост не найден",NOT(ISNUMBER(B24))),"Хвост не найден",MAX(B24-B29,0))</f>
        <v/>
      </c>
    </row>
    <row r="31">
      <c r="A31" t="inlineStr">
        <is>
          <t>HumanReadableAction</t>
        </is>
      </c>
      <c r="B31">
        <f>IF(B13="ДА","ОТКРЫТЬ СЕКЦИЮ",IF(B15="ДА",IF(B16="ДА","ЗАКРЫТЬ СЕКЦИЮ + ЗАКРЫТЬ ХВОСТ","ЗАКРЫТЬ СЕКЦИЮ"),"ЖДАТЬ / НИЧЕГО НЕ ДЕЛАТЬ"))</f>
        <v/>
      </c>
    </row>
    <row r="32">
      <c r="A32" s="2">
        <f>B46</f>
        <v/>
      </c>
    </row>
    <row r="33"/>
    <row r="34"/>
    <row r="35"/>
    <row r="36"/>
    <row r="37"/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"&amp;B23&amp;CHAR(10)&amp;"Лот хвоста: "&amp;IF(ISNUMBER(B24),TEXT(B24,"0.00"),B24)&amp;CHAR(10)&amp;"Итоговый лот закрытия: "&amp;IF(ISNUMBER(B29),TEXT(B29,"0.00"),"0.00")&amp;CHAR(10)&amp;"Остаток хвоста: "&amp;IF(ISNUMBER(B30),TEXT(B30,"0.00"),B30)&amp;CHAR(10)&amp;CHAR(10)&amp;"RecoveryFund после: "&amp;TEXT(B34,"0.00")&amp;CHAR(10)&amp;"ИТОГОВОЕ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2026-05-11T21:09:48Z</dcterms:created>
  <dcterms:modified xsi:type="dcterms:W3CDTF">2026-05-11T21:09:48Z</dcterms:modified>
</cp:coreProperties>
</file>