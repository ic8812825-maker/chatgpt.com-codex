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B2+B3*Settings!$B$3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IFERROR(MINIFS(H7:H206,B7:B206,"SELL",H7:H206,"&lt;0"),0)</f>
        <v/>
      </c>
    </row>
    <row r="222">
      <c r="A222" t="inlineStr">
        <is>
          <t>TailTicket</t>
        </is>
      </c>
      <c r="B222">
        <f>IFERROR(MINIFS(A7:A206,B7:B206,"SELL",H7:H206,B221),"N/A")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B2-B3*Settings!$B$3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IFERROR(MINIFS(H7:H206,B7:B206,"BUY",H7:H206,"&lt;0"),0)</f>
        <v/>
      </c>
    </row>
    <row r="222">
      <c r="A222" t="inlineStr">
        <is>
          <t>TailTicket</t>
        </is>
      </c>
      <c r="B222">
        <f>IFERROR(MINIFS(A7:A206,B7:B206,"BUY",H7:H206,B221),"N/A")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IF(OR(Scenario_UP!B221&gt;=0,Scenario_UP!B222&lt;&gt;"N/A"),"OK","ERROR")</f>
        <v/>
      </c>
      <c r="C7">
        <f>IF(OR(Scenario_DOWN!B221&gt;=0,Scenario_DOWN!B222&lt;&gt;"N/A"),"OK","ERROR")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КОРЗИНУ",IF(AND(TailRecovery_UP!B10&gt;0,TailRecovery_UP!B10&lt;TailRecovery_UP!B3),"ЗАКРЫТЬ ХВОСТ ЧАСТИЧНО","ЗАКРЫТЬ СЕКЦИЮ"))))</f>
        <v/>
      </c>
      <c r="E2">
        <f>IFERROR(TailRecovery_UP!B3,0)</f>
        <v/>
      </c>
      <c r="F2">
        <f>IFERROR(TailRecovery_UP!B10,0)</f>
        <v/>
      </c>
      <c r="G2">
        <f>IF(OR(NOT(ISNUMBER(E2)),NOT(ISNUMBER(F2))),"Хвост не найден",MAX(E2-F2,0))</f>
        <v/>
      </c>
      <c r="H2">
        <f>IFERROR(TailRecovery_UP!B5,0)</f>
        <v/>
      </c>
      <c r="I2">
        <f>IFERROR(TailRecovery_UP!B7,0)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КОРЗИНУ",IF(AND(TailRecovery_DOWN!B10&gt;0,TailRecovery_DOWN!B10&lt;TailRecovery_DOWN!B3),"ЗАКРЫТЬ ХВОСТ ЧАСТИЧНО","ЗАКРЫТЬ СЕКЦИЮ"))))</f>
        <v/>
      </c>
      <c r="E3">
        <f>IFERROR(TailRecovery_DOWN!B3,0)</f>
        <v/>
      </c>
      <c r="F3">
        <f>IFERROR(TailRecovery_DOWN!B10,0)</f>
        <v/>
      </c>
      <c r="G3">
        <f>IF(OR(NOT(ISNUMBER(E3)),NOT(ISNUMBER(F3))),"Хвост не найден",MAX(E3-F3,0))</f>
        <v/>
      </c>
      <c r="H3">
        <f>IFERROR(TailRecovery_DOWN!B5,0)</f>
        <v/>
      </c>
      <c r="I3">
        <f>IFERROR(TailRecovery_DOWN!B7,0)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IFERROR(Scenario_UP!B4,0)</f>
        <v/>
      </c>
    </row>
    <row r="5">
      <c r="A5" t="inlineStr">
        <is>
          <t>Следующий уровень открытия</t>
        </is>
      </c>
      <c r="B5" s="2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Лот хвоста</t>
        </is>
      </c>
      <c r="B24" s="4">
        <f>IFERROR(IF(TailRecovery_UP!B3&gt;0,TailRecovery_UP!B3,"Хвост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IFERROR(TailRecovery_UP!B12,0)</f>
        <v/>
      </c>
    </row>
    <row r="26">
      <c r="A26" t="inlineStr">
        <is>
          <t>RecoveryFund до закрытия</t>
        </is>
      </c>
      <c r="B26">
        <f>IFERROR(TailRecovery_UP!B5,0)</f>
        <v/>
      </c>
    </row>
    <row r="27">
      <c r="A27" t="inlineStr">
        <is>
          <t>Расчётный лот закрытия</t>
        </is>
      </c>
      <c r="B27" s="4">
        <f>IFERROR(TailRecovery_UP!B9,0)</f>
        <v/>
      </c>
    </row>
    <row r="28">
      <c r="A28" t="inlineStr">
        <is>
          <t>Округлённый лот закрытия</t>
        </is>
      </c>
      <c r="B28" s="4">
        <f>IFERROR(TailRecovery_UP!B10,0)</f>
        <v/>
      </c>
    </row>
    <row r="29">
      <c r="A29" t="inlineStr">
        <is>
          <t>Итоговый лот закрытия</t>
        </is>
      </c>
      <c r="B29" s="4">
        <f>IFERROR(TailRecovery_UP!B10,0)</f>
        <v/>
      </c>
    </row>
    <row r="30">
      <c r="A30" t="inlineStr">
        <is>
          <t>Остаток хвоста</t>
        </is>
      </c>
      <c r="B30" s="4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>
      <c r="B34" s="4" t="n"/>
    </row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"&amp;TEXT(B34,"0.00")&amp;CHAR(10)&amp;"Решение: "&amp;B31&amp;CHAR(10)&amp;"Если открывать секцию: "&amp;B7&amp;" / "&amp;B8&amp;CHAR(10)&amp;"Если закрывать хвост: тип="&amp;B23&amp;", до="&amp;IF(ISNUMBER(B24),TEXT(B24,"0.00"),B24)&amp;", закрыть="&amp;TEXT(B29,"0.00")&amp;", остаток="&amp;IF(ISNUMBER(B30),TEXT(B30,"0.00"),B30)&amp;CHAR(10)&amp;"RecoveryFund до/после: "&amp;TEXT(B26,"0.00")&amp;" / "&amp;TEXT(B34,"0.00")&amp;";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IFERROR(Scenario_DOWN!B4,0)</f>
        <v/>
      </c>
    </row>
    <row r="5">
      <c r="A5" t="inlineStr">
        <is>
          <t>Следующий уровень открытия</t>
        </is>
      </c>
      <c r="B5" s="2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Лот хвоста</t>
        </is>
      </c>
      <c r="B24" s="4">
        <f>IFERROR(IF(TailRecovery_DOWN!B3&gt;0,TailRecovery_DOWN!B3,"Хвост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IFERROR(TailRecovery_DOWN!B12,0)</f>
        <v/>
      </c>
    </row>
    <row r="26">
      <c r="A26" t="inlineStr">
        <is>
          <t>RecoveryFund до закрытия</t>
        </is>
      </c>
      <c r="B26">
        <f>IFERROR(TailRecovery_DOWN!B5,0)</f>
        <v/>
      </c>
    </row>
    <row r="27">
      <c r="A27" t="inlineStr">
        <is>
          <t>Расчётный лот закрытия</t>
        </is>
      </c>
      <c r="B27" s="4">
        <f>IFERROR(TailRecovery_DOWN!B9,0)</f>
        <v/>
      </c>
    </row>
    <row r="28">
      <c r="A28" t="inlineStr">
        <is>
          <t>Округлённый лот закрытия</t>
        </is>
      </c>
      <c r="B28" s="4">
        <f>IFERROR(TailRecovery_DOWN!B10,0)</f>
        <v/>
      </c>
    </row>
    <row r="29">
      <c r="A29" t="inlineStr">
        <is>
          <t>Итоговый лот закрытия</t>
        </is>
      </c>
      <c r="B29" s="4">
        <f>IFERROR(TailRecovery_DOWN!B10,0)</f>
        <v/>
      </c>
    </row>
    <row r="30">
      <c r="A30" t="inlineStr">
        <is>
          <t>Остаток хвоста</t>
        </is>
      </c>
      <c r="B30" s="4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>
      <c r="B34" s="4" t="n"/>
    </row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"&amp;TEXT(B34,"0.00")&amp;CHAR(10)&amp;"Решение: "&amp;B31&amp;CHAR(10)&amp;"Если открывать секцию: "&amp;B7&amp;" / "&amp;B8&amp;CHAR(10)&amp;"Если закрывать хвост: тип="&amp;B23&amp;", до="&amp;IF(ISNUMBER(B24),TEXT(B24,"0.00"),B24)&amp;", закрыть="&amp;TEXT(B29,"0.00")&amp;", остаток="&amp;IF(ISNUMBER(B30),TEXT(B30,"0.00"),B30)&amp;CHAR(10)&amp;"RecoveryFund до/после: "&amp;TEXT(B26,"0.00")&amp;" / "&amp;TEXT(B34,"0.00")&amp;";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>
        <f>Scenario_UP!B2+Scenario_UP!B3*Settings!B3</f>
        <v/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>
        <f>Scenario_DOWN!B2-Scenario_DOWN!B3*Settings!B3</f>
        <v/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>
        <f>CurrentPositions!F2</f>
        <v/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>
        <f>B2+B3*Settings!B3</f>
        <v/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>
        <f>...</f>
        <v/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>
        <f>...</f>
        <v/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>
        <f>(N1+N2)/2</f>
        <v/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>
        <f>MINIFS(...)</f>
        <v/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>
        <f>MINIFS(...)</f>
        <v/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>
        <f>IF(B3&lt;=0,0,FLOOR(...))</f>
        <v/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>
        <f>IF(B3&lt;=0,0,FLOOR(...))</f>
        <v/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>
        <f>IF(...)</f>
        <v/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>
        <f>IF(B6="YES",MIN(B9,B4),0)</f>
        <v/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>
        <f>IF(...)</f>
        <v/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>
        <f>IF(BasketSummary!B13...)</f>
        <v/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2026-05-12T18:45:39Z</dcterms:created>
  <dcterms:modified xsi:type="dcterms:W3CDTF">2026-05-12T18:45:39Z</dcterms:modified>
</cp:coreProperties>
</file>