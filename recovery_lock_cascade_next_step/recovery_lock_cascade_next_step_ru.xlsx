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  <row r="30">
      <c r="A30" t="inlineStr">
        <is>
          <t>MarketPriceInput</t>
        </is>
      </c>
    </row>
    <row r="31">
      <c r="A31" t="inlineStr">
        <is>
          <t>Bid</t>
        </is>
      </c>
      <c r="B31" s="2" t="n">
        <v>1.23</v>
      </c>
    </row>
    <row r="32">
      <c r="A32" t="inlineStr">
        <is>
          <t>Ask</t>
        </is>
      </c>
      <c r="B32" s="2" t="n">
        <v>1.2302</v>
      </c>
    </row>
    <row r="33">
      <c r="A33" t="inlineStr">
        <is>
          <t>MidPrice</t>
        </is>
      </c>
      <c r="B33" s="2">
        <f>(B31+B32)/2</f>
        <v/>
      </c>
    </row>
    <row r="34">
      <c r="A34" t="inlineStr">
        <is>
          <t>SpreadPoints</t>
        </is>
      </c>
      <c r="B34" s="3">
        <f>(B32-B31)/B3</f>
        <v/>
      </c>
    </row>
    <row r="35">
      <c r="A35" t="inlineStr">
        <is>
          <t>PriceSourceMode</t>
        </is>
      </c>
      <c r="B35" t="inlineStr">
        <is>
          <t>BID_ASK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>
        <f>IF(B2="BUY",Settings!$B$31,IF(B2="SELL",Settings!$B$32,""))</f>
        <v/>
      </c>
      <c r="G2">
        <f>IF(B2="BUY",(F2-E2)/Settings!$B$3,IF(B2="SELL",(E2-F2)/Settings!$B$3,0))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>
        <f>IF(B3="BUY",Settings!$B$31,IF(B3="SELL",Settings!$B$32,""))</f>
        <v/>
      </c>
      <c r="G3">
        <f>IF(B3="BUY",(F3-E3)/Settings!$B$3,IF(B3="SELL",(E3-F3)/Settings!$B$3,0))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>
        <f>IF(B4="BUY",Settings!$B$31,IF(B4="SELL",Settings!$B$32,""))</f>
        <v/>
      </c>
      <c r="G4">
        <f>IF(B4="BUY",(F4-E4)/Settings!$B$3,IF(B4="SELL",(E4-F4)/Settings!$B$3,0))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>
        <f>IF(B5="BUY",Settings!$B$31,IF(B5="SELL",Settings!$B$32,""))</f>
        <v/>
      </c>
      <c r="G5">
        <f>IF(B5="BUY",(F5-E5)/Settings!$B$3,IF(B5="SELL",(E5-F5)/Settings!$B$3,0))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MoveUpPoints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B2+B4*Settings!$B$3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B3+B4*Settings!$B$3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IF(AND(B13="SELL",H13&lt;0),H13,"")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IF(AND(B14="SELL",H14&lt;0),H14,"")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IF(AND(B15="SELL",H15&lt;0),H15,"")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IF(AND(B16="SELL",H16&lt;0),H16,"")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IF(AND(B17="SELL",H17&lt;0),H17,"")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IF(AND(B18="SELL",H18&lt;0),H18,"")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IF(AND(B24="SELL",H24&lt;0),H24,"")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IF(AND(B25="SELL",H25&lt;0),H25,"")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IF(AND(B26="SELL",H26&lt;0),H26,"")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IF(AND(B27="SELL",H27&lt;0),H27,"")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IF(AND(B28="SELL",H28&lt;0),H28,"")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IF(AND(B34="SELL",H34&lt;0),H34,"")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IF(AND(B35="SELL",H35&lt;0),H35,"")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IF(AND(B36="SELL",H36&lt;0),H36,"")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IF(AND(B37="SELL",H37&lt;0),H37,"")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IF(AND(B38="SELL",H38&lt;0),H38,"")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IF(AND(B44="SELL",H44&lt;0),H44,"")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IF(AND(B45="SELL",H45&lt;0),H45,"")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IF(AND(B46="SELL",H46&lt;0),H46,"")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IF(AND(B47="SELL",H47&lt;0),H47,"")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IF(AND(B48="SELL",H48&lt;0),H48,"")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IF(AND(B54="SELL",H54&lt;0),H54,"")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IF(AND(B55="SELL",H55&lt;0),H55,"")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IF(AND(B56="SELL",H56&lt;0),H56,"")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IF(AND(B57="SELL",H57&lt;0),H57,"")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IF(AND(B58="SELL",H58&lt;0),H58,"")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IF(AND(B64="SELL",H64&lt;0),H64,"")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IF(AND(B65="SELL",H65&lt;0),H65,"")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IF(AND(B66="SELL",H66&lt;0),H66,"")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IF(AND(B67="SELL",H67&lt;0),H67,"")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IF(AND(B68="SELL",H68&lt;0),H68,"")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IF(AND(B74="SELL",H74&lt;0),H74,"")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IF(AND(B75="SELL",H75&lt;0),H75,"")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IF(AND(B76="SELL",H76&lt;0),H76,"")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IF(AND(B77="SELL",H77&lt;0),H77,"")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IF(AND(B78="SELL",H78&lt;0),H78,"")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IF(AND(B84="SELL",H84&lt;0),H84,"")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IF(AND(B85="SELL",H85&lt;0),H85,"")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IF(AND(B86="SELL",H86&lt;0),H86,"")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IF(AND(B87="SELL",H87&lt;0),H87,"")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IF(AND(B88="SELL",H88&lt;0),H88,"")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IF(AND(B94="SELL",H94&lt;0),H94,"")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IF(AND(B95="SELL",H95&lt;0),H95,"")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IF(AND(B96="SELL",H96&lt;0),H96,"")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IF(AND(B97="SELL",H97&lt;0),H97,"")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IF(AND(B98="SELL",H98&lt;0),H98,"")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IF(AND(B206="SELL",H206&lt;0),H206,"")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IF(AND(B207="SELL",H207&lt;0),H207,"")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IF(AND(B208="SELL",H208&lt;0),H208,"")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IF(AND(B209="SELL",H209&lt;0),H209,"")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IF(AND(B210="SELL",H210&lt;0),H210,"")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IF(AND(B211="SELL",H211&lt;0),H211,"")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MoveDownPoints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B2-B4*Settings!$B$3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B3-B4*Settings!$B$3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IF(AND(B13="BUY",H13&lt;0),H13,"")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IF(AND(B14="BUY",H14&lt;0),H14,"")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IF(AND(B15="BUY",H15&lt;0),H15,"")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IF(AND(B16="BUY",H16&lt;0),H16,"")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IF(AND(B17="BUY",H17&lt;0),H17,"")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IF(AND(B18="BUY",H18&lt;0),H18,"")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IF(AND(B19="BUY",H19&lt;0),H19,"")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IF(AND(B20="BUY",H20&lt;0),H20,"")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IF(AND(B21="BUY",H21&lt;0),H21,"")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IF(AND(B22="BUY",H22&lt;0),H22,"")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IF(AND(B23="BUY",H23&lt;0),H23,"")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IF(AND(B24="BUY",H24&lt;0),H24,"")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IF(AND(B25="BUY",H25&lt;0),H25,"")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IF(AND(B26="BUY",H26&lt;0),H26,"")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IF(AND(B27="BUY",H27&lt;0),H27,"")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IF(AND(B28="BUY",H28&lt;0),H28,"")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IF(AND(B29="BUY",H29&lt;0),H29,"")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IF(AND(B30="BUY",H30&lt;0),H30,"")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IF(AND(B31="BUY",H31&lt;0),H31,"")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IF(AND(B32="BUY",H32&lt;0),H32,"")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IF(AND(B33="BUY",H33&lt;0),H33,"")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IF(AND(B34="BUY",H34&lt;0),H34,"")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IF(AND(B35="BUY",H35&lt;0),H35,"")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IF(AND(B36="BUY",H36&lt;0),H36,"")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IF(AND(B37="BUY",H37&lt;0),H37,"")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IF(AND(B38="BUY",H38&lt;0),H38,"")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IF(AND(B39="BUY",H39&lt;0),H39,"")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IF(AND(B40="BUY",H40&lt;0),H40,"")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IF(AND(B41="BUY",H41&lt;0),H41,"")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IF(AND(B42="BUY",H42&lt;0),H42,"")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IF(AND(B43="BUY",H43&lt;0),H43,"")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IF(AND(B44="BUY",H44&lt;0),H44,"")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IF(AND(B45="BUY",H45&lt;0),H45,"")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IF(AND(B46="BUY",H46&lt;0),H46,"")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IF(AND(B47="BUY",H47&lt;0),H47,"")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IF(AND(B48="BUY",H48&lt;0),H48,"")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IF(AND(B49="BUY",H49&lt;0),H49,"")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IF(AND(B50="BUY",H50&lt;0),H50,"")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IF(AND(B51="BUY",H51&lt;0),H51,"")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IF(AND(B52="BUY",H52&lt;0),H52,"")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IF(AND(B53="BUY",H53&lt;0),H53,"")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IF(AND(B54="BUY",H54&lt;0),H54,"")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IF(AND(B55="BUY",H55&lt;0),H55,"")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IF(AND(B56="BUY",H56&lt;0),H56,"")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IF(AND(B57="BUY",H57&lt;0),H57,"")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IF(AND(B58="BUY",H58&lt;0),H58,"")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IF(AND(B59="BUY",H59&lt;0),H59,"")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IF(AND(B60="BUY",H60&lt;0),H60,"")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IF(AND(B61="BUY",H61&lt;0),H61,"")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IF(AND(B62="BUY",H62&lt;0),H62,"")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IF(AND(B63="BUY",H63&lt;0),H63,"")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IF(AND(B64="BUY",H64&lt;0),H64,"")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IF(AND(B65="BUY",H65&lt;0),H65,"")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IF(AND(B66="BUY",H66&lt;0),H66,"")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IF(AND(B67="BUY",H67&lt;0),H67,"")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IF(AND(B68="BUY",H68&lt;0),H68,"")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IF(AND(B69="BUY",H69&lt;0),H69,"")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IF(AND(B70="BUY",H70&lt;0),H70,"")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IF(AND(B71="BUY",H71&lt;0),H71,"")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IF(AND(B72="BUY",H72&lt;0),H72,"")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IF(AND(B73="BUY",H73&lt;0),H73,"")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IF(AND(B74="BUY",H74&lt;0),H74,"")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IF(AND(B75="BUY",H75&lt;0),H75,"")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IF(AND(B76="BUY",H76&lt;0),H76,"")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IF(AND(B77="BUY",H77&lt;0),H77,"")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IF(AND(B78="BUY",H78&lt;0),H78,"")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IF(AND(B79="BUY",H79&lt;0),H79,"")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IF(AND(B80="BUY",H80&lt;0),H80,"")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IF(AND(B81="BUY",H81&lt;0),H81,"")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IF(AND(B82="BUY",H82&lt;0),H82,"")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IF(AND(B83="BUY",H83&lt;0),H83,"")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IF(AND(B84="BUY",H84&lt;0),H84,"")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IF(AND(B85="BUY",H85&lt;0),H85,"")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IF(AND(B86="BUY",H86&lt;0),H86,"")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IF(AND(B87="BUY",H87&lt;0),H87,"")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IF(AND(B88="BUY",H88&lt;0),H88,"")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IF(AND(B89="BUY",H89&lt;0),H89,"")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IF(AND(B90="BUY",H90&lt;0),H90,"")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IF(AND(B91="BUY",H91&lt;0),H91,"")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IF(AND(B92="BUY",H92&lt;0),H92,"")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IF(AND(B93="BUY",H93&lt;0),H93,"")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IF(AND(B94="BUY",H94&lt;0),H94,"")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IF(AND(B95="BUY",H95&lt;0),H95,"")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IF(AND(B96="BUY",H96&lt;0),H96,"")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IF(AND(B97="BUY",H97&lt;0),H97,"")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IF(AND(B98="BUY",H98&lt;0),H98,"")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IF(AND(B206="BUY",H206&lt;0),H206,"")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IF(AND(B207="BUY",H207&lt;0),H207,"")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IF(AND(B208="BUY",H208&lt;0),H208,"")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IF(AND(B209="BUY",H209&lt;0),H209,"")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IF(AND(B210="BUY",H210&lt;0),H210,"")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IF(AND(B211="BUY",H211&lt;0),H211,"")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IF(B221=0,"N/A",MIN(L12:L211))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IF(Scenario_UP!B7&gt;=IF(B4=1,Scenario_UP!N4,IF(B4=2,Scenario_UP!N5,IF(B4=3,Scenario_UP!N6,Scenario_UP!N7))),"YES","NO")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IF(Scenario_DOWN!B7&lt;=IF(B4=1,Scenario_DOWN!N9,IF(B4=2,Scenario_DOWN!N10,IF(B4=3,Scenario_DOWN!N11,Scenario_DOWN!N12))),"YES","NO")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Scenario_UP!B7</f>
        <v/>
      </c>
      <c r="C2">
        <f>Scenario_DOWN!B7</f>
        <v/>
      </c>
    </row>
    <row r="3">
      <c r="A3" t="inlineStr">
        <is>
          <t>BasketFloating</t>
        </is>
      </c>
      <c r="B3">
        <f>SUM(Scenario_UP!H12:H211)</f>
        <v/>
      </c>
      <c r="C3">
        <f>SUM(Scenario_DOWN!H12:H211)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IF(AND(COUNTIFS(Scenario_UP!B12:B211,"SELL",Scenario_UP!H12:H211,"&lt;0")&gt;0,Scenario_UP!B222="N/A"),"ERROR","OK")</f>
        <v/>
      </c>
      <c r="C7">
        <f>IF(AND(COUNTIFS(Scenario_DOWN!B12:B211,"BUY",Scenario_DOWN!H12:H211,"&lt;0")&gt;0,Scenario_DOWN!B222="N/A"),"ERROR","OK")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IF(OR(ISNUMBER(ScenarioText_UP!B9),ScenarioText_UP!B9="Уровень не рассчитан"),"OK","ERROR")</f>
        <v/>
      </c>
      <c r="C9">
        <f>IF(OR(ISNUMBER(ScenarioText_DOWN!B9),ScenarioText_DOWN!B9="Уровень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IF(OR(ISNUMBER(ScenarioText_UP!B10),ScenarioText_UP!B10="Расстояние не рассчитано"),"OK","ERROR")</f>
        <v/>
      </c>
      <c r="C10">
        <f>IF(OR(ISNUMBER(ScenarioText_DOWN!B10),ScenarioText_DOWN!B10="Расстояние не рассчитано"),"OK","ERROR")</f>
        <v/>
      </c>
    </row>
    <row r="11">
      <c r="A11" t="inlineStr">
        <is>
          <t>ScenarioMid is numeric</t>
        </is>
      </c>
      <c r="B11">
        <f>IF(ISNUMBER(ScenarioText_UP!B7),"OK","ERROR")</f>
        <v/>
      </c>
      <c r="C11">
        <f>IF(ISNUMBER(ScenarioText_DOWN!B7),"OK","ERROR")</f>
        <v/>
      </c>
    </row>
    <row r="12">
      <c r="A12" t="inlineStr">
        <is>
          <t>ScenarioSpread is numeric</t>
        </is>
      </c>
      <c r="B12">
        <f>IF(ISNUMBER(ScenarioText_UP!B8),"OK","ERROR")</f>
        <v/>
      </c>
      <c r="C12">
        <f>IF(ISNUMBER(ScenarioText_DOWN!B8),"OK","ERROR")</f>
        <v/>
      </c>
    </row>
    <row r="13">
      <c r="A13" t="inlineStr">
        <is>
          <t>Scenario_* B8 not empty</t>
        </is>
      </c>
      <c r="B13">
        <f>IF(Scenario_UP!B8&lt;&gt;"","OK","ERROR")</f>
        <v/>
      </c>
      <c r="C13">
        <f>IF(Scenario_DOWN!B8&lt;&gt;"","OK","ERROR")</f>
        <v/>
      </c>
    </row>
    <row r="14">
      <c r="A14" t="inlineStr">
        <is>
          <t>ScenarioText B9!=B5</t>
        </is>
      </c>
      <c r="B14">
        <f>IF(ScenarioText_UP!B9&lt;&gt;ScenarioText_UP!B5,"OK","ERROR")</f>
        <v/>
      </c>
      <c r="C14">
        <f>IF(ScenarioText_DOWN!B9&lt;&gt;ScenarioText_DOWN!B5,"OK","ERROR")</f>
        <v/>
      </c>
    </row>
    <row r="15">
      <c r="A15" t="inlineStr">
        <is>
          <t>ScenarioText B10!=B6</t>
        </is>
      </c>
      <c r="B15">
        <f>IF(ScenarioText_UP!B10&lt;&gt;ScenarioText_UP!B6,"OK","ERROR")</f>
        <v/>
      </c>
      <c r="C15">
        <f>IF(ScenarioText_DOWN!B10&lt;&gt;ScenarioText_DOWN!B6,"OK","ERROR")</f>
        <v/>
      </c>
    </row>
    <row r="16">
      <c r="A16" t="inlineStr">
        <is>
          <t>HumanReadableAction not empty</t>
        </is>
      </c>
      <c r="B16">
        <f>IF(AND(ScenarioText_UP!B31&lt;&gt;"",ISNUMBER(ScenarioText_UP!B4)),"OK","ERROR")</f>
        <v/>
      </c>
      <c r="C16">
        <f>IF(AND(ScenarioText_DOWN!B31&lt;&gt;"",ISNUMBER(ScenarioText_DOWN!B4)),"OK","ERROR")</f>
        <v/>
      </c>
    </row>
    <row r="17">
      <c r="A17" t="inlineStr">
        <is>
          <t>ReserveAdd mapping sync</t>
        </is>
      </c>
      <c r="B17">
        <f>IF(ScenarioText_UP!B19=SectionCalculator_UP!B33,"OK","ERROR")</f>
        <v/>
      </c>
      <c r="C17">
        <f>IF(ScenarioText_DOWN!B19=SectionCalculator_DOWN!B33,"OK","ERROR")</f>
        <v/>
      </c>
    </row>
    <row r="18">
      <c r="A18" t="inlineStr">
        <is>
          <t>RecoveryAdd mapping sync</t>
        </is>
      </c>
      <c r="B18">
        <f>IF(ScenarioText_UP!B20=SectionCalculator_UP!B34,"OK","ERROR")</f>
        <v/>
      </c>
      <c r="C18">
        <f>IF(ScenarioText_DOWN!B20=SectionCalculator_DOWN!B34,"OK","ERROR")</f>
        <v/>
      </c>
    </row>
    <row r="19">
      <c r="A19" t="inlineStr">
        <is>
          <t>TailTicket not mapped as lot</t>
        </is>
      </c>
      <c r="B19">
        <f>IF(AND(ISNUMBER(ScenarioText_UP!B24),ScenarioText_UP!B24&gt;1000,ISNUMBER(ScenarioText_UP!B25),ScenarioText_UP!B25&gt;100),"ERROR","OK")</f>
        <v/>
      </c>
      <c r="C19">
        <f>IF(AND(ISNUMBER(ScenarioText_DOWN!B24),ScenarioText_DOWN!B24&gt;1000,ISNUMBER(ScenarioText_DOWN!B25),ScenarioText_DOWN!B25&gt;100),"ERROR","OK")</f>
        <v/>
      </c>
    </row>
    <row r="20">
      <c r="A20" t="inlineStr">
        <is>
          <t>Tail lot reasonable</t>
        </is>
      </c>
      <c r="B20">
        <f>IF(AND(ISNUMBER(ScenarioText_UP!B25),ScenarioText_UP!B25&gt;100),"ERROR","OK")</f>
        <v/>
      </c>
      <c r="C20">
        <f>IF(AND(ISNUMBER(ScenarioText_DOWN!B25),ScenarioText_DOWN!B25&gt;100),"ERROR","OK")</f>
        <v/>
      </c>
    </row>
    <row r="21">
      <c r="A21" t="inlineStr">
        <is>
          <t>Tail остаток &lt;= исходного</t>
        </is>
      </c>
      <c r="B21">
        <f>IF(AND(ISNUMBER(ScenarioText_UP!B37),ISNUMBER(ScenarioText_UP!B25),ScenarioText_UP!B37&gt;ScenarioText_UP!B25),"ERROR","OK")</f>
        <v/>
      </c>
      <c r="C21">
        <f>IF(AND(ISNUMBER(ScenarioText_DOWN!B37),ISNUMBER(ScenarioText_DOWN!B25),ScenarioText_DOWN!B37&gt;ScenarioText_DOWN!B25),"ERROR","OK")</f>
        <v/>
      </c>
    </row>
    <row r="22">
      <c r="A22" t="inlineStr">
        <is>
          <t>RecoveryFundAfter &gt;= 0</t>
        </is>
      </c>
      <c r="B22">
        <f>IF(TailRecovery_UP!B13&lt;0,"ERROR","OK")</f>
        <v/>
      </c>
      <c r="C22">
        <f>IF(TailRecovery_DOWN!B13&lt;0,"ERROR","OK")</f>
        <v/>
      </c>
    </row>
    <row r="23">
      <c r="A23" t="inlineStr">
        <is>
          <t>CloseLotFinal &lt;= TailLot</t>
        </is>
      </c>
      <c r="B23">
        <f>IF(TailRecovery_UP!B10&gt;TailRecovery_UP!B4,"ERROR","OK")</f>
        <v/>
      </c>
      <c r="C23">
        <f>IF(TailRecovery_DOWN!B10&gt;TailRecovery_DOWN!B4,"ERROR","OK")</f>
        <v/>
      </c>
    </row>
    <row r="24">
      <c r="A24" t="inlineStr">
        <is>
          <t>TailLotAfter &gt;= 0</t>
        </is>
      </c>
      <c r="B24">
        <f>IF(TailRecovery_UP!B14&lt;0,"ERROR","OK")</f>
        <v/>
      </c>
      <c r="C24">
        <f>IF(TailRecovery_DOWN!B14&lt;0,"ERROR","OK")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Текущий Bid</t>
        </is>
      </c>
      <c r="B3" s="2">
        <f>IFERROR(Scenario_UP!B2,0)</f>
        <v/>
      </c>
    </row>
    <row r="4">
      <c r="A4" t="inlineStr">
        <is>
          <t>Текущий Ask</t>
        </is>
      </c>
      <c r="B4" s="2">
        <f>IFERROR(Scenario_UP!B3,0)</f>
        <v/>
      </c>
    </row>
    <row r="5">
      <c r="A5" t="inlineStr">
        <is>
          <t>Сценарный Bid</t>
        </is>
      </c>
      <c r="B5" s="2">
        <f>IFERROR(Scenario_UP!B5,0)</f>
        <v/>
      </c>
    </row>
    <row r="6">
      <c r="A6" t="inlineStr">
        <is>
          <t>Сценарный Ask</t>
        </is>
      </c>
      <c r="B6" s="3">
        <f>IFERROR(Scenario_UP!B6,0)</f>
        <v/>
      </c>
    </row>
    <row r="7">
      <c r="A7" t="inlineStr">
        <is>
          <t>Сценарный Mid</t>
        </is>
      </c>
      <c r="B7" s="4">
        <f>IFERROR(Scenario_UP!B7,0)</f>
        <v/>
      </c>
    </row>
    <row r="8">
      <c r="A8" t="inlineStr">
        <is>
          <t>Сценарный Spread</t>
        </is>
      </c>
      <c r="B8" s="4">
        <f>IFERROR(Scenario_UP!B8,0)</f>
        <v/>
      </c>
    </row>
    <row r="9">
      <c r="A9" t="inlineStr">
        <is>
          <t>Следующий уровень открытия</t>
        </is>
      </c>
      <c r="B9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IFERROR(IF(TailRecovery_UP!B16&gt;0,IF("UP"="UP","SELL ","BUY ")&amp;TEXT(TailRecovery_UP!B16,"0.00"),"Не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IFERROR(IF(TailRecovery_UP!B17&gt;0,IF("UP"="UP","BUY ","SELL ")&amp;TEXT(TailRecovery_UP!B17,"0.00"),"Не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IFERROR(SectionCalculator_UP!B4,0)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IFERROR(SectionCalculator_UP!B33,0)</f>
        <v/>
      </c>
    </row>
    <row r="20">
      <c r="A20" t="inlineStr">
        <is>
          <t>Добавить в RecoveryFund</t>
        </is>
      </c>
      <c r="B20">
        <f>IFERROR(SectionCalculator_UP!B34,0)</f>
        <v/>
      </c>
    </row>
    <row r="21">
      <c r="A21" t="inlineStr">
        <is>
          <t>Резерв после</t>
        </is>
      </c>
      <c r="B21">
        <f>IFERROR(SectionCalculator_UP!B35,0)</f>
        <v/>
      </c>
    </row>
    <row r="22">
      <c r="A22" t="inlineStr">
        <is>
          <t>RecoveryFund после цикла</t>
        </is>
      </c>
      <c r="B22">
        <f>IFERROR(SectionCalculator_UP!B36,0)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вверх."&amp;CHAR(10)&amp;"Текущий Bid: "&amp;TEXT(B3,"0.00000")&amp;CHAR(10)&amp;"Текущий Ask: "&amp;TEXT(B4,"0.00000")&amp;CHAR(10)&amp;"Сценарный Bid: "&amp;TEXT(B5,"0.00000")&amp;CHAR(10)&amp;"Сценарный Ask: "&amp;TEXT(B6,"0.00000")&amp;CHAR(10)&amp;"Сценарный Mid: "&amp;TEXT(B7,"0.00000")&amp;CHAR(10)&amp;"Spread: "&amp;TEXT(B8,"0")&amp;" пунктов"&amp;CHAR(10)&amp;"Следующий уровень: "&amp;IF(ISNUMBER(B9),TEXT(B9,"0.00000"),B9)&amp;CHAR(10)&amp;"Расстояние до уровня: "&amp;IF(ISNUMBER(B10),TEXT(B10,"0")&amp;" пунктов",B10)&amp;CHAR(10)&amp;CHAR(10)&amp;"Рекомендация по секции: "&amp;B11&amp;" / "&amp;B12&amp;CHAR(10)&amp;"Можно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"&amp;TEXT(TailRecovery_UP!B14,"0.00")&amp;CHAR(10)&amp;CHAR(10)&amp;"RecoveryFund после: "&amp;TEXT(TailRecovery_UP!B13,"0.00")&amp;CHAR(10)&amp;"ДЕЙСТВИЕ: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остаток="&amp;TEXT(TailRecovery_UP!B14,"0.00")&amp;CHAR(10)&amp;"Добавить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"&amp;TEXT(TailRecovery_UP!B13,"0.00")&amp;CHAR(10)&amp;"SAFE: "&amp;IF(B14="ДА","НЕТ","ДА")&amp;CHAR(10)&amp;"ИТОГОВОЕ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Текущий Bid</t>
        </is>
      </c>
      <c r="B3" s="2">
        <f>IFERROR(Scenario_DOWN!B2,0)</f>
        <v/>
      </c>
    </row>
    <row r="4">
      <c r="A4" t="inlineStr">
        <is>
          <t>Текущий Ask</t>
        </is>
      </c>
      <c r="B4" s="2">
        <f>IFERROR(Scenario_DOWN!B3,0)</f>
        <v/>
      </c>
    </row>
    <row r="5">
      <c r="A5" t="inlineStr">
        <is>
          <t>Сценарный Bid</t>
        </is>
      </c>
      <c r="B5" s="2">
        <f>IFERROR(Scenario_DOWN!B5,0)</f>
        <v/>
      </c>
    </row>
    <row r="6">
      <c r="A6" t="inlineStr">
        <is>
          <t>Сценарный Ask</t>
        </is>
      </c>
      <c r="B6" s="3">
        <f>IFERROR(Scenario_DOWN!B6,0)</f>
        <v/>
      </c>
    </row>
    <row r="7">
      <c r="A7" t="inlineStr">
        <is>
          <t>Сценарный Mid</t>
        </is>
      </c>
      <c r="B7" s="4">
        <f>IFERROR(Scenario_DOWN!B7,0)</f>
        <v/>
      </c>
    </row>
    <row r="8">
      <c r="A8" t="inlineStr">
        <is>
          <t>Сценарный Spread</t>
        </is>
      </c>
      <c r="B8" s="4">
        <f>IFERROR(Scenario_DOWN!B8,0)</f>
        <v/>
      </c>
    </row>
    <row r="9">
      <c r="A9" t="inlineStr">
        <is>
          <t>Следующий уровень открытия</t>
        </is>
      </c>
      <c r="B9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IFERROR(IF(TailRecovery_DOWN!B16&gt;0,IF("DOWN"="UP","SELL ","BUY ")&amp;TEXT(TailRecovery_DOWN!B16,"0.00"),"Не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IFERROR(IF(TailRecovery_DOWN!B17&gt;0,IF("DOWN"="UP","BUY ","SELL ")&amp;TEXT(TailRecovery_DOWN!B17,"0.00"),"Не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IFERROR(SectionCalculator_DOWN!B4,0)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IFERROR(SectionCalculator_DOWN!B33,0)</f>
        <v/>
      </c>
    </row>
    <row r="20">
      <c r="A20" t="inlineStr">
        <is>
          <t>Добавить в RecoveryFund</t>
        </is>
      </c>
      <c r="B20">
        <f>IFERROR(SectionCalculator_DOWN!B34,0)</f>
        <v/>
      </c>
    </row>
    <row r="21">
      <c r="A21" t="inlineStr">
        <is>
          <t>Резерв после</t>
        </is>
      </c>
      <c r="B21">
        <f>IFERROR(SectionCalculator_DOWN!B35,0)</f>
        <v/>
      </c>
    </row>
    <row r="22">
      <c r="A22" t="inlineStr">
        <is>
          <t>RecoveryFund после цикла</t>
        </is>
      </c>
      <c r="B22">
        <f>IFERROR(SectionCalculator_DOWN!B36,0)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вниз."&amp;CHAR(10)&amp;"Текущий Bid: "&amp;TEXT(B3,"0.00000")&amp;CHAR(10)&amp;"Текущий Ask: "&amp;TEXT(B4,"0.00000")&amp;CHAR(10)&amp;"Сценарный Bid: "&amp;TEXT(B5,"0.00000")&amp;CHAR(10)&amp;"Сценарный Ask: "&amp;TEXT(B6,"0.00000")&amp;CHAR(10)&amp;"Сценарный Mid: "&amp;TEXT(B7,"0.00000")&amp;CHAR(10)&amp;"Spread: "&amp;TEXT(B8,"0")&amp;" пунктов"&amp;CHAR(10)&amp;"Следующий уровень: "&amp;IF(ISNUMBER(B9),TEXT(B9,"0.00000"),B9)&amp;CHAR(10)&amp;"Расстояние до уровня: "&amp;IF(ISNUMBER(B10),TEXT(B10,"0")&amp;" пунктов",B10)&amp;CHAR(10)&amp;CHAR(10)&amp;"Рекомендация по секции: "&amp;B11&amp;" / "&amp;B12&amp;CHAR(10)&amp;"Можно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"&amp;TEXT(TailRecovery_DOWN!B14,"0.00")&amp;CHAR(10)&amp;CHAR(10)&amp;"RecoveryFund после: "&amp;TEXT(TailRecovery_DOWN!B13,"0.00")&amp;CHAR(10)&amp;"ДЕЙСТВИЕ: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остаток="&amp;TEXT(TailRecovery_DOWN!B14,"0.00")&amp;CHAR(10)&amp;"Добавить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"&amp;TEXT(TailRecovery_DOWN!B13,"0.00")&amp;CHAR(10)&amp;"SAFE: "&amp;IF(B14="ДА","НЕТ","ДА")&amp;CHAR(10)&amp;"ИТОГОВОЕ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Scenario_UP!B4</t>
        </is>
      </c>
      <c r="B2" t="inlineStr">
        <is>
          <t>'=Scenario_UP!B2+Scenario_UP!B3*Settings!B3</t>
        </is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 t="inlineStr">
        <is>
          <t>'=Scenario_DOWN!B2-Scenario_DOWN!B3*Settings!B3</t>
        </is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Scenario_UP!B2</t>
        </is>
      </c>
      <c r="B4" t="inlineStr">
        <is>
          <t>'=CurrentPositions!F2</t>
        </is>
      </c>
      <c r="C4" t="inlineStr">
        <is>
          <t>CurrentPositions!F2</t>
        </is>
      </c>
      <c r="D4" t="inlineStr">
        <is>
          <t>Scenario_UP!B4</t>
        </is>
      </c>
      <c r="E4" t="inlineStr">
        <is>
          <t>CurrentPrice</t>
        </is>
      </c>
    </row>
    <row r="5">
      <c r="A5" t="inlineStr">
        <is>
          <t>Scenario_UP!B4</t>
        </is>
      </c>
      <c r="B5" t="inlineStr">
        <is>
          <t>'=B2+B3*Settings!B3</t>
        </is>
      </c>
      <c r="C5" t="inlineStr">
        <is>
          <t>Scenario_UP!B2,B3,Settings!B3</t>
        </is>
      </c>
      <c r="D5" t="inlineStr">
        <is>
          <t>SectionCalculator_UP!B12</t>
        </is>
      </c>
      <c r="E5" t="inlineStr">
        <is>
          <t>ScenarioPrice</t>
        </is>
      </c>
    </row>
    <row r="6">
      <c r="A6" t="inlineStr">
        <is>
          <t>Scenario_UP!N1</t>
        </is>
      </c>
      <c r="B6" t="inlineStr">
        <is>
          <t>'=...</t>
        </is>
      </c>
      <c r="C6" t="inlineStr">
        <is>
          <t>Scenario_UP positions</t>
        </is>
      </c>
      <c r="D6" t="inlineStr">
        <is>
          <t>Scenario_UP!N3</t>
        </is>
      </c>
      <c r="E6" t="inlineStr">
        <is>
          <t>AverageBuyPrice</t>
        </is>
      </c>
    </row>
    <row r="7">
      <c r="A7" t="inlineStr">
        <is>
          <t>Scenario_UP!N2</t>
        </is>
      </c>
      <c r="B7" t="inlineStr">
        <is>
          <t>'=...</t>
        </is>
      </c>
      <c r="C7" t="inlineStr">
        <is>
          <t>Scenario_UP positions</t>
        </is>
      </c>
      <c r="D7" t="inlineStr">
        <is>
          <t>Scenario_UP!N3</t>
        </is>
      </c>
      <c r="E7" t="inlineStr">
        <is>
          <t>AverageSellPrice</t>
        </is>
      </c>
    </row>
    <row r="8">
      <c r="A8" t="inlineStr">
        <is>
          <t>Scenario_UP!N3</t>
        </is>
      </c>
      <c r="B8" t="inlineStr">
        <is>
          <t>'=(N1+N2)/2</t>
        </is>
      </c>
      <c r="C8" t="inlineStr">
        <is>
          <t>N1,N2</t>
        </is>
      </c>
      <c r="D8" t="inlineStr">
        <is>
          <t>Scenario_UP!N4:N12</t>
        </is>
      </c>
      <c r="E8" t="inlineStr">
        <is>
          <t>Center</t>
        </is>
      </c>
    </row>
    <row r="9">
      <c r="A9" t="inlineStr">
        <is>
          <t>Scenario_UP!B221</t>
        </is>
      </c>
      <c r="B9" t="inlineStr">
        <is>
          <t>'=MINIFS(...)</t>
        </is>
      </c>
      <c r="C9" t="inlineStr">
        <is>
          <t>H7:H206,B7:B206</t>
        </is>
      </c>
      <c r="D9" t="inlineStr">
        <is>
          <t>Scenario_UP!B222</t>
        </is>
      </c>
      <c r="E9" t="inlineStr">
        <is>
          <t>TailWorstPnL</t>
        </is>
      </c>
    </row>
    <row r="10">
      <c r="A10" t="inlineStr">
        <is>
          <t>Scenario_UP!B222</t>
        </is>
      </c>
      <c r="B10" t="inlineStr">
        <is>
          <t>'=MINIFS(...)</t>
        </is>
      </c>
      <c r="C10" t="inlineStr">
        <is>
          <t>A7:A206,H7:H206,B221</t>
        </is>
      </c>
      <c r="D10" t="inlineStr">
        <is>
          <t>Scenario_UP!B223</t>
        </is>
      </c>
      <c r="E10" t="inlineStr">
        <is>
          <t>TailTicket</t>
        </is>
      </c>
    </row>
    <row r="11">
      <c r="A11" t="inlineStr">
        <is>
          <t>SectionCalculator_UP!B7</t>
        </is>
      </c>
      <c r="B11" t="inlineStr">
        <is>
          <t>'=IF(B3&lt;=0,0,FLOOR(...))</t>
        </is>
      </c>
      <c r="C11" t="inlineStr">
        <is>
          <t>B3,B5</t>
        </is>
      </c>
      <c r="D11" t="inlineStr">
        <is>
          <t>SectionCalculator_UP!B14</t>
        </is>
      </c>
      <c r="E11" t="inlineStr">
        <is>
          <t>BigLot</t>
        </is>
      </c>
    </row>
    <row r="12">
      <c r="A12" t="inlineStr">
        <is>
          <t>SectionCalculator_UP!B8</t>
        </is>
      </c>
      <c r="B12" t="inlineStr">
        <is>
          <t>'=IF(B3&lt;=0,0,FLOOR(...))</t>
        </is>
      </c>
      <c r="C12" t="inlineStr">
        <is>
          <t>B3,B6</t>
        </is>
      </c>
      <c r="D12" t="inlineStr">
        <is>
          <t>SectionCalculator_UP!B14</t>
        </is>
      </c>
      <c r="E12" t="inlineStr">
        <is>
          <t>SmallLot</t>
        </is>
      </c>
    </row>
    <row r="13">
      <c r="A13" t="inlineStr">
        <is>
          <t>SectionCalculator_UP!B14</t>
        </is>
      </c>
      <c r="B13" t="inlineStr">
        <is>
          <t>'=IF(...)</t>
        </is>
      </c>
      <c r="C13" t="inlineStr">
        <is>
          <t>B3,B7,B8,B12,B13</t>
        </is>
      </c>
      <c r="D13" t="inlineStr">
        <is>
          <t>ScenarioText_UP!B13</t>
        </is>
      </c>
      <c r="E13" t="inlineStr">
        <is>
          <t>CanOpenSection</t>
        </is>
      </c>
    </row>
    <row r="14">
      <c r="A14" t="inlineStr">
        <is>
          <t>TailRecovery_UP!B10</t>
        </is>
      </c>
      <c r="B14" t="inlineStr">
        <is>
          <t>'=IF(B6="YES",MIN(B9,B4),0)</t>
        </is>
      </c>
      <c r="C14" t="inlineStr">
        <is>
          <t>B6,B9,B4</t>
        </is>
      </c>
      <c r="D14" t="inlineStr">
        <is>
          <t>Log!F2</t>
        </is>
      </c>
      <c r="E14" t="inlineStr">
        <is>
          <t>CloseLotFinal</t>
        </is>
      </c>
    </row>
    <row r="15">
      <c r="A15" t="inlineStr">
        <is>
          <t>BasketSummary!B13</t>
        </is>
      </c>
      <c r="B15" t="inlineStr">
        <is>
          <t>'=IF(...)</t>
        </is>
      </c>
      <c r="C15" t="inlineStr">
        <is>
          <t>B8,B9,B10</t>
        </is>
      </c>
      <c r="D15" t="inlineStr">
        <is>
          <t>ScenarioText_UP!B31</t>
        </is>
      </c>
      <c r="E15" t="inlineStr">
        <is>
          <t>NextAction</t>
        </is>
      </c>
    </row>
    <row r="16">
      <c r="A16" t="inlineStr">
        <is>
          <t>ScenarioText_UP!B31</t>
        </is>
      </c>
      <c r="B16" t="inlineStr">
        <is>
          <t>'=IF(BasketSummary!B13...)</t>
        </is>
      </c>
      <c r="C16" t="inlineStr">
        <is>
          <t>BasketSummary!B13</t>
        </is>
      </c>
      <c r="D16" t="inlineStr">
        <is>
          <t>ScenarioText_UP!B46</t>
        </is>
      </c>
      <c r="E16" t="inlineStr">
        <is>
          <t>HumanReadableAction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2026-05-12T21:25:13Z</dcterms:created>
  <dcterms:modified xsi:type="dcterms:W3CDTF">2026-05-12T21:25:13Z</dcterms:modified>
</cp:coreProperties>
</file>