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  <sheet name="ScenarioText_UP" sheetId="12" state="visible" r:id="rId12"/>
    <sheet name="ScenarioText_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 t="n">
        <v>1.23</v>
      </c>
      <c r="G2">
        <f>IF(B2="BUY",(F2-E2)/Settings!$B$3,(E2-F2)/Settings!$B$3)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 t="n">
        <v>1.23</v>
      </c>
      <c r="G3">
        <f>IF(B3="BUY",(F3-E3)/Settings!$B$3,(E3-F3)/Settings!$B$3)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 t="n">
        <v>1.23</v>
      </c>
      <c r="G4">
        <f>IF(B4="BUY",(F4-E4)/Settings!$B$3,(E4-F4)/Settings!$B$3)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 t="n">
        <v>1.23</v>
      </c>
      <c r="G5">
        <f>IF(B5="BUY",(F5-E5)/Settings!$B$3,(E5-F5)/Settings!$B$3)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IFERROR(SUMPRODUCT((B7:B206="BUY")*E7:E206*D7:D206)/SUMIFS(D7:D206,B7:B206,"BUY"),0)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IFERROR(SUMPRODUCT((B7:B206="SELL")*E7:E206*D7:D206)/SUMIFS(D7:D206,B7:B206,"SELL"),0)</f>
        <v/>
      </c>
    </row>
    <row r="3">
      <c r="A3" t="inlineStr">
        <is>
          <t>MoveUpPoints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B2+B3*Settings!$B$3</f>
        <v/>
      </c>
      <c r="D4" t="inlineStr">
        <is>
          <t>UpperLevel1</t>
        </is>
      </c>
      <c r="E4">
        <f>E3+1*Settings!$B$5*Settings!$B$3</f>
        <v/>
      </c>
    </row>
    <row r="5">
      <c r="D5" t="inlineStr">
        <is>
          <t>UpperLevel2</t>
        </is>
      </c>
      <c r="E5">
        <f>E3+2*Settings!$B$5*Settings!$B$3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IFERROR(MIN(IF((B7:B206="SELL")*(H7:H206&lt;0),H7:H206)),0)</f>
        <v/>
      </c>
    </row>
    <row r="222">
      <c r="A222" t="inlineStr">
        <is>
          <t>TailTicket</t>
        </is>
      </c>
      <c r="B222">
        <f>IFERROR(MIN(IF((B7:B206="SELL")*(H7:H206=B221),A7:A206)),"N/A")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IFERROR(SUMPRODUCT((B7:B206="BUY")*E7:E206*D7:D206)/SUMIFS(D7:D206,B7:B206,"BUY"),0)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IFERROR(SUMPRODUCT((B7:B206="SELL")*E7:E206*D7:D206)/SUMIFS(D7:D206,B7:B206,"SELL"),0)</f>
        <v/>
      </c>
    </row>
    <row r="3">
      <c r="A3" t="inlineStr">
        <is>
          <t>MoveDownPoints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B2-B3*Settings!$B$3</f>
        <v/>
      </c>
      <c r="D4" t="inlineStr">
        <is>
          <t>UpperLevel1</t>
        </is>
      </c>
      <c r="E4">
        <f>E3+1*Settings!$B$5*Settings!$B$3</f>
        <v/>
      </c>
    </row>
    <row r="5">
      <c r="D5" t="inlineStr">
        <is>
          <t>UpperLevel2</t>
        </is>
      </c>
      <c r="E5">
        <f>E3+2*Settings!$B$5*Settings!$B$3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IFERROR(MIN(IF((B7:B206="BUY")*(H7:H206&lt;0),H7:H206)),0)</f>
        <v/>
      </c>
    </row>
    <row r="222">
      <c r="A222" t="inlineStr">
        <is>
          <t>TailTicket</t>
        </is>
      </c>
      <c r="B222">
        <f>IFERROR(MIN(IF((B7:B206="BUY")*(H7:H206=B221),A7:A206)),"N/A")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FLOOR(B3*B5,Settings!$B$7)</f>
        <v/>
      </c>
    </row>
    <row r="8">
      <c r="A8" t="inlineStr">
        <is>
          <t>SmallLot</t>
        </is>
      </c>
      <c r="B8">
        <f>FLOOR(B3*B6,Settings!$B$7)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IF(Scenario_UP!B4&gt;=IF(B4=1,Scenario_UP!E4,IF(B4=2,Scenario_UP!E5,IF(B4=3,Scenario_UP!E6,Scenario_UP!E7))),"YES","NO")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IF(AND(B7&gt;=Settings!$B$6,B8&gt;=Settings!$B$6,B8&lt;B7,B7&lt;=B3,B9&lt;Settings!$B$8,B10&lt;=Settings!$B$15,B11&lt;=Settings!$B$16,B12="YES",B13="YES"),"YES","NO")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FLOOR(B3*B5,Settings!$B$7)</f>
        <v/>
      </c>
    </row>
    <row r="8">
      <c r="A8" t="inlineStr">
        <is>
          <t>SmallLot</t>
        </is>
      </c>
      <c r="B8">
        <f>FLOOR(B3*B6,Settings!$B$7)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IF(Scenario_DOWN!B4&lt;=IF(B4=1,Scenario_DOWN!E9,IF(B4=2,Scenario_DOWN!E10,IF(B4=3,Scenario_DOWN!E11,Scenario_DOWN!E12))),"YES","NO")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IF(AND(B7&gt;=Settings!$B$6,B8&gt;=Settings!$B$6,B8&lt;B7,B7&lt;=B3,B9&lt;Settings!$B$8,B10&lt;=Settings!$B$15,B11&lt;=Settings!$B$16,B12="YES",B13="YES"),"YES","NO")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Scenario_UP!B4</f>
        <v/>
      </c>
      <c r="C2">
        <f>Scenario_DOWN!B4</f>
        <v/>
      </c>
    </row>
    <row r="3">
      <c r="A3" t="inlineStr">
        <is>
          <t>BasketFloating</t>
        </is>
      </c>
      <c r="B3">
        <f>SUM(Scenario_UP!H7:H206)</f>
        <v/>
      </c>
      <c r="C3">
        <f>SUM(Scenario_DOWN!H7:H206)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  <row r="14">
      <c r="A14" t="inlineStr">
        <is>
          <t>HumanReadableAction</t>
        </is>
      </c>
      <c r="B14">
        <f>ScenarioText_UP!B31</f>
        <v/>
      </c>
      <c r="C14">
        <f>ScenarioText_DOWN!B31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IF(OR(SectionCalculator_UP!B14="NO",SectionCalculator_UP!B12="YES"),"OK","ERROR")</f>
        <v/>
      </c>
      <c r="C5">
        <f>IF(OR(SectionCalculator_DOWN!B14="NO",SectionCalculator_DOWN!B12="YES"),"OK","ERROR")</f>
        <v/>
      </c>
    </row>
    <row r="6">
      <c r="A6" t="inlineStr">
        <is>
          <t>No opposite cascade active</t>
        </is>
      </c>
      <c r="B6">
        <f>IF(SectionCalculator_UP!B13="YES","OK","ERROR")</f>
        <v/>
      </c>
      <c r="C6">
        <f>IF(SectionCalculator_DOWN!B13="YES","OK","ERROR")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Timestamp</t>
        </is>
      </c>
      <c r="B1" s="1" t="inlineStr">
        <is>
          <t>Direction</t>
        </is>
      </c>
      <c r="C1" s="1" t="inlineStr">
        <is>
          <t>Scenario</t>
        </is>
      </c>
      <c r="D1" s="1" t="inlineStr">
        <is>
          <t>Action</t>
        </is>
      </c>
      <c r="E1" s="1" t="inlineStr">
        <is>
          <t>TailBefore</t>
        </is>
      </c>
      <c r="F1" s="1" t="inlineStr">
        <is>
          <t>TailClosed</t>
        </is>
      </c>
      <c r="G1" s="1" t="inlineStr">
        <is>
          <t>TailAfter</t>
        </is>
      </c>
      <c r="H1" s="1" t="inlineStr">
        <is>
          <t>RecoveryBefore</t>
        </is>
      </c>
      <c r="I1" s="1" t="inlineStr">
        <is>
          <t>RecoveryAfter</t>
        </is>
      </c>
      <c r="J1" s="1" t="inlineStr">
        <is>
          <t>ReserveAfter</t>
        </is>
      </c>
      <c r="K1" s="1" t="inlineStr">
        <is>
          <t>SAFE</t>
        </is>
      </c>
    </row>
    <row r="2">
      <c r="A2">
        <f>NOW()</f>
        <v/>
      </c>
      <c r="B2" t="inlineStr">
        <is>
          <t>UP</t>
        </is>
      </c>
      <c r="C2" t="inlineStr">
        <is>
          <t>ScenarioText_UP</t>
        </is>
      </c>
      <c r="D2">
        <f>BasketSummary!B13</f>
        <v/>
      </c>
      <c r="E2">
        <f>TailRecovery_UP!B3</f>
        <v/>
      </c>
      <c r="F2">
        <f>TailRecovery_UP!B10</f>
        <v/>
      </c>
      <c r="G2">
        <f>MAX(E2-F2,0)</f>
        <v/>
      </c>
      <c r="H2">
        <f>TailRecovery_UP!B5</f>
        <v/>
      </c>
      <c r="I2">
        <f>TailRecovery_UP!B7</f>
        <v/>
      </c>
      <c r="J2">
        <f>SectionCalculator_UP!B35</f>
        <v/>
      </c>
      <c r="K2">
        <f>IF(OR(SectionCalculator_UP!B12&lt;&gt;"YES",SectionCalculator_UP!B13&lt;&gt;"YES"),"YES","NO")</f>
        <v/>
      </c>
    </row>
    <row r="3">
      <c r="A3">
        <f>NOW()</f>
        <v/>
      </c>
      <c r="B3" t="inlineStr">
        <is>
          <t>DOWN</t>
        </is>
      </c>
      <c r="C3" t="inlineStr">
        <is>
          <t>ScenarioText_DOWN</t>
        </is>
      </c>
      <c r="D3">
        <f>BasketSummary!C13</f>
        <v/>
      </c>
      <c r="E3">
        <f>TailRecovery_DOWN!B3</f>
        <v/>
      </c>
      <c r="F3">
        <f>TailRecovery_DOWN!B10</f>
        <v/>
      </c>
      <c r="G3">
        <f>MAX(E3-F3,0)</f>
        <v/>
      </c>
      <c r="H3">
        <f>TailRecovery_DOWN!B5</f>
        <v/>
      </c>
      <c r="I3">
        <f>TailRecovery_DOWN!B7</f>
        <v/>
      </c>
      <c r="J3">
        <f>SectionCalculator_DOWN!B35</f>
        <v/>
      </c>
      <c r="K3">
        <f>IF(OR(SectionCalculator_DOWN!B12&lt;&gt;"YES",SectionCalculator_DOWN!B13&lt;&gt;"YES"),"YES","NO")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ScenarioTitle</t>
        </is>
      </c>
      <c r="B2">
        <f>"SCENARIO: PRICE MOVES UP"</f>
        <v/>
      </c>
    </row>
    <row r="3">
      <c r="A3" t="inlineStr">
        <is>
          <t>CurrentPrice</t>
        </is>
      </c>
      <c r="B3">
        <f>Scenario_UP!B4</f>
        <v/>
      </c>
    </row>
    <row r="4">
      <c r="A4" t="inlineStr">
        <is>
          <t>NextTriggerLevel</t>
        </is>
      </c>
      <c r="B4">
        <f>SectionCalculator_UP!B15</f>
        <v/>
      </c>
    </row>
    <row r="5">
      <c r="A5" t="inlineStr">
        <is>
          <t>DistancePoints</t>
        </is>
      </c>
      <c r="B5">
        <f>ROUND(ABS(B4-B3)*10000,0)</f>
        <v/>
      </c>
    </row>
    <row r="6">
      <c r="A6" t="inlineStr">
        <is>
          <t>BigPosition</t>
        </is>
      </c>
      <c r="B6">
        <f>"SELL "&amp;TEXT(TailRecovery_UP!B16,"0.00")</f>
        <v/>
      </c>
    </row>
    <row r="7">
      <c r="A7" t="inlineStr">
        <is>
          <t>SmallHedge</t>
        </is>
      </c>
      <c r="B7">
        <f>"BUY "&amp;TEXT(TailRecovery_UP!B17,"0.00")</f>
        <v/>
      </c>
    </row>
    <row r="8">
      <c r="A8" t="inlineStr">
        <is>
          <t>SectionLevel</t>
        </is>
      </c>
      <c r="B8">
        <f>SectionCalculator_UP!B16</f>
        <v/>
      </c>
    </row>
    <row r="9">
      <c r="A9" t="inlineStr">
        <is>
          <t>Reason</t>
        </is>
      </c>
      <c r="B9">
        <f>IF(SectionCalculator_UP!B12="YES","Reached level; tail found; risk limits OK","Waiting level/risk gate")</f>
        <v/>
      </c>
    </row>
    <row r="11">
      <c r="A11" t="inlineStr">
        <is>
          <t>RiskChecks</t>
        </is>
      </c>
    </row>
    <row r="12">
      <c r="A12" t="inlineStr">
        <is>
          <t>CanOpenSection</t>
        </is>
      </c>
      <c r="B12">
        <f>SectionCalculator_UP!B12</f>
        <v/>
      </c>
    </row>
    <row r="13">
      <c r="A13" t="inlineStr">
        <is>
          <t>NoOppositeCascade</t>
        </is>
      </c>
      <c r="B13">
        <f>SectionCalculator_UP!B13</f>
        <v/>
      </c>
    </row>
    <row r="14">
      <c r="A14" t="inlineStr">
        <is>
          <t>CanCloseSection</t>
        </is>
      </c>
      <c r="B14">
        <f>SectionCalculator_UP!B32</f>
        <v/>
      </c>
    </row>
    <row r="15">
      <c r="A15" t="inlineStr">
        <is>
          <t>CanCloseTail</t>
        </is>
      </c>
      <c r="B15">
        <f>TailRecovery_UP!B11</f>
        <v/>
      </c>
    </row>
    <row r="17">
      <c r="A17" t="inlineStr">
        <is>
          <t>CycleProfit</t>
        </is>
      </c>
      <c r="B17">
        <f>SectionCalculator_UP!B31</f>
        <v/>
      </c>
    </row>
    <row r="18">
      <c r="A18" t="inlineStr">
        <is>
          <t>ReserveAdd</t>
        </is>
      </c>
      <c r="B18">
        <f>TailRecovery_UP!B6</f>
        <v/>
      </c>
    </row>
    <row r="19">
      <c r="A19" t="inlineStr">
        <is>
          <t>RecoveryAdd</t>
        </is>
      </c>
      <c r="B19">
        <f>TailRecovery_UP!B8</f>
        <v/>
      </c>
    </row>
    <row r="21">
      <c r="A21" t="inlineStr">
        <is>
          <t>DetectedTailType</t>
        </is>
      </c>
      <c r="B21">
        <f>TailRecovery_UP!B2</f>
        <v/>
      </c>
    </row>
    <row r="22">
      <c r="A22" t="inlineStr">
        <is>
          <t>TailLot</t>
        </is>
      </c>
      <c r="B22">
        <f>TailRecovery_UP!B3</f>
        <v/>
      </c>
    </row>
    <row r="23">
      <c r="A23" t="inlineStr">
        <is>
          <t>TailLoss</t>
        </is>
      </c>
      <c r="B23">
        <f>TailRecovery_UP!B12</f>
        <v/>
      </c>
    </row>
    <row r="24">
      <c r="A24" t="inlineStr">
        <is>
          <t>RecoveryFundBefore</t>
        </is>
      </c>
      <c r="B24">
        <f>TailRecovery_UP!B5</f>
        <v/>
      </c>
    </row>
    <row r="25">
      <c r="A25" t="inlineStr">
        <is>
          <t>CloseLotRaw</t>
        </is>
      </c>
      <c r="B25">
        <f>TailRecovery_UP!B9</f>
        <v/>
      </c>
    </row>
    <row r="26">
      <c r="A26" t="inlineStr">
        <is>
          <t>CloseLotRounded</t>
        </is>
      </c>
      <c r="B26">
        <f>TailRecovery_UP!B10</f>
        <v/>
      </c>
    </row>
    <row r="27">
      <c r="A27" t="inlineStr">
        <is>
          <t>CloseLotFinal</t>
        </is>
      </c>
      <c r="B27">
        <f>TailRecovery_UP!B10</f>
        <v/>
      </c>
    </row>
    <row r="28">
      <c r="A28" t="inlineStr">
        <is>
          <t>TailLotAfter</t>
        </is>
      </c>
      <c r="B28">
        <f>MAX(B22-B27,0)</f>
        <v/>
      </c>
    </row>
    <row r="29">
      <c r="A29" t="inlineStr">
        <is>
          <t>RecoveryFundAfter</t>
        </is>
      </c>
      <c r="B29">
        <f>TailRecovery_UP!B7</f>
        <v/>
      </c>
    </row>
    <row r="31">
      <c r="A31" t="inlineStr">
        <is>
          <t>HumanReadableAction</t>
        </is>
      </c>
      <c r="B31">
        <f>TEXTJOIN(CHAR(10),TRUE,B2,"Current Price: "&amp;TEXT(B3,"0.00000"),"Next trigger level: "&amp;TEXT(B4,"0.00000")&amp;" ("&amp;TEXT(B5,"0")&amp;" points)","Open section: "&amp;B6&amp;" + "&amp;B7,"Section level: "&amp;TEXT(B8,"0"),"CycleProfit: "&amp;TEXT(B17,"0.00"),"Reserve += "&amp;TEXT(B18,"0.00")&amp;"; Recovery += "&amp;TEXT(B19,"0.00"),"Tail: "&amp;B21&amp;" "&amp;TEXT(B22,"0.00")&amp;"; Close "&amp;TEXT(B27,"0.00")&amp;"; Remain "&amp;TEXT(B28,"0.00"),"CanCloseBasket: "&amp;BasketSummary!B10,"SAFE: "&amp;IF(OR(B12&lt;&gt;"YES",B13&lt;&gt;"YES"),"YES","NO"))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ScenarioTitle</t>
        </is>
      </c>
      <c r="B2">
        <f>"SCENARIO: PRICE MOVES DOWN"</f>
        <v/>
      </c>
    </row>
    <row r="3">
      <c r="A3" t="inlineStr">
        <is>
          <t>CurrentPrice</t>
        </is>
      </c>
      <c r="B3">
        <f>Scenario_DOWN!B4</f>
        <v/>
      </c>
    </row>
    <row r="4">
      <c r="A4" t="inlineStr">
        <is>
          <t>NextTriggerLevel</t>
        </is>
      </c>
      <c r="B4">
        <f>SectionCalculator_DOWN!B15</f>
        <v/>
      </c>
    </row>
    <row r="5">
      <c r="A5" t="inlineStr">
        <is>
          <t>DistancePoints</t>
        </is>
      </c>
      <c r="B5">
        <f>ROUND(ABS(B4-B3)*10000,0)</f>
        <v/>
      </c>
    </row>
    <row r="6">
      <c r="A6" t="inlineStr">
        <is>
          <t>BigPosition</t>
        </is>
      </c>
      <c r="B6">
        <f>"SELL "&amp;TEXT(TailRecovery_DOWN!B16,"0.00")</f>
        <v/>
      </c>
    </row>
    <row r="7">
      <c r="A7" t="inlineStr">
        <is>
          <t>SmallHedge</t>
        </is>
      </c>
      <c r="B7">
        <f>"BUY "&amp;TEXT(TailRecovery_DOWN!B17,"0.00")</f>
        <v/>
      </c>
    </row>
    <row r="8">
      <c r="A8" t="inlineStr">
        <is>
          <t>SectionLevel</t>
        </is>
      </c>
      <c r="B8">
        <f>SectionCalculator_DOWN!B16</f>
        <v/>
      </c>
    </row>
    <row r="9">
      <c r="A9" t="inlineStr">
        <is>
          <t>Reason</t>
        </is>
      </c>
      <c r="B9">
        <f>IF(SectionCalculator_DOWN!B12="YES","Reached level; tail found; risk limits OK","Waiting level/risk gate")</f>
        <v/>
      </c>
    </row>
    <row r="11">
      <c r="A11" t="inlineStr">
        <is>
          <t>RiskChecks</t>
        </is>
      </c>
    </row>
    <row r="12">
      <c r="A12" t="inlineStr">
        <is>
          <t>CanOpenSection</t>
        </is>
      </c>
      <c r="B12">
        <f>SectionCalculator_DOWN!B12</f>
        <v/>
      </c>
    </row>
    <row r="13">
      <c r="A13" t="inlineStr">
        <is>
          <t>NoOppositeCascade</t>
        </is>
      </c>
      <c r="B13">
        <f>SectionCalculator_DOWN!B13</f>
        <v/>
      </c>
    </row>
    <row r="14">
      <c r="A14" t="inlineStr">
        <is>
          <t>CanCloseSection</t>
        </is>
      </c>
      <c r="B14">
        <f>SectionCalculator_DOWN!B32</f>
        <v/>
      </c>
    </row>
    <row r="15">
      <c r="A15" t="inlineStr">
        <is>
          <t>CanCloseTail</t>
        </is>
      </c>
      <c r="B15">
        <f>TailRecovery_DOWN!B11</f>
        <v/>
      </c>
    </row>
    <row r="17">
      <c r="A17" t="inlineStr">
        <is>
          <t>CycleProfit</t>
        </is>
      </c>
      <c r="B17">
        <f>SectionCalculator_DOWN!B31</f>
        <v/>
      </c>
    </row>
    <row r="18">
      <c r="A18" t="inlineStr">
        <is>
          <t>ReserveAdd</t>
        </is>
      </c>
      <c r="B18">
        <f>TailRecovery_DOWN!B6</f>
        <v/>
      </c>
    </row>
    <row r="19">
      <c r="A19" t="inlineStr">
        <is>
          <t>RecoveryAdd</t>
        </is>
      </c>
      <c r="B19">
        <f>TailRecovery_DOWN!B8</f>
        <v/>
      </c>
    </row>
    <row r="21">
      <c r="A21" t="inlineStr">
        <is>
          <t>DetectedTailType</t>
        </is>
      </c>
      <c r="B21">
        <f>TailRecovery_DOWN!B2</f>
        <v/>
      </c>
    </row>
    <row r="22">
      <c r="A22" t="inlineStr">
        <is>
          <t>TailLot</t>
        </is>
      </c>
      <c r="B22">
        <f>TailRecovery_DOWN!B3</f>
        <v/>
      </c>
    </row>
    <row r="23">
      <c r="A23" t="inlineStr">
        <is>
          <t>TailLoss</t>
        </is>
      </c>
      <c r="B23">
        <f>TailRecovery_DOWN!B12</f>
        <v/>
      </c>
    </row>
    <row r="24">
      <c r="A24" t="inlineStr">
        <is>
          <t>RecoveryFundBefore</t>
        </is>
      </c>
      <c r="B24">
        <f>TailRecovery_DOWN!B5</f>
        <v/>
      </c>
    </row>
    <row r="25">
      <c r="A25" t="inlineStr">
        <is>
          <t>CloseLotRaw</t>
        </is>
      </c>
      <c r="B25">
        <f>TailRecovery_DOWN!B9</f>
        <v/>
      </c>
    </row>
    <row r="26">
      <c r="A26" t="inlineStr">
        <is>
          <t>CloseLotRounded</t>
        </is>
      </c>
      <c r="B26">
        <f>TailRecovery_DOWN!B10</f>
        <v/>
      </c>
    </row>
    <row r="27">
      <c r="A27" t="inlineStr">
        <is>
          <t>CloseLotFinal</t>
        </is>
      </c>
      <c r="B27">
        <f>TailRecovery_DOWN!B10</f>
        <v/>
      </c>
    </row>
    <row r="28">
      <c r="A28" t="inlineStr">
        <is>
          <t>TailLotAfter</t>
        </is>
      </c>
      <c r="B28">
        <f>MAX(B22-B27,0)</f>
        <v/>
      </c>
    </row>
    <row r="29">
      <c r="A29" t="inlineStr">
        <is>
          <t>RecoveryFundAfter</t>
        </is>
      </c>
      <c r="B29">
        <f>TailRecovery_DOWN!B7</f>
        <v/>
      </c>
    </row>
    <row r="31">
      <c r="A31" t="inlineStr">
        <is>
          <t>HumanReadableAction</t>
        </is>
      </c>
      <c r="B31">
        <f>TEXTJOIN(CHAR(10),TRUE,B2,"Current Price: "&amp;TEXT(B3,"0.00000"),"Next trigger level: "&amp;TEXT(B4,"0.00000")&amp;" ("&amp;TEXT(B5,"0")&amp;" points)","Open section: "&amp;B6&amp;" + "&amp;B7,"Section level: "&amp;TEXT(B8,"0"),"CycleProfit: "&amp;TEXT(B17,"0.00"),"Reserve += "&amp;TEXT(B18,"0.00")&amp;"; Recovery += "&amp;TEXT(B19,"0.00"),"Tail: "&amp;B21&amp;" "&amp;TEXT(B22,"0.00")&amp;"; Close "&amp;TEXT(B27,"0.00")&amp;"; Remain "&amp;TEXT(B28,"0.00"),"CanCloseBasket: "&amp;BasketSummary!C10,"SAFE: "&amp;IF(OR(B12&lt;&gt;"YES",B13&lt;&gt;"YES"),"YES","NO"))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2026-05-11T19:45:39Z</dcterms:created>
  <dcterms:modified xsi:type="dcterms:W3CDTF">2026-05-11T19:45:39Z</dcterms:modified>
</cp:coreProperties>
</file>