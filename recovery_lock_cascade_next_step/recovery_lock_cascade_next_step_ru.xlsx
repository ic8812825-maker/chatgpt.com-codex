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ScenarioSpread bounds</t>
        </is>
      </c>
      <c r="B13">
        <f>IF(AND(ScenarioText_UP!B8&gt;0,ScenarioText_UP!B8&lt;1000),"OK","ERROR")</f>
        <v/>
      </c>
      <c r="C13">
        <f>IF(AND(ScenarioText_DOWN!B8&gt;0,ScenarioText_DOWN!B8&lt;1000),"OK","ERROR")</f>
        <v/>
      </c>
    </row>
    <row r="14">
      <c r="A14" t="inlineStr">
        <is>
          <t>Scenario_* B8 not empty</t>
        </is>
      </c>
      <c r="B14">
        <f>IF(Scenario_UP!B8&lt;&gt;"","OK","ERROR")</f>
        <v/>
      </c>
      <c r="C14">
        <f>IF(Scenario_DOWN!B8&lt;&gt;"","OK","ERROR")</f>
        <v/>
      </c>
    </row>
    <row r="15">
      <c r="A15" t="inlineStr">
        <is>
          <t>No legacy single-price wording</t>
        </is>
      </c>
      <c r="B15">
        <f>IF(ISERROR(SEARCH("Сценарная цена",ScenarioText_UP!B46)),"OK","ERROR")</f>
        <v/>
      </c>
      <c r="C15">
        <f>IF(ISERROR(SEARCH("Сценарная цена",ScenarioText_DOWN!B46)),"OK","ERROR")</f>
        <v/>
      </c>
    </row>
    <row r="16">
      <c r="A16" t="inlineStr">
        <is>
          <t>ScenarioText B9!=B5</t>
        </is>
      </c>
      <c r="B16">
        <f>IF(ScenarioText_UP!B9&lt;&gt;ScenarioText_UP!B5,"OK","ERROR")</f>
        <v/>
      </c>
      <c r="C16">
        <f>IF(ScenarioText_DOWN!B9&lt;&gt;ScenarioText_DOWN!B5,"OK","ERROR")</f>
        <v/>
      </c>
    </row>
    <row r="17">
      <c r="A17" t="inlineStr">
        <is>
          <t>ScenarioText B10!=B6</t>
        </is>
      </c>
      <c r="B17">
        <f>IF(ScenarioText_UP!B10&lt;&gt;ScenarioText_UP!B6,"OK","ERROR")</f>
        <v/>
      </c>
      <c r="C17">
        <f>IF(ScenarioText_DOWN!B10&lt;&gt;ScenarioText_DOWN!B6,"OK","ERROR")</f>
        <v/>
      </c>
    </row>
    <row r="18">
      <c r="A18" t="inlineStr">
        <is>
          <t>HumanReadableAction not empty</t>
        </is>
      </c>
      <c r="B18">
        <f>IF(AND(ScenarioText_UP!B31&lt;&gt;"",ISNUMBER(ScenarioText_UP!B4)),"OK","ERROR")</f>
        <v/>
      </c>
      <c r="C18">
        <f>IF(AND(ScenarioText_DOWN!B31&lt;&gt;"",ISNUMBER(ScenarioText_DOWN!B4)),"OK","ERROR")</f>
        <v/>
      </c>
    </row>
    <row r="19">
      <c r="A19" t="inlineStr">
        <is>
          <t>ReserveAdd mapping sync</t>
        </is>
      </c>
      <c r="B19">
        <f>IF(ScenarioText_UP!B19=SectionCalculator_UP!B33,"OK","ERROR")</f>
        <v/>
      </c>
      <c r="C19">
        <f>IF(ScenarioText_DOWN!B19=SectionCalculator_DOWN!B33,"OK","ERROR")</f>
        <v/>
      </c>
    </row>
    <row r="20">
      <c r="A20" t="inlineStr">
        <is>
          <t>RecoveryAdd mapping sync</t>
        </is>
      </c>
      <c r="B20">
        <f>IF(ScenarioText_UP!B20=SectionCalculator_UP!B34,"OK","ERROR")</f>
        <v/>
      </c>
      <c r="C20">
        <f>IF(ScenarioText_DOWN!B20=SectionCalculator_DOWN!B34,"OK","ERROR")</f>
        <v/>
      </c>
    </row>
    <row r="21">
      <c r="A21" t="inlineStr">
        <is>
          <t>TailTicket not mapped as lot</t>
        </is>
      </c>
      <c r="B21">
        <f>IF(AND(ISNUMBER(ScenarioText_UP!B24),ScenarioText_UP!B24&gt;1000,ISNUMBER(ScenarioText_UP!B25),ScenarioText_UP!B25&gt;100),"ERROR","OK")</f>
        <v/>
      </c>
      <c r="C21">
        <f>IF(AND(ISNUMBER(ScenarioText_DOWN!B24),ScenarioText_DOWN!B24&gt;1000,ISNUMBER(ScenarioText_DOWN!B25),ScenarioText_DOWN!B25&gt;100),"ERROR","OK")</f>
        <v/>
      </c>
    </row>
    <row r="22">
      <c r="A22" t="inlineStr">
        <is>
          <t>Tail lot reasonable</t>
        </is>
      </c>
      <c r="B22">
        <f>IF(AND(ISNUMBER(ScenarioText_UP!B25),ScenarioText_UP!B25&gt;100),"ERROR","OK")</f>
        <v/>
      </c>
      <c r="C22">
        <f>IF(AND(ISNUMBER(ScenarioText_DOWN!B25),ScenarioText_DOWN!B25&gt;100),"ERROR","OK")</f>
        <v/>
      </c>
    </row>
    <row r="23">
      <c r="A23" t="inlineStr">
        <is>
          <t>Tail остаток &lt;= исходного</t>
        </is>
      </c>
      <c r="B23">
        <f>IF(AND(ISNUMBER(ScenarioText_UP!B37),ISNUMBER(ScenarioText_UP!B25),ScenarioText_UP!B37&gt;ScenarioText_UP!B25),"ERROR","OK")</f>
        <v/>
      </c>
      <c r="C23">
        <f>IF(AND(ISNUMBER(ScenarioText_DOWN!B37),ISNUMBER(ScenarioText_DOWN!B25),ScenarioText_DOWN!B37&gt;ScenarioText_DOWN!B25),"ERROR","OK")</f>
        <v/>
      </c>
    </row>
    <row r="24">
      <c r="A24" t="inlineStr">
        <is>
          <t>RecoveryFundAfter &gt;= 0</t>
        </is>
      </c>
      <c r="B24">
        <f>IF(TailRecovery_UP!B13&lt;0,"ERROR","OK")</f>
        <v/>
      </c>
      <c r="C24">
        <f>IF(TailRecovery_DOWN!B13&lt;0,"ERROR","OK")</f>
        <v/>
      </c>
    </row>
    <row r="25">
      <c r="A25" t="inlineStr">
        <is>
          <t>CloseLotFinal &lt;= TailLot</t>
        </is>
      </c>
      <c r="B25">
        <f>IF(TailRecovery_UP!B10&gt;TailRecovery_UP!B4,"ERROR","OK")</f>
        <v/>
      </c>
      <c r="C25">
        <f>IF(TailRecovery_DOWN!B10&gt;TailRecovery_DOWN!B4,"ERROR","OK")</f>
        <v/>
      </c>
    </row>
    <row r="26">
      <c r="A26" t="inlineStr">
        <is>
          <t>TailLotAfter &gt;= 0</t>
        </is>
      </c>
      <c r="B26">
        <f>IF(TailRecovery_UP!B14&lt;0,"ERROR","OK")</f>
        <v/>
      </c>
      <c r="C26">
        <f>IF(TailRecovery_DOWN!B14&lt;0,"ERROR","OK")</f>
        <v/>
      </c>
    </row>
    <row r="27">
      <c r="A27" t="inlineStr">
        <is>
          <t>ScenarioText SAFE not empty</t>
        </is>
      </c>
      <c r="B27">
        <f>IF(ScenarioText_UP!B38&lt;&gt;"","OK","ERROR")</f>
        <v/>
      </c>
      <c r="C27">
        <f>IF(ScenarioText_DOWN!B38&lt;&gt;"","OK","ERROR")</f>
        <v/>
      </c>
    </row>
    <row r="28">
      <c r="A28" t="inlineStr">
        <is>
          <t>ScenarioText SAFE equals Log SAFE</t>
        </is>
      </c>
      <c r="B28">
        <f>IF(ScenarioText_UP!B38=Log!K2,"OK","ERROR")</f>
        <v/>
      </c>
      <c r="C28">
        <f>IF(ScenarioText_DOWN!B38=Log!K3,"OK","ERROR")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IF(BasketSummary!B13="SAFE","ДА","НЕТ")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IF(BasketSummary!C13="SAFE","ДА","НЕТ")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Сценарный Mid</t>
        </is>
      </c>
      <c r="B7">
        <f>IFERROR(Scenario_UP!B7,0)</f>
        <v/>
      </c>
    </row>
    <row r="8">
      <c r="A8" t="inlineStr">
        <is>
          <t>Сценарный Spread</t>
        </is>
      </c>
      <c r="B8" s="3">
        <f>IFERROR(Scenario_UP!B8,0)</f>
        <v/>
      </c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IFERROR(SectionCalculator_UP!B4,0)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"&amp;IF(SectionCalculator_UP!B14="YES","ДА","НЕТ")&amp;CHAR(10)&amp;"Можно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"&amp;B38&amp;CHAR(10)&amp;"ИТОГОВОЕ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Сценарный Mid</t>
        </is>
      </c>
      <c r="B7">
        <f>IFERROR(Scenario_DOWN!B7,0)</f>
        <v/>
      </c>
    </row>
    <row r="8">
      <c r="A8" t="inlineStr">
        <is>
          <t>Сценарный Spread</t>
        </is>
      </c>
      <c r="B8" s="3">
        <f>IFERROR(Scenario_DOWN!B8,0)</f>
        <v/>
      </c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IFERROR(SectionCalculator_DOWN!B4,0)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"&amp;IF(SectionCalculator_DOWN!B14="YES","ДА","НЕТ")&amp;CHAR(10)&amp;"Можно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"&amp;B38&amp;CHAR(10)&amp;"ИТОГОВОЕ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Scenario_UP!B5</t>
        </is>
      </c>
      <c r="B2" t="inlineStr">
        <is>
          <t>'=B2+B4*Settings!B3</t>
        </is>
      </c>
      <c r="C2" t="inlineStr">
        <is>
          <t>Scenario_UP!B2, Scenario_UP!B4, Settings!B3</t>
        </is>
      </c>
      <c r="D2" t="inlineStr">
        <is>
          <t>Scenario_UP!B7:B8, SectionCalculator_UP!B12, ScenarioText_UP!B5</t>
        </is>
      </c>
      <c r="E2" t="inlineStr">
        <is>
          <t>ScenarioBid</t>
        </is>
      </c>
    </row>
    <row r="3">
      <c r="A3" t="inlineStr">
        <is>
          <t>Scenario_UP!B6</t>
        </is>
      </c>
      <c r="B3" t="inlineStr">
        <is>
          <t>'=B3+B4*Settings!B3</t>
        </is>
      </c>
      <c r="C3" t="inlineStr">
        <is>
          <t>Scenario_UP!B3, Scenario_UP!B4, Settings!B3</t>
        </is>
      </c>
      <c r="D3" t="inlineStr">
        <is>
          <t>Scenario_UP!B7:B8, Scenario_UP!F12:F211, ScenarioText_UP!B6</t>
        </is>
      </c>
      <c r="E3" t="inlineStr">
        <is>
          <t>ScenarioAsk</t>
        </is>
      </c>
    </row>
    <row r="4">
      <c r="A4" t="inlineStr">
        <is>
          <t>Scenario_UP!B7</t>
        </is>
      </c>
      <c r="B4" t="inlineStr">
        <is>
          <t>'=(B5+B6)/2</t>
        </is>
      </c>
      <c r="C4" t="inlineStr">
        <is>
          <t>Scenario_UP!B5, Scenario_UP!B6</t>
        </is>
      </c>
      <c r="D4" t="inlineStr">
        <is>
          <t>SectionCalculator_UP!B12, ScenarioText_UP!B7</t>
        </is>
      </c>
      <c r="E4" t="inlineStr">
        <is>
          <t>ScenarioMid</t>
        </is>
      </c>
    </row>
    <row r="5">
      <c r="A5" t="inlineStr">
        <is>
          <t>Scenario_UP!B8</t>
        </is>
      </c>
      <c r="B5" t="inlineStr">
        <is>
          <t>'=(B6-B5)/Settings!B3</t>
        </is>
      </c>
      <c r="C5" t="inlineStr">
        <is>
          <t>Scenario_UP!B6, Scenario_UP!B5, Settings!B3</t>
        </is>
      </c>
      <c r="D5" t="inlineStr">
        <is>
          <t>ScenarioText_UP!B8</t>
        </is>
      </c>
      <c r="E5" t="inlineStr">
        <is>
          <t>ScenarioSpread</t>
        </is>
      </c>
    </row>
    <row r="6">
      <c r="A6" t="inlineStr">
        <is>
          <t>Scenario_UP!K12:L211</t>
        </is>
      </c>
      <c r="B6" t="inlineStr">
        <is>
          <t>PnL helper range</t>
        </is>
      </c>
      <c r="C6" t="inlineStr">
        <is>
          <t>Scenario_UP!C12:F211, Settings!B3</t>
        </is>
      </c>
      <c r="D6" t="inlineStr">
        <is>
          <t>Scenario_UP!B221:B223</t>
        </is>
      </c>
      <c r="E6" t="inlineStr">
        <is>
          <t>Tail helper range</t>
        </is>
      </c>
    </row>
    <row r="7">
      <c r="A7" t="inlineStr">
        <is>
          <t>Scenario_UP!B221</t>
        </is>
      </c>
      <c r="B7" t="inlineStr">
        <is>
          <t>'=IF(COUNT(K12:K211)=0,0,MIN(K12:K211))</t>
        </is>
      </c>
      <c r="C7" t="inlineStr">
        <is>
          <t>Scenario_UP!K12:K211</t>
        </is>
      </c>
      <c r="D7" t="inlineStr">
        <is>
          <t>Scenario_UP!B222</t>
        </is>
      </c>
      <c r="E7" t="inlineStr">
        <is>
          <t>TailWorstPnL</t>
        </is>
      </c>
    </row>
    <row r="8">
      <c r="A8" t="inlineStr">
        <is>
          <t>Scenario_UP!B222</t>
        </is>
      </c>
      <c r="B8" t="inlineStr">
        <is>
          <t>'=IF(B221=0,"N/A",MIN(L12:L211))</t>
        </is>
      </c>
      <c r="C8" t="inlineStr">
        <is>
          <t>Scenario_UP!B221, Scenario_UP!L12:L211</t>
        </is>
      </c>
      <c r="D8" t="inlineStr">
        <is>
          <t>Scenario_UP!B223, ScenarioText_UP!B24</t>
        </is>
      </c>
      <c r="E8" t="inlineStr">
        <is>
          <t>TailTicket</t>
        </is>
      </c>
    </row>
    <row r="9">
      <c r="A9" t="inlineStr">
        <is>
          <t>BasketSummary!B13</t>
        </is>
      </c>
      <c r="B9" t="inlineStr">
        <is>
          <t>'=IF(...)</t>
        </is>
      </c>
      <c r="C9" t="inlineStr">
        <is>
          <t>BasketSummary!B8, BasketSummary!B9, BasketSummary!B10</t>
        </is>
      </c>
      <c r="D9" t="inlineStr">
        <is>
          <t>ScenarioText_UP!B31, ScenarioText_UP!B38, Log!D2, Log!K2</t>
        </is>
      </c>
      <c r="E9" t="inlineStr">
        <is>
          <t>NextAction</t>
        </is>
      </c>
    </row>
    <row r="10">
      <c r="A10" t="inlineStr">
        <is>
          <t>ScenarioText_UP!B31</t>
        </is>
      </c>
      <c r="B10" t="inlineStr">
        <is>
          <t>'=IF(BasketSummary!B13...)</t>
        </is>
      </c>
      <c r="C10" t="inlineStr">
        <is>
          <t>BasketSummary!B13</t>
        </is>
      </c>
      <c r="D10" t="inlineStr">
        <is>
          <t>ScenarioText_UP!B46</t>
        </is>
      </c>
      <c r="E10" t="inlineStr">
        <is>
          <t>HumanReadableAction</t>
        </is>
      </c>
    </row>
    <row r="11">
      <c r="A11" t="inlineStr">
        <is>
          <t>ScenarioText_UP!B38</t>
        </is>
      </c>
      <c r="B11" t="inlineStr">
        <is>
          <t>'=IF(BasketSummary!B13="SAFE","ДА","НЕТ")</t>
        </is>
      </c>
      <c r="C11" t="inlineStr">
        <is>
          <t>BasketSummary!B13</t>
        </is>
      </c>
      <c r="D11" t="inlineStr">
        <is>
          <t>ScenarioText_UP!B46, Validation</t>
        </is>
      </c>
      <c r="E11" t="inlineStr">
        <is>
          <t>SAFE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2026-05-12T22:43:54Z</dcterms:created>
  <dcterms:modified xsi:type="dcterms:W3CDTF">2026-05-12T22:43:54Z</dcterms:modified>
</cp:coreProperties>
</file>