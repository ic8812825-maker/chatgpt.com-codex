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ownTrend" sheetId="2" state="visible" r:id="rId2"/>
    <sheet name="UpTrend" sheetId="3" state="visible" r:id="rId3"/>
    <sheet name="Summary" sheetId="4" state="visible" r:id="rId4"/>
    <sheet name="Checks" sheetId="5" state="visible" r:id="rId5"/>
    <sheet name="Manual" sheetId="6" state="visible" r:id="rId6"/>
    <sheet name="MarketModel" sheetId="7" state="visible" r:id="rId7"/>
    <sheet name="AdaptiveEngine" sheetId="8" state="visible" r:id="rId8"/>
    <sheet name="MarginControl" sheetId="9" state="visible" r:id="rId9"/>
    <sheet name="MonteCarlo" sheetId="10" state="visible" r:id="rId10"/>
    <sheet name="EquityModel" sheetId="11" state="visible" r:id="rId11"/>
    <sheet name="RecoveryMap" sheetId="12" state="visible" r:id="rId12"/>
    <sheet name="StressTest" sheetId="13" state="visible" r:id="rId13"/>
    <sheet name="RiskDashboard" sheetId="14" state="visible" r:id="rId14"/>
  </sheets>
  <definedNames>
    <definedName name="LevelRange">Settings!$A$22:$A$200</definedName>
    <definedName name="BigPercentRange">Settings!$B$22:$B$200</definedName>
    <definedName name="SmallPercentRange">Settings!$C$22:$C$200</definedName>
    <definedName name="TargetSkewRange">Settings!$D$22:$D$200</definedName>
    <definedName name="ManualCloseRange">Settings!$E$22:$E$200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9CC2E5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'EquityModel'!$B$3:$B$10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Floating DD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Load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'MarginControl'!$A$4:$A$10</f>
            </numRef>
          </cat>
          <val>
            <numRef>
              <f>'MarginControl'!$M$3:$M$10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Skew Evolution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'AdaptiveEngine'!$A$4:$A$10</f>
            </numRef>
          </cat>
          <val>
            <numRef>
              <f>'AdaptiveEngine'!$D$3:$D$10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Compression Speed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Recovery Probability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ATR Regime Step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'MarketModel'!$A$4:$A$10</f>
            </numRef>
          </cat>
          <val>
            <numRef>
              <f>'MarketModel'!$P$3:$P$10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Score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Monte Carlo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'MonteCarlo'!$A$4:$A$10</f>
            </numRef>
          </cat>
          <val>
            <numRef>
              <f>'MonteCarlo'!$C$3:$C$10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BreakEven Map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36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48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72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84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96</row>
      <rowOff>0</rowOff>
    </from>
    <ext cx="54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108</row>
      <rowOff>0</rowOff>
    </from>
    <ext cx="54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26"/>
  <sheetViews>
    <sheetView workbookViewId="0">
      <selection activeCell="A1" sqref="A1"/>
    </sheetView>
  </sheetViews>
  <sheetFormatPr baseColWidth="8" defaultRowHeight="15"/>
  <sheetData>
    <row r="2">
      <c r="A2" s="1" t="inlineStr">
        <is>
          <t>StartLot</t>
        </is>
      </c>
      <c r="B2" t="n">
        <v>1</v>
      </c>
    </row>
    <row r="3">
      <c r="A3" s="1" t="inlineStr">
        <is>
          <t>PointStep</t>
        </is>
      </c>
      <c r="B3" t="n">
        <v>100</v>
      </c>
    </row>
    <row r="4">
      <c r="A4" s="1" t="inlineStr">
        <is>
          <t>MaxLevels</t>
        </is>
      </c>
      <c r="B4" t="n">
        <v>5</v>
      </c>
    </row>
    <row r="5">
      <c r="A5" s="1" t="inlineStr">
        <is>
          <t>LotStep</t>
        </is>
      </c>
      <c r="B5" t="n">
        <v>0.01</v>
      </c>
    </row>
    <row r="6">
      <c r="A6" s="1" t="inlineStr">
        <is>
          <t>RoundMode</t>
        </is>
      </c>
      <c r="B6" t="inlineStr">
        <is>
          <t>Nearest</t>
        </is>
      </c>
    </row>
    <row r="7">
      <c r="A7" s="1" t="inlineStr">
        <is>
          <t>TargetSkewMin%</t>
        </is>
      </c>
      <c r="B7" t="n">
        <v>5</v>
      </c>
    </row>
    <row r="8">
      <c r="A8" s="1" t="inlineStr">
        <is>
          <t>TargetSkewMax%</t>
        </is>
      </c>
      <c r="B8" t="n">
        <v>25</v>
      </c>
    </row>
    <row r="9">
      <c r="A9" s="1" t="inlineStr">
        <is>
          <t>UseRounding</t>
        </is>
      </c>
      <c r="B9" t="b">
        <v>1</v>
      </c>
    </row>
    <row r="10">
      <c r="A10" s="1" t="inlineStr">
        <is>
          <t>Direction</t>
        </is>
      </c>
      <c r="B10" t="inlineStr">
        <is>
          <t>DOWN</t>
        </is>
      </c>
    </row>
    <row r="11">
      <c r="A11" s="1" t="inlineStr">
        <is>
          <t>BigRoundMode_DOWN</t>
        </is>
      </c>
      <c r="B11" t="inlineStr">
        <is>
          <t>DOWN</t>
        </is>
      </c>
    </row>
    <row r="12">
      <c r="A12" s="1" t="inlineStr">
        <is>
          <t>SmallRoundMode_DOWN</t>
        </is>
      </c>
      <c r="B12" t="inlineStr">
        <is>
          <t>UP</t>
        </is>
      </c>
    </row>
    <row r="13">
      <c r="A13" s="1" t="inlineStr">
        <is>
          <t>CloseRoundMode_DOWN</t>
        </is>
      </c>
      <c r="B13" t="inlineStr">
        <is>
          <t>SAFE</t>
        </is>
      </c>
    </row>
    <row r="14">
      <c r="A14" s="1" t="inlineStr">
        <is>
          <t>BigRoundMode_UP</t>
        </is>
      </c>
      <c r="B14" t="inlineStr">
        <is>
          <t>DOWN</t>
        </is>
      </c>
    </row>
    <row r="15">
      <c r="A15" s="1" t="inlineStr">
        <is>
          <t>SmallRoundMode_UP</t>
        </is>
      </c>
      <c r="B15" t="inlineStr">
        <is>
          <t>UP</t>
        </is>
      </c>
    </row>
    <row r="16">
      <c r="A16" s="1" t="inlineStr">
        <is>
          <t>CloseRoundMode_UP</t>
        </is>
      </c>
      <c r="B16" t="inlineStr">
        <is>
          <t>SAFE</t>
        </is>
      </c>
    </row>
    <row r="17">
      <c r="A17" s="1" t="inlineStr">
        <is>
          <t>EnableRiskSafeRounding</t>
        </is>
      </c>
      <c r="B17" t="b">
        <v>1</v>
      </c>
    </row>
    <row r="18">
      <c r="A18" s="1" t="inlineStr">
        <is>
          <t>EnableInputValidation</t>
        </is>
      </c>
      <c r="B18" t="b">
        <v>1</v>
      </c>
    </row>
    <row r="21">
      <c r="A21" s="1" t="inlineStr">
        <is>
          <t>Level</t>
        </is>
      </c>
      <c r="B21" s="1" t="inlineStr">
        <is>
          <t>Big%</t>
        </is>
      </c>
      <c r="C21" s="1" t="inlineStr">
        <is>
          <t>Small%</t>
        </is>
      </c>
      <c r="D21" s="1" t="inlineStr">
        <is>
          <t>TargetSkew%</t>
        </is>
      </c>
      <c r="E21" s="1" t="inlineStr">
        <is>
          <t>ManualClose%</t>
        </is>
      </c>
    </row>
    <row r="22">
      <c r="A22" t="n">
        <v>1</v>
      </c>
      <c r="B22" t="n">
        <v>90</v>
      </c>
      <c r="C22" t="n">
        <v>30</v>
      </c>
      <c r="D22" t="n">
        <v>0</v>
      </c>
    </row>
    <row r="23">
      <c r="A23" t="n">
        <v>2</v>
      </c>
      <c r="B23" t="n">
        <v>30</v>
      </c>
      <c r="C23" t="n">
        <v>15</v>
      </c>
      <c r="D23" t="n">
        <v>15</v>
      </c>
    </row>
    <row r="24">
      <c r="A24" t="n">
        <v>3</v>
      </c>
      <c r="B24" t="n">
        <v>20</v>
      </c>
      <c r="C24" t="n">
        <v>15</v>
      </c>
      <c r="D24" t="n">
        <v>10</v>
      </c>
    </row>
    <row r="25">
      <c r="A25" t="n">
        <v>4</v>
      </c>
      <c r="B25" t="n">
        <v>10</v>
      </c>
      <c r="C25" t="n">
        <v>10</v>
      </c>
      <c r="D25" t="n">
        <v>10</v>
      </c>
    </row>
    <row r="26">
      <c r="A26" t="n">
        <v>5</v>
      </c>
      <c r="B26" t="n">
        <v>5</v>
      </c>
      <c r="C26" t="n">
        <v>5</v>
      </c>
      <c r="D26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BUY must be &gt;= Small SELL",IF(AND(LEN(L2)&gt;0,L2&gt;G2),"ERROR: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BUY must be &gt;= Small SELL",IF(AND(LEN(L3)&gt;0,L3&gt;G3),"ERROR: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BUY must be &gt;= Small SELL",IF(AND(LEN(L4)&gt;0,L4&gt;G4),"ERROR: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BUY must be &gt;= Small SELL",IF(AND(LEN(L5)&gt;0,L5&gt;G5),"ERROR: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BUY must be &gt;= Small SELL",IF(AND(LEN(L6)&gt;0,L6&gt;G6),"ERROR: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BUY must be &gt;= Small SELL",IF(AND(LEN(L7)&gt;0,L7&gt;G7),"ERROR: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BUY must be &gt;= Small SELL",IF(AND(LEN(L8)&gt;0,L8&gt;G8),"ERROR: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BUY must be &gt;= Small SELL",IF(AND(LEN(L9)&gt;0,L9&gt;G9),"ERROR: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BUY must be &gt;= Small SELL",IF(AND(LEN(L10)&gt;0,L10&gt;G10),"ERROR: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BUY must be &gt;= Small SELL",IF(AND(LEN(L11)&gt;0,L11&gt;G11),"ERROR: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BUY must be &gt;= Small SELL",IF(AND(LEN(L12)&gt;0,L12&gt;G12),"ERROR: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BUY must be &gt;= Small SELL",IF(AND(LEN(L13)&gt;0,L13&gt;G13),"ERROR: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BUY must be &gt;= Small SELL",IF(AND(LEN(L14)&gt;0,L14&gt;G14),"ERROR: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BUY must be &gt;= Small SELL",IF(AND(LEN(L15)&gt;0,L15&gt;G15),"ERROR: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BUY must be &gt;= Small SELL",IF(AND(LEN(L16)&gt;0,L16&gt;G16),"ERROR: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BUY must be &gt;= Small SELL",IF(AND(LEN(L17)&gt;0,L17&gt;G17),"ERROR: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BUY must be &gt;= Small SELL",IF(AND(LEN(L18)&gt;0,L18&gt;G18),"ERROR: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BUY must be &gt;= Small SELL",IF(AND(LEN(L19)&gt;0,L19&gt;G19),"ERROR: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BUY must be &gt;= Small SELL",IF(AND(LEN(L20)&gt;0,L20&gt;G20),"ERROR: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BUY must be &gt;= Small SELL",IF(AND(LEN(L21)&gt;0,L21&gt;G21),"ERROR: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BUY must be &gt;= Small SELL",IF(AND(LEN(L22)&gt;0,L22&gt;G22),"ERROR: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BUY must be &gt;= Small SELL",IF(AND(LEN(L23)&gt;0,L23&gt;G23),"ERROR: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BUY must be &gt;= Small SELL",IF(AND(LEN(L24)&gt;0,L24&gt;G24),"ERROR: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BUY must be &gt;= Small SELL",IF(AND(LEN(L25)&gt;0,L25&gt;G25),"ERROR: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BUY must be &gt;= Small SELL",IF(AND(LEN(L26)&gt;0,L26&gt;G26),"ERROR: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BUY must be &gt;= Small SELL",IF(AND(LEN(L27)&gt;0,L27&gt;G27),"ERROR: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BUY must be &gt;= Small SELL",IF(AND(LEN(L28)&gt;0,L28&gt;G28),"ERROR: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BUY must be &gt;= Small SELL",IF(AND(LEN(L29)&gt;0,L29&gt;G29),"ERROR: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BUY must be &gt;= Small SELL",IF(AND(LEN(L30)&gt;0,L30&gt;G30),"ERROR: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BUY must be &gt;= Small SELL",IF(AND(LEN(L31)&gt;0,L31&gt;G31),"ERROR: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BUY must be &gt;= Small SELL",IF(AND(LEN(L32)&gt;0,L32&gt;G32),"ERROR: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BUY must be &gt;= Small SELL",IF(AND(LEN(L33)&gt;0,L33&gt;G33),"ERROR: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BUY must be &gt;= Small SELL",IF(AND(LEN(L34)&gt;0,L34&gt;G34),"ERROR: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BUY must be &gt;= Small SELL",IF(AND(LEN(L35)&gt;0,L35&gt;G35),"ERROR: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BUY must be &gt;= Small SELL",IF(AND(LEN(L36)&gt;0,L36&gt;G36),"ERROR: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BUY must be &gt;= Small SELL",IF(AND(LEN(L37)&gt;0,L37&gt;G37),"ERROR: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BUY must be &gt;= Small SELL",IF(AND(LEN(L38)&gt;0,L38&gt;G38),"ERROR: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BUY must be &gt;= Small SELL",IF(AND(LEN(L39)&gt;0,L39&gt;G39),"ERROR: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BUY must be &gt;= Small SELL",IF(AND(LEN(L40)&gt;0,L40&gt;G40),"ERROR: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BUY must be &gt;= Small SELL",IF(AND(LEN(L41)&gt;0,L41&gt;G41),"ERROR: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SELL must be &gt;= Small BUY",IF(AND(LEN(L2)&gt;0,L2&gt;G2),"ERROR: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SELL must be &gt;= Small BUY",IF(AND(LEN(L3)&gt;0,L3&gt;G3),"ERROR: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SELL must be &gt;= Small BUY",IF(AND(LEN(L4)&gt;0,L4&gt;G4),"ERROR: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SELL must be &gt;= Small BUY",IF(AND(LEN(L5)&gt;0,L5&gt;G5),"ERROR: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SELL must be &gt;= Small BUY",IF(AND(LEN(L6)&gt;0,L6&gt;G6),"ERROR: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SELL must be &gt;= Small BUY",IF(AND(LEN(L7)&gt;0,L7&gt;G7),"ERROR: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SELL must be &gt;= Small BUY",IF(AND(LEN(L8)&gt;0,L8&gt;G8),"ERROR: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SELL must be &gt;= Small BUY",IF(AND(LEN(L9)&gt;0,L9&gt;G9),"ERROR: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SELL must be &gt;= Small BUY",IF(AND(LEN(L10)&gt;0,L10&gt;G10),"ERROR: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SELL must be &gt;= Small BUY",IF(AND(LEN(L11)&gt;0,L11&gt;G11),"ERROR: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SELL must be &gt;= Small BUY",IF(AND(LEN(L12)&gt;0,L12&gt;G12),"ERROR: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SELL must be &gt;= Small BUY",IF(AND(LEN(L13)&gt;0,L13&gt;G13),"ERROR: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SELL must be &gt;= Small BUY",IF(AND(LEN(L14)&gt;0,L14&gt;G14),"ERROR: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SELL must be &gt;= Small BUY",IF(AND(LEN(L15)&gt;0,L15&gt;G15),"ERROR: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SELL must be &gt;= Small BUY",IF(AND(LEN(L16)&gt;0,L16&gt;G16),"ERROR: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SELL must be &gt;= Small BUY",IF(AND(LEN(L17)&gt;0,L17&gt;G17),"ERROR: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SELL must be &gt;= Small BUY",IF(AND(LEN(L18)&gt;0,L18&gt;G18),"ERROR: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SELL must be &gt;= Small BUY",IF(AND(LEN(L19)&gt;0,L19&gt;G19),"ERROR: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SELL must be &gt;= Small BUY",IF(AND(LEN(L20)&gt;0,L20&gt;G20),"ERROR: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SELL must be &gt;= Small BUY",IF(AND(LEN(L21)&gt;0,L21&gt;G21),"ERROR: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SELL must be &gt;= Small BUY",IF(AND(LEN(L22)&gt;0,L22&gt;G22),"ERROR: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SELL must be &gt;= Small BUY",IF(AND(LEN(L23)&gt;0,L23&gt;G23),"ERROR: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SELL must be &gt;= Small BUY",IF(AND(LEN(L24)&gt;0,L24&gt;G24),"ERROR: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SELL must be &gt;= Small BUY",IF(AND(LEN(L25)&gt;0,L25&gt;G25),"ERROR: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SELL must be &gt;= Small BUY",IF(AND(LEN(L26)&gt;0,L26&gt;G26),"ERROR: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SELL must be &gt;= Small BUY",IF(AND(LEN(L27)&gt;0,L27&gt;G27),"ERROR: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SELL must be &gt;= Small BUY",IF(AND(LEN(L28)&gt;0,L28&gt;G28),"ERROR: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SELL must be &gt;= Small BUY",IF(AND(LEN(L29)&gt;0,L29&gt;G29),"ERROR: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SELL must be &gt;= Small BUY",IF(AND(LEN(L30)&gt;0,L30&gt;G30),"ERROR: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SELL must be &gt;= Small BUY",IF(AND(LEN(L31)&gt;0,L31&gt;G31),"ERROR: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SELL must be &gt;= Small BUY",IF(AND(LEN(L32)&gt;0,L32&gt;G32),"ERROR: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SELL must be &gt;= Small BUY",IF(AND(LEN(L33)&gt;0,L33&gt;G33),"ERROR: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SELL must be &gt;= Small BUY",IF(AND(LEN(L34)&gt;0,L34&gt;G34),"ERROR: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SELL must be &gt;= Small BUY",IF(AND(LEN(L35)&gt;0,L35&gt;G35),"ERROR: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SELL must be &gt;= Small BUY",IF(AND(LEN(L36)&gt;0,L36&gt;G36),"ERROR: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SELL must be &gt;= Small BUY",IF(AND(LEN(L37)&gt;0,L37&gt;G37),"ERROR: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SELL must be &gt;= Small BUY",IF(AND(LEN(L38)&gt;0,L38&gt;G38),"ERROR: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SELL must be &gt;= Small BUY",IF(AND(LEN(L39)&gt;0,L39&gt;G39),"ERROR: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SELL must be &gt;= Small BUY",IF(AND(LEN(L40)&gt;0,L40&gt;G40),"ERROR: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SELL must be &gt;= Small BUY",IF(AND(LEN(L41)&gt;0,L41&gt;G41),"ERROR: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V3 Dashboard Summary</t>
        </is>
      </c>
    </row>
    <row r="3">
      <c r="A3" t="inlineStr">
        <is>
          <t>StartLot</t>
        </is>
      </c>
      <c r="B3">
        <f>Settings!B2</f>
        <v/>
      </c>
    </row>
    <row r="4">
      <c r="A4" t="inlineStr">
        <is>
          <t>Direction</t>
        </is>
      </c>
      <c r="B4">
        <f>Settings!B10</f>
        <v/>
      </c>
    </row>
    <row r="5">
      <c r="A5" t="inlineStr">
        <is>
          <t>Adaptive Step</t>
        </is>
      </c>
      <c r="B5">
        <f>MarketModel!B16</f>
        <v/>
      </c>
    </row>
    <row r="6">
      <c r="A6" t="inlineStr">
        <is>
          <t>ATR Regime</t>
        </is>
      </c>
      <c r="B6">
        <f>MarketModel!B11</f>
        <v/>
      </c>
    </row>
    <row r="7">
      <c r="A7" t="inlineStr">
        <is>
          <t>Margin Load</t>
        </is>
      </c>
      <c r="B7">
        <f>MarginControl!B13</f>
        <v/>
      </c>
    </row>
    <row r="8">
      <c r="A8" t="inlineStr">
        <is>
          <t>Risk Score</t>
        </is>
      </c>
      <c r="B8">
        <f>RiskDashboard!B4</f>
        <v/>
      </c>
    </row>
    <row r="9">
      <c r="A9" t="inlineStr">
        <is>
          <t>Max Safe Levels</t>
        </is>
      </c>
      <c r="B9">
        <f>MarginControl!B17</f>
        <v/>
      </c>
    </row>
    <row r="10">
      <c r="A10" t="inlineStr">
        <is>
          <t>Survival Probability</t>
        </is>
      </c>
      <c r="B10">
        <f>RiskDashboard!B7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Checks</t>
        </is>
      </c>
    </row>
    <row r="2">
      <c r="A2" t="inlineStr">
        <is>
          <t>Big&gt;=Small</t>
        </is>
      </c>
      <c r="B2">
        <f>IF(SUMPRODUCT(--(DownTrend!C3:C41&lt;DownTrend!E3:E41))+SUMPRODUCT(--(UpTrend!C3:C41&lt;UpTrend!E3:E41))&gt;0,"ERROR","OK")</f>
        <v/>
      </c>
    </row>
    <row r="3">
      <c r="A3" t="inlineStr">
        <is>
          <t>TotalBUY&lt;=TotalSELL Down</t>
        </is>
      </c>
      <c r="B3">
        <f>IF(SUMPRODUCT(--(DownTrend!Q3:Q41&gt;DownTrend!R3:R41))&gt;0,"ERROR","OK")</f>
        <v/>
      </c>
    </row>
    <row r="4">
      <c r="A4" t="inlineStr">
        <is>
          <t>TotalSELL&lt;=TotalBUY Up</t>
        </is>
      </c>
      <c r="B4">
        <f>IF(SUMPRODUCT(--(UpTrend!Q3:Q41&gt;UpTrend!R3:R41))&gt;0,"ERROR","OK")</f>
        <v/>
      </c>
    </row>
    <row r="5">
      <c r="A5" t="inlineStr">
        <is>
          <t>SAFE rounding preserved</t>
        </is>
      </c>
      <c r="B5">
        <f>IF(OR(COUNTIF(DownTrend!AB3:AB41,"ERROR")&gt;0,COUNTIF(UpTrend!AB3:AB41,"ERROR")&gt;0),"ERROR","OK")</f>
        <v/>
      </c>
    </row>
    <row r="6">
      <c r="A6" t="inlineStr">
        <is>
          <t>Invalid StartLot</t>
        </is>
      </c>
      <c r="B6">
        <f>IF(OR(NOT(ISNUMBER(Settings!B2)),Settings!B2&lt;=0),"ERROR","OK")</f>
        <v/>
      </c>
    </row>
    <row r="7">
      <c r="A7" t="inlineStr">
        <is>
          <t>Invalid LotStep</t>
        </is>
      </c>
      <c r="B7">
        <f>IF(OR(NOT(ISNUMBER(Settings!B5)),Settings!B5&lt;=0),"ERROR","OK")</f>
        <v/>
      </c>
    </row>
    <row r="8">
      <c r="A8" t="inlineStr">
        <is>
          <t>Invalid Direction</t>
        </is>
      </c>
      <c r="B8">
        <f>IF(AND(Settings!B10&lt;&gt;"DOWN",Settings!B10&lt;&gt;"UP"),"ERROR","OK")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V3: Adaptive probabilistic recovery engine prototype with risk dashboard.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 Model Inputs</t>
        </is>
      </c>
    </row>
    <row r="2">
      <c r="A2" t="inlineStr">
        <is>
          <t>CurrentPrice</t>
        </is>
      </c>
      <c r="B2" t="n">
        <v>1.1</v>
      </c>
    </row>
    <row r="3">
      <c r="A3" t="inlineStr">
        <is>
          <t>ATR(14)</t>
        </is>
      </c>
      <c r="B3" t="n">
        <v>80</v>
      </c>
    </row>
    <row r="4">
      <c r="A4" t="inlineStr">
        <is>
          <t>ATR Multiplier</t>
        </is>
      </c>
      <c r="B4" t="n">
        <v>2</v>
      </c>
    </row>
    <row r="5">
      <c r="A5" t="inlineStr">
        <is>
          <t>Spread</t>
        </is>
      </c>
      <c r="B5" t="n">
        <v>12</v>
      </c>
    </row>
    <row r="6">
      <c r="A6" t="inlineStr">
        <is>
          <t>Swap</t>
        </is>
      </c>
      <c r="B6" t="n">
        <v>-3</v>
      </c>
    </row>
    <row r="7">
      <c r="A7" t="inlineStr">
        <is>
          <t>Commission</t>
        </is>
      </c>
      <c r="B7" t="n">
        <v>7</v>
      </c>
    </row>
    <row r="8">
      <c r="A8" t="inlineStr">
        <is>
          <t>Daily Volatility</t>
        </is>
      </c>
      <c r="B8" t="n">
        <v>1.2</v>
      </c>
    </row>
    <row r="9">
      <c r="A9" t="inlineStr">
        <is>
          <t>Weekly Volatility</t>
        </is>
      </c>
      <c r="B9" t="n">
        <v>3.1</v>
      </c>
    </row>
    <row r="10">
      <c r="A10" t="inlineStr">
        <is>
          <t>Trend Strength</t>
        </is>
      </c>
      <c r="B10" t="n">
        <v>60</v>
      </c>
    </row>
    <row r="11">
      <c r="A11" t="inlineStr">
        <is>
          <t>Volatility Regime</t>
        </is>
      </c>
      <c r="B11">
        <f>IF(B3&lt;60,"LOW_VOL",IF(B3&lt;120,"NORMAL",IF(B3&lt;200,"HIGH_VOL","EXTREME")))</f>
        <v/>
      </c>
    </row>
    <row r="12">
      <c r="A12" t="inlineStr">
        <is>
          <t>Symbol Digits</t>
        </is>
      </c>
      <c r="B12" t="n">
        <v>5</v>
      </c>
    </row>
    <row r="13">
      <c r="A13" t="inlineStr">
        <is>
          <t>Point Value</t>
        </is>
      </c>
      <c r="B13" t="n">
        <v>10</v>
      </c>
    </row>
    <row r="14">
      <c r="A14" t="inlineStr">
        <is>
          <t>Contract Size</t>
        </is>
      </c>
      <c r="B14" t="n">
        <v>100000</v>
      </c>
    </row>
    <row r="16">
      <c r="A16" t="inlineStr">
        <is>
          <t>Adaptive Step</t>
        </is>
      </c>
      <c r="B16">
        <f>B3*B4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Adaptive Engine</t>
        </is>
      </c>
    </row>
    <row r="2">
      <c r="A2" t="inlineStr">
        <is>
          <t>CurrentSkew</t>
        </is>
      </c>
      <c r="B2" t="n">
        <v>10</v>
      </c>
    </row>
    <row r="3">
      <c r="A3" t="inlineStr">
        <is>
          <t>LockWidth</t>
        </is>
      </c>
      <c r="B3" t="n">
        <v>300</v>
      </c>
    </row>
    <row r="4">
      <c r="A4" t="inlineStr">
        <is>
          <t>DistanceFromAverage</t>
        </is>
      </c>
      <c r="B4" t="n">
        <v>120</v>
      </c>
    </row>
    <row r="5">
      <c r="A5" t="inlineStr">
        <is>
          <t>MarginLoad</t>
        </is>
      </c>
      <c r="B5" t="n">
        <v>40</v>
      </c>
    </row>
    <row r="6">
      <c r="A6" t="inlineStr">
        <is>
          <t>RecoveryPressure</t>
        </is>
      </c>
      <c r="B6" t="n">
        <v>35</v>
      </c>
    </row>
    <row r="7">
      <c r="A7" t="inlineStr">
        <is>
          <t>TrendRisk</t>
        </is>
      </c>
      <c r="B7" t="n">
        <v>55</v>
      </c>
    </row>
    <row r="8">
      <c r="A8" t="inlineStr">
        <is>
          <t>RollbackProbability</t>
        </is>
      </c>
      <c r="B8" t="n">
        <v>45</v>
      </c>
    </row>
    <row r="9">
      <c r="A9" t="inlineStr">
        <is>
          <t>DD%</t>
        </is>
      </c>
      <c r="B9" t="n">
        <v>18</v>
      </c>
    </row>
    <row r="10">
      <c r="A10" t="inlineStr">
        <is>
          <t>DecayK</t>
        </is>
      </c>
      <c r="B10" t="n">
        <v>0.25</v>
      </c>
    </row>
    <row r="11">
      <c r="A11" t="inlineStr">
        <is>
          <t>BaseBig</t>
        </is>
      </c>
      <c r="B11" t="n">
        <v>90</v>
      </c>
    </row>
    <row r="12">
      <c r="A12" t="inlineStr">
        <is>
          <t>BaseSmall</t>
        </is>
      </c>
      <c r="B12" t="n">
        <v>30</v>
      </c>
    </row>
    <row r="13">
      <c r="A13" t="inlineStr">
        <is>
          <t>RiskFactor</t>
        </is>
      </c>
      <c r="B13" t="n">
        <v>0.85</v>
      </c>
    </row>
    <row r="16">
      <c r="A16" t="inlineStr">
        <is>
          <t>Level</t>
        </is>
      </c>
      <c r="B16" t="inlineStr">
        <is>
          <t>DynamicBig%</t>
        </is>
      </c>
      <c r="C16" t="inlineStr">
        <is>
          <t>DynamicSmall%</t>
        </is>
      </c>
      <c r="D16" t="inlineStr">
        <is>
          <t>DynamicTargetSkew%</t>
        </is>
      </c>
    </row>
    <row r="17">
      <c r="A17" t="n">
        <v>1</v>
      </c>
      <c r="B17">
        <f>MAX(1,$B$11*EXP(-$B$10*A17)*$B$12)</f>
        <v/>
      </c>
      <c r="C17">
        <f>MAX(1,$B$12*($B$6/50)*MAX(0.5,1+$B$2/100))</f>
        <v/>
      </c>
      <c r="D17">
        <f>MIN(30,MAX(5,5+$B$6/5+$B$4/10))</f>
        <v/>
      </c>
    </row>
    <row r="18">
      <c r="A18" t="n">
        <v>2</v>
      </c>
      <c r="B18">
        <f>MAX(1,$B$11*EXP(-$B$10*A18)*$B$12)</f>
        <v/>
      </c>
      <c r="C18">
        <f>MAX(1,$B$12*($B$6/50)*MAX(0.5,1+$B$2/100))</f>
        <v/>
      </c>
      <c r="D18">
        <f>MIN(30,MAX(5,5+$B$6/5+$B$4/10))</f>
        <v/>
      </c>
    </row>
    <row r="19">
      <c r="A19" t="n">
        <v>3</v>
      </c>
      <c r="B19">
        <f>MAX(1,$B$11*EXP(-$B$10*A19)*$B$12)</f>
        <v/>
      </c>
      <c r="C19">
        <f>MAX(1,$B$12*($B$6/50)*MAX(0.5,1+$B$2/100))</f>
        <v/>
      </c>
      <c r="D19">
        <f>MIN(30,MAX(5,5+$B$6/5+$B$4/10))</f>
        <v/>
      </c>
    </row>
    <row r="20">
      <c r="A20" t="n">
        <v>4</v>
      </c>
      <c r="B20">
        <f>MAX(1,$B$11*EXP(-$B$10*A20)*$B$12)</f>
        <v/>
      </c>
      <c r="C20">
        <f>MAX(1,$B$12*($B$6/50)*MAX(0.5,1+$B$2/100))</f>
        <v/>
      </c>
      <c r="D20">
        <f>MIN(30,MAX(5,5+$B$6/5+$B$4/10))</f>
        <v/>
      </c>
    </row>
    <row r="21">
      <c r="A21" t="n">
        <v>5</v>
      </c>
      <c r="B21">
        <f>MAX(1,$B$11*EXP(-$B$10*A21)*$B$12)</f>
        <v/>
      </c>
      <c r="C21">
        <f>MAX(1,$B$12*($B$6/50)*MAX(0.5,1+$B$2/100))</f>
        <v/>
      </c>
      <c r="D21">
        <f>MIN(30,MAX(5,5+$B$6/5+$B$4/10))</f>
        <v/>
      </c>
    </row>
    <row r="22">
      <c r="A22" t="n">
        <v>6</v>
      </c>
      <c r="B22">
        <f>MAX(1,$B$11*EXP(-$B$10*A22)*$B$12)</f>
        <v/>
      </c>
      <c r="C22">
        <f>MAX(1,$B$12*($B$6/50)*MAX(0.5,1+$B$2/100))</f>
        <v/>
      </c>
      <c r="D22">
        <f>MIN(30,MAX(5,5+$B$6/5+$B$4/10))</f>
        <v/>
      </c>
    </row>
    <row r="23">
      <c r="A23" t="n">
        <v>7</v>
      </c>
      <c r="B23">
        <f>MAX(1,$B$11*EXP(-$B$10*A23)*$B$12)</f>
        <v/>
      </c>
      <c r="C23">
        <f>MAX(1,$B$12*($B$6/50)*MAX(0.5,1+$B$2/100))</f>
        <v/>
      </c>
      <c r="D23">
        <f>MIN(30,MAX(5,5+$B$6/5+$B$4/10))</f>
        <v/>
      </c>
    </row>
    <row r="24">
      <c r="A24" t="n">
        <v>8</v>
      </c>
      <c r="B24">
        <f>MAX(1,$B$11*EXP(-$B$10*A24)*$B$12)</f>
        <v/>
      </c>
      <c r="C24">
        <f>MAX(1,$B$12*($B$6/50)*MAX(0.5,1+$B$2/100))</f>
        <v/>
      </c>
      <c r="D24">
        <f>MIN(30,MAX(5,5+$B$6/5+$B$4/10))</f>
        <v/>
      </c>
    </row>
    <row r="25">
      <c r="A25" t="n">
        <v>9</v>
      </c>
      <c r="B25">
        <f>MAX(1,$B$11*EXP(-$B$10*A25)*$B$12)</f>
        <v/>
      </c>
      <c r="C25">
        <f>MAX(1,$B$12*($B$6/50)*MAX(0.5,1+$B$2/100))</f>
        <v/>
      </c>
      <c r="D25">
        <f>MIN(30,MAX(5,5+$B$6/5+$B$4/10))</f>
        <v/>
      </c>
    </row>
    <row r="26">
      <c r="A26" t="n">
        <v>10</v>
      </c>
      <c r="B26">
        <f>MAX(1,$B$11*EXP(-$B$10*A26)*$B$12)</f>
        <v/>
      </c>
      <c r="C26">
        <f>MAX(1,$B$12*($B$6/50)*MAX(0.5,1+$B$2/100))</f>
        <v/>
      </c>
      <c r="D26">
        <f>MIN(30,MAX(5,5+$B$6/5+$B$4/10))</f>
        <v/>
      </c>
    </row>
    <row r="27">
      <c r="A27" t="n">
        <v>11</v>
      </c>
      <c r="B27">
        <f>MAX(1,$B$11*EXP(-$B$10*A27)*$B$12)</f>
        <v/>
      </c>
      <c r="C27">
        <f>MAX(1,$B$12*($B$6/50)*MAX(0.5,1+$B$2/100))</f>
        <v/>
      </c>
      <c r="D27">
        <f>MIN(30,MAX(5,5+$B$6/5+$B$4/10))</f>
        <v/>
      </c>
    </row>
    <row r="28">
      <c r="A28" t="n">
        <v>12</v>
      </c>
      <c r="B28">
        <f>MAX(1,$B$11*EXP(-$B$10*A28)*$B$12)</f>
        <v/>
      </c>
      <c r="C28">
        <f>MAX(1,$B$12*($B$6/50)*MAX(0.5,1+$B$2/100))</f>
        <v/>
      </c>
      <c r="D28">
        <f>MIN(30,MAX(5,5+$B$6/5+$B$4/10))</f>
        <v/>
      </c>
    </row>
    <row r="29">
      <c r="A29" t="n">
        <v>13</v>
      </c>
      <c r="B29">
        <f>MAX(1,$B$11*EXP(-$B$10*A29)*$B$12)</f>
        <v/>
      </c>
      <c r="C29">
        <f>MAX(1,$B$12*($B$6/50)*MAX(0.5,1+$B$2/100))</f>
        <v/>
      </c>
      <c r="D29">
        <f>MIN(30,MAX(5,5+$B$6/5+$B$4/10))</f>
        <v/>
      </c>
    </row>
    <row r="30">
      <c r="A30" t="n">
        <v>14</v>
      </c>
      <c r="B30">
        <f>MAX(1,$B$11*EXP(-$B$10*A30)*$B$12)</f>
        <v/>
      </c>
      <c r="C30">
        <f>MAX(1,$B$12*($B$6/50)*MAX(0.5,1+$B$2/100))</f>
        <v/>
      </c>
      <c r="D30">
        <f>MIN(30,MAX(5,5+$B$6/5+$B$4/10))</f>
        <v/>
      </c>
    </row>
    <row r="31">
      <c r="A31" t="n">
        <v>15</v>
      </c>
      <c r="B31">
        <f>MAX(1,$B$11*EXP(-$B$10*A31)*$B$12)</f>
        <v/>
      </c>
      <c r="C31">
        <f>MAX(1,$B$12*($B$6/50)*MAX(0.5,1+$B$2/100))</f>
        <v/>
      </c>
      <c r="D31">
        <f>MIN(30,MAX(5,5+$B$6/5+$B$4/10))</f>
        <v/>
      </c>
    </row>
    <row r="32">
      <c r="A32" t="n">
        <v>16</v>
      </c>
      <c r="B32">
        <f>MAX(1,$B$11*EXP(-$B$10*A32)*$B$12)</f>
        <v/>
      </c>
      <c r="C32">
        <f>MAX(1,$B$12*($B$6/50)*MAX(0.5,1+$B$2/100))</f>
        <v/>
      </c>
      <c r="D32">
        <f>MIN(30,MAX(5,5+$B$6/5+$B$4/10))</f>
        <v/>
      </c>
    </row>
    <row r="33">
      <c r="A33" t="n">
        <v>17</v>
      </c>
      <c r="B33">
        <f>MAX(1,$B$11*EXP(-$B$10*A33)*$B$12)</f>
        <v/>
      </c>
      <c r="C33">
        <f>MAX(1,$B$12*($B$6/50)*MAX(0.5,1+$B$2/100))</f>
        <v/>
      </c>
      <c r="D33">
        <f>MIN(30,MAX(5,5+$B$6/5+$B$4/10))</f>
        <v/>
      </c>
    </row>
    <row r="34">
      <c r="A34" t="n">
        <v>18</v>
      </c>
      <c r="B34">
        <f>MAX(1,$B$11*EXP(-$B$10*A34)*$B$12)</f>
        <v/>
      </c>
      <c r="C34">
        <f>MAX(1,$B$12*($B$6/50)*MAX(0.5,1+$B$2/100))</f>
        <v/>
      </c>
      <c r="D34">
        <f>MIN(30,MAX(5,5+$B$6/5+$B$4/10))</f>
        <v/>
      </c>
    </row>
    <row r="35">
      <c r="A35" t="n">
        <v>19</v>
      </c>
      <c r="B35">
        <f>MAX(1,$B$11*EXP(-$B$10*A35)*$B$12)</f>
        <v/>
      </c>
      <c r="C35">
        <f>MAX(1,$B$12*($B$6/50)*MAX(0.5,1+$B$2/100))</f>
        <v/>
      </c>
      <c r="D35">
        <f>MIN(30,MAX(5,5+$B$6/5+$B$4/10))</f>
        <v/>
      </c>
    </row>
    <row r="36">
      <c r="A36" t="n">
        <v>20</v>
      </c>
      <c r="B36">
        <f>MAX(1,$B$11*EXP(-$B$10*A36)*$B$12)</f>
        <v/>
      </c>
      <c r="C36">
        <f>MAX(1,$B$12*($B$6/50)*MAX(0.5,1+$B$2/100))</f>
        <v/>
      </c>
      <c r="D36">
        <f>MIN(30,MAX(5,5+$B$6/5+$B$4/10))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Margin Control</t>
        </is>
      </c>
    </row>
    <row r="2">
      <c r="A2" t="inlineStr">
        <is>
          <t>Balance</t>
        </is>
      </c>
      <c r="B2" t="n">
        <v>10000</v>
      </c>
    </row>
    <row r="3">
      <c r="A3" t="inlineStr">
        <is>
          <t>Equity</t>
        </is>
      </c>
      <c r="B3" t="n">
        <v>9400</v>
      </c>
    </row>
    <row r="4">
      <c r="A4" t="inlineStr">
        <is>
          <t>FreeMargin</t>
        </is>
      </c>
      <c r="B4" t="n">
        <v>7000</v>
      </c>
    </row>
    <row r="5">
      <c r="A5" t="inlineStr">
        <is>
          <t>Leverage</t>
        </is>
      </c>
      <c r="B5" t="n">
        <v>100</v>
      </c>
    </row>
    <row r="6">
      <c r="A6" t="inlineStr">
        <is>
          <t>MarginPerLot</t>
        </is>
      </c>
      <c r="B6" t="n">
        <v>1000</v>
      </c>
    </row>
    <row r="7">
      <c r="A7" t="inlineStr">
        <is>
          <t>MarginCallLevel</t>
        </is>
      </c>
      <c r="B7" t="n">
        <v>80</v>
      </c>
    </row>
    <row r="8">
      <c r="A8" t="inlineStr">
        <is>
          <t>StopOutLevel</t>
        </is>
      </c>
      <c r="B8" t="n">
        <v>50</v>
      </c>
    </row>
    <row r="9">
      <c r="A9" t="inlineStr">
        <is>
          <t>UsedMargin</t>
        </is>
      </c>
      <c r="B9" t="n">
        <v>2400</v>
      </c>
    </row>
    <row r="10">
      <c r="A10" t="inlineStr">
        <is>
          <t>NextLevelLot</t>
        </is>
      </c>
      <c r="B10" t="n">
        <v>0.2</v>
      </c>
    </row>
    <row r="12">
      <c r="A12" t="inlineStr">
        <is>
          <t>RequiredMargin</t>
        </is>
      </c>
      <c r="B12">
        <f>B9*B5</f>
        <v/>
      </c>
    </row>
    <row r="13">
      <c r="A13" t="inlineStr">
        <is>
          <t>MarginLoad%</t>
        </is>
      </c>
      <c r="B13">
        <f>B8/B3*100</f>
        <v/>
      </c>
    </row>
    <row r="14">
      <c r="A14" t="inlineStr">
        <is>
          <t>FreeMarginAfterNextLevel</t>
        </is>
      </c>
      <c r="B14">
        <f>B4-B12</f>
        <v/>
      </c>
    </row>
    <row r="15">
      <c r="A15" t="inlineStr">
        <is>
          <t>WorstCaseMargin</t>
        </is>
      </c>
      <c r="B15">
        <f>B8+B12</f>
        <v/>
      </c>
    </row>
    <row r="16">
      <c r="A16" t="inlineStr">
        <is>
          <t>MarginStress</t>
        </is>
      </c>
      <c r="B16">
        <f>IF(B13&lt;30,"SAFE",IF(B13&lt;50,"NORMAL",IF(B13&lt;70,"WARNING",IF(B13&lt;90,"DANGER","CRITICAL"))))</f>
        <v/>
      </c>
    </row>
    <row r="17">
      <c r="A17" t="inlineStr">
        <is>
          <t>MaxSafeLevels</t>
        </is>
      </c>
      <c r="B17">
        <f>MAX(1,INT(B4/B12))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Monte Carlo Scenarios</t>
        </is>
      </c>
    </row>
    <row r="3">
      <c r="A3" s="1" t="inlineStr">
        <is>
          <t>Scenario</t>
        </is>
      </c>
      <c r="B3" s="1" t="inlineStr">
        <is>
          <t>Max DD</t>
        </is>
      </c>
      <c r="C3" s="1" t="inlineStr">
        <is>
          <t>Max Levels</t>
        </is>
      </c>
      <c r="D3" s="1" t="inlineStr">
        <is>
          <t>Margin Stress</t>
        </is>
      </c>
      <c r="E3" s="1" t="inlineStr">
        <is>
          <t>Recovery Distance</t>
        </is>
      </c>
      <c r="F3" s="1" t="inlineStr">
        <is>
          <t>Required Rollback</t>
        </is>
      </c>
      <c r="G3" s="1" t="inlineStr">
        <is>
          <t>Survival</t>
        </is>
      </c>
    </row>
    <row r="4">
      <c r="A4" t="inlineStr">
        <is>
          <t>Strong Downtrend</t>
        </is>
      </c>
      <c r="B4">
        <f>25+AdaptiveEngine!B17/4</f>
        <v/>
      </c>
      <c r="C4">
        <f>INT(5+AdaptiveEngine!B17/20)</f>
        <v/>
      </c>
      <c r="D4" t="inlineStr">
        <is>
          <t>WARNING</t>
        </is>
      </c>
      <c r="E4">
        <f>500+AdaptiveEngine!B17*6</f>
        <v/>
      </c>
      <c r="F4">
        <f>200+AdaptiveEngine!D17*8</f>
        <v/>
      </c>
      <c r="G4">
        <f>IF(B4&gt;60,"LOW","MEDIUM")</f>
        <v/>
      </c>
    </row>
    <row r="5">
      <c r="A5" t="inlineStr">
        <is>
          <t>Strong Uptrend</t>
        </is>
      </c>
      <c r="B5" t="n">
        <v>33</v>
      </c>
      <c r="C5" t="n">
        <v>8</v>
      </c>
      <c r="D5" t="inlineStr">
        <is>
          <t>WARNING</t>
        </is>
      </c>
      <c r="E5" t="n">
        <v>820</v>
      </c>
      <c r="F5" t="n">
        <v>400</v>
      </c>
      <c r="G5" t="inlineStr">
        <is>
          <t>MEDIUM</t>
        </is>
      </c>
    </row>
    <row r="6">
      <c r="A6" t="inlineStr">
        <is>
          <t>Volatile Trend</t>
        </is>
      </c>
      <c r="B6" t="n">
        <v>45</v>
      </c>
      <c r="C6" t="n">
        <v>10</v>
      </c>
      <c r="D6" t="inlineStr">
        <is>
          <t>DANGER</t>
        </is>
      </c>
      <c r="E6" t="n">
        <v>1200</v>
      </c>
      <c r="F6" t="n">
        <v>620</v>
      </c>
      <c r="G6" t="inlineStr">
        <is>
          <t>LOW</t>
        </is>
      </c>
    </row>
    <row r="7">
      <c r="A7" t="inlineStr">
        <is>
          <t>Flash Crash</t>
        </is>
      </c>
      <c r="B7" t="n">
        <v>60</v>
      </c>
      <c r="C7" t="n">
        <v>12</v>
      </c>
      <c r="D7" t="inlineStr">
        <is>
          <t>CRITICAL</t>
        </is>
      </c>
      <c r="E7" t="n">
        <v>1800</v>
      </c>
      <c r="F7" t="n">
        <v>900</v>
      </c>
      <c r="G7" t="inlineStr">
        <is>
          <t>LOW</t>
        </is>
      </c>
    </row>
    <row r="8">
      <c r="A8" t="inlineStr">
        <is>
          <t>Long Compression</t>
        </is>
      </c>
      <c r="B8" t="n">
        <v>28</v>
      </c>
      <c r="C8" t="n">
        <v>7</v>
      </c>
      <c r="D8" t="inlineStr">
        <is>
          <t>NORMAL</t>
        </is>
      </c>
      <c r="E8" t="n">
        <v>640</v>
      </c>
      <c r="F8" t="n">
        <v>300</v>
      </c>
      <c r="G8" t="inlineStr">
        <is>
          <t>HIGH</t>
        </is>
      </c>
    </row>
    <row r="9">
      <c r="A9" t="inlineStr">
        <is>
          <t>Endless Trend</t>
        </is>
      </c>
      <c r="B9" t="n">
        <v>72</v>
      </c>
      <c r="C9" t="n">
        <v>14</v>
      </c>
      <c r="D9" t="inlineStr">
        <is>
          <t>CRITICAL</t>
        </is>
      </c>
      <c r="E9" t="n">
        <v>2600</v>
      </c>
      <c r="F9" t="n">
        <v>1200</v>
      </c>
      <c r="G9" t="inlineStr">
        <is>
          <t>VERY LOW</t>
        </is>
      </c>
    </row>
    <row r="10">
      <c r="A10" t="inlineStr">
        <is>
          <t>Trend + Spike</t>
        </is>
      </c>
      <c r="B10" t="n">
        <v>55</v>
      </c>
      <c r="C10" t="n">
        <v>11</v>
      </c>
      <c r="D10" t="inlineStr">
        <is>
          <t>DANGER</t>
        </is>
      </c>
      <c r="E10" t="n">
        <v>1500</v>
      </c>
      <c r="F10" t="n">
        <v>760</v>
      </c>
      <c r="G10" t="inlineStr">
        <is>
          <t>LOW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Model</t>
        </is>
      </c>
    </row>
    <row r="3">
      <c r="A3" s="1" t="inlineStr">
        <is>
          <t>Step</t>
        </is>
      </c>
      <c r="B3" s="1" t="inlineStr">
        <is>
          <t>Balance</t>
        </is>
      </c>
      <c r="C3" s="1" t="inlineStr">
        <is>
          <t>Equity</t>
        </is>
      </c>
      <c r="D3" s="1" t="inlineStr">
        <is>
          <t>Floating DD</t>
        </is>
      </c>
      <c r="E3" s="1" t="inlineStr">
        <is>
          <t>Recovery</t>
        </is>
      </c>
      <c r="F3" s="1" t="inlineStr">
        <is>
          <t>Margin Load</t>
        </is>
      </c>
    </row>
    <row r="4">
      <c r="A4" t="n">
        <v>0</v>
      </c>
      <c r="B4" t="n">
        <v>10000</v>
      </c>
      <c r="C4" t="n">
        <v>10000</v>
      </c>
      <c r="D4" t="n">
        <v>0</v>
      </c>
      <c r="E4" t="n">
        <v>0</v>
      </c>
      <c r="F4" t="n">
        <v>24</v>
      </c>
    </row>
    <row r="5">
      <c r="A5" t="n">
        <v>1</v>
      </c>
      <c r="B5" t="n">
        <v>10000</v>
      </c>
      <c r="C5" t="n">
        <v>9800</v>
      </c>
      <c r="D5" t="n">
        <v>2</v>
      </c>
      <c r="E5" t="n">
        <v>10</v>
      </c>
      <c r="F5" t="n">
        <v>28</v>
      </c>
    </row>
    <row r="6">
      <c r="A6" t="n">
        <v>2</v>
      </c>
      <c r="B6" t="n">
        <v>10000</v>
      </c>
      <c r="C6" t="n">
        <v>9500</v>
      </c>
      <c r="D6" t="n">
        <v>5</v>
      </c>
      <c r="E6" t="n">
        <v>20</v>
      </c>
      <c r="F6" t="n">
        <v>35</v>
      </c>
    </row>
    <row r="7">
      <c r="A7" t="n">
        <v>3</v>
      </c>
      <c r="B7" t="n">
        <v>10000</v>
      </c>
      <c r="C7" t="n">
        <v>9300</v>
      </c>
      <c r="D7" t="n">
        <v>7</v>
      </c>
      <c r="E7" t="n">
        <v>35</v>
      </c>
      <c r="F7" t="n">
        <v>42</v>
      </c>
    </row>
    <row r="8">
      <c r="A8" t="n">
        <v>4</v>
      </c>
      <c r="B8" t="n">
        <v>10000</v>
      </c>
      <c r="C8" t="n">
        <v>9400</v>
      </c>
      <c r="D8" t="n">
        <v>6</v>
      </c>
      <c r="E8" t="n">
        <v>50</v>
      </c>
      <c r="F8" t="n">
        <v>39</v>
      </c>
    </row>
    <row r="9">
      <c r="A9" t="n">
        <v>5</v>
      </c>
      <c r="B9" t="n">
        <v>10000</v>
      </c>
      <c r="C9" t="n">
        <v>9700</v>
      </c>
      <c r="D9" t="n">
        <v>3</v>
      </c>
      <c r="E9" t="n">
        <v>72</v>
      </c>
      <c r="F9" t="n">
        <v>32</v>
      </c>
    </row>
    <row r="10">
      <c r="A10" t="n">
        <v>6</v>
      </c>
      <c r="B10" t="n">
        <v>10000</v>
      </c>
      <c r="C10" t="n">
        <v>9950</v>
      </c>
      <c r="D10" t="n">
        <v>1</v>
      </c>
      <c r="E10" t="n">
        <v>90</v>
      </c>
      <c r="F10" t="n">
        <v>26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Recovery Map</t>
        </is>
      </c>
    </row>
    <row r="3">
      <c r="A3" s="1" t="inlineStr">
        <is>
          <t>Level</t>
        </is>
      </c>
      <c r="B3" s="1" t="inlineStr">
        <is>
          <t>RecoveryDistance</t>
        </is>
      </c>
      <c r="C3" s="1" t="inlineStr">
        <is>
          <t>TimeBars</t>
        </is>
      </c>
      <c r="D3" s="1" t="inlineStr">
        <is>
          <t>CompressionCycles</t>
        </is>
      </c>
      <c r="E3" s="1" t="inlineStr">
        <is>
          <t>Basket&gt;=0</t>
        </is>
      </c>
    </row>
    <row r="4">
      <c r="A4" t="n">
        <v>1</v>
      </c>
      <c r="B4" t="n">
        <v>120</v>
      </c>
      <c r="C4" t="n">
        <v>8</v>
      </c>
      <c r="D4" t="n">
        <v>1</v>
      </c>
      <c r="E4" t="inlineStr">
        <is>
          <t>YES</t>
        </is>
      </c>
    </row>
    <row r="5">
      <c r="A5" t="n">
        <v>2</v>
      </c>
      <c r="B5" t="n">
        <v>260</v>
      </c>
      <c r="C5" t="n">
        <v>16</v>
      </c>
      <c r="D5" t="n">
        <v>2</v>
      </c>
      <c r="E5" t="inlineStr">
        <is>
          <t>YES</t>
        </is>
      </c>
    </row>
    <row r="6">
      <c r="A6" t="n">
        <v>3</v>
      </c>
      <c r="B6" t="n">
        <v>430</v>
      </c>
      <c r="C6" t="n">
        <v>28</v>
      </c>
      <c r="D6" t="n">
        <v>3</v>
      </c>
      <c r="E6" t="inlineStr">
        <is>
          <t>YES</t>
        </is>
      </c>
    </row>
    <row r="7">
      <c r="A7" t="n">
        <v>4</v>
      </c>
      <c r="B7" t="n">
        <v>660</v>
      </c>
      <c r="C7" t="n">
        <v>45</v>
      </c>
      <c r="D7" t="n">
        <v>4</v>
      </c>
      <c r="E7" t="inlineStr">
        <is>
          <t>NO</t>
        </is>
      </c>
    </row>
    <row r="8">
      <c r="A8" t="n">
        <v>5</v>
      </c>
      <c r="B8" t="n">
        <v>980</v>
      </c>
      <c r="C8" t="n">
        <v>70</v>
      </c>
      <c r="D8" t="n">
        <v>6</v>
      </c>
      <c r="E8" t="inlineStr">
        <is>
          <t>NO</t>
        </is>
      </c>
    </row>
    <row r="9">
      <c r="A9" t="n">
        <v>6</v>
      </c>
      <c r="B9" t="n">
        <v>1300</v>
      </c>
      <c r="C9" t="n">
        <v>95</v>
      </c>
      <c r="D9" t="n">
        <v>8</v>
      </c>
      <c r="E9" t="inlineStr">
        <is>
          <t>NO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Stress Test</t>
        </is>
      </c>
    </row>
    <row r="3">
      <c r="A3" s="1" t="inlineStr">
        <is>
          <t>Case</t>
        </is>
      </c>
      <c r="B3" s="1" t="inlineStr">
        <is>
          <t>Result</t>
        </is>
      </c>
      <c r="C3" s="1" t="inlineStr">
        <is>
          <t>Risk</t>
        </is>
      </c>
    </row>
    <row r="4">
      <c r="A4" t="inlineStr">
        <is>
          <t>ATR x2</t>
        </is>
      </c>
      <c r="B4" t="inlineStr">
        <is>
          <t>PASS</t>
        </is>
      </c>
      <c r="C4" t="inlineStr">
        <is>
          <t>NORMAL</t>
        </is>
      </c>
    </row>
    <row r="5">
      <c r="A5" t="inlineStr">
        <is>
          <t>ATR x5</t>
        </is>
      </c>
      <c r="B5" t="inlineStr">
        <is>
          <t>WARN</t>
        </is>
      </c>
      <c r="C5" t="inlineStr">
        <is>
          <t>DANGER</t>
        </is>
      </c>
    </row>
    <row r="6">
      <c r="A6" t="inlineStr">
        <is>
          <t>Spread x3</t>
        </is>
      </c>
      <c r="B6" t="inlineStr">
        <is>
          <t>WARN</t>
        </is>
      </c>
      <c r="C6" t="inlineStr">
        <is>
          <t>WARNING</t>
        </is>
      </c>
    </row>
    <row r="7">
      <c r="A7" t="inlineStr">
        <is>
          <t>Gap 500</t>
        </is>
      </c>
      <c r="B7" t="inlineStr">
        <is>
          <t>WARN</t>
        </is>
      </c>
      <c r="C7" t="inlineStr">
        <is>
          <t>DANGER</t>
        </is>
      </c>
    </row>
    <row r="8">
      <c r="A8" t="inlineStr">
        <is>
          <t>Flash move</t>
        </is>
      </c>
      <c r="B8" t="inlineStr">
        <is>
          <t>FAIL</t>
        </is>
      </c>
      <c r="C8" t="inlineStr">
        <is>
          <t>CRITICAL</t>
        </is>
      </c>
    </row>
    <row r="9">
      <c r="A9" t="inlineStr">
        <is>
          <t>Infinite trend</t>
        </is>
      </c>
      <c r="B9" t="inlineStr">
        <is>
          <t>FAIL</t>
        </is>
      </c>
      <c r="C9" t="inlineStr">
        <is>
          <t>CRITICAL</t>
        </is>
      </c>
    </row>
    <row r="10">
      <c r="A10" t="inlineStr">
        <is>
          <t>No rollback</t>
        </is>
      </c>
      <c r="B10" t="inlineStr">
        <is>
          <t>FAIL</t>
        </is>
      </c>
      <c r="C10" t="inlineStr">
        <is>
          <t>CRITICAL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Risk Dashboard</t>
        </is>
      </c>
    </row>
    <row r="3">
      <c r="A3" s="1" t="inlineStr">
        <is>
          <t>Metric</t>
        </is>
      </c>
      <c r="B3" s="1" t="inlineStr">
        <is>
          <t>Value</t>
        </is>
      </c>
    </row>
    <row r="4">
      <c r="A4" t="inlineStr">
        <is>
          <t>RiskScore</t>
        </is>
      </c>
      <c r="B4">
        <f>MIN(100,MAX(0,0.35*EquityModel!D6+0.35*MarginControl!B13+0.2*AdaptiveEngine!B2+0.1*MarketModel!B3/2))</f>
        <v/>
      </c>
    </row>
    <row r="5">
      <c r="A5" t="inlineStr">
        <is>
          <t>RiskStatus</t>
        </is>
      </c>
      <c r="B5">
        <f>IF(B4&lt;20,"SAFE",IF(B4&lt;40,"NORMAL",IF(B4&lt;60,"WARNING",IF(B4&lt;80,"DANGER","CRITICAL"))))</f>
        <v/>
      </c>
    </row>
    <row r="6">
      <c r="A6" t="inlineStr">
        <is>
          <t>CurrentSkew</t>
        </is>
      </c>
      <c r="B6">
        <f>AdaptiveEngine!B2</f>
        <v/>
      </c>
    </row>
    <row r="7">
      <c r="A7" t="inlineStr">
        <is>
          <t>SurvivalProbability</t>
        </is>
      </c>
      <c r="B7">
        <f>MAX(0,100-B4)</f>
        <v/>
      </c>
    </row>
    <row r="8">
      <c r="A8" t="inlineStr">
        <is>
          <t>AdaptiveLevelStop</t>
        </is>
      </c>
      <c r="B8">
        <f>IF(OR(MarginControl!B13&gt;70,EquityModel!D6&gt;25,MarketModel!B3&gt;200,AdaptiveEngine!D17&gt;25),"STOP NEW LEVELS","ALLOW")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2026-05-15T21:52:31Z</dcterms:created>
  <dcterms:modified xsi:type="dcterms:W3CDTF">2026-05-15T21:52:32Z</dcterms:modified>
</cp:coreProperties>
</file>