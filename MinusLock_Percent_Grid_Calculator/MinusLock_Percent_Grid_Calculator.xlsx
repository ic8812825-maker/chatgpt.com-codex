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tings" sheetId="1" state="visible" r:id="rId3"/>
    <sheet name="DownTrend" sheetId="2" state="visible" r:id="rId4"/>
    <sheet name="UpTrend" sheetId="3" state="visible" r:id="rId5"/>
    <sheet name="Summary" sheetId="4" state="visible" r:id="rId6"/>
    <sheet name="Checks" sheetId="5" state="visible" r:id="rId7"/>
    <sheet name="Manual" sheetId="6" state="visible" r:id="rId8"/>
    <sheet name="MarketModel" sheetId="7" state="visible" r:id="rId9"/>
    <sheet name="AdaptiveEngine" sheetId="8" state="visible" r:id="rId10"/>
    <sheet name="MarginControl" sheetId="9" state="visible" r:id="rId11"/>
    <sheet name="MonteCarlo" sheetId="10" state="visible" r:id="rId12"/>
    <sheet name="EquityModel" sheetId="11" state="visible" r:id="rId13"/>
    <sheet name="RecoveryMap" sheetId="12" state="visible" r:id="rId14"/>
    <sheet name="StressTest" sheetId="13" state="visible" r:id="rId15"/>
    <sheet name="RiskDashboard" sheetId="14" state="visible" r:id="rId16"/>
  </sheets>
  <definedNames>
    <definedName function="false" hidden="false" name="BigPercentRange" vbProcedure="false">Settings!$B$22:$B$200</definedName>
    <definedName function="false" hidden="false" name="LevelRange" vbProcedure="false">Settings!$A$22:$A$200</definedName>
    <definedName function="false" hidden="false" name="ManualCloseRange" vbProcedure="false">Settings!$E$22:$E$200</definedName>
    <definedName function="false" hidden="false" name="SmallPercentRange" vbProcedure="false">Settings!$C$22:$C$200</definedName>
    <definedName function="false" hidden="false" name="TargetSkewRange" vbProcedure="false">Settings!$D$22:$D$200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<sst xmlns="http://schemas.openxmlformats.org/spreadsheetml/2006/main" count="284" uniqueCount="191">
  <si>
    <t xml:space="preserve">StartLot</t>
  </si>
  <si>
    <t xml:space="preserve">PointStep</t>
  </si>
  <si>
    <t xml:space="preserve">MaxLevels</t>
  </si>
  <si>
    <t xml:space="preserve">LotStep</t>
  </si>
  <si>
    <t xml:space="preserve">RoundMode</t>
  </si>
  <si>
    <t xml:space="preserve">Nearest</t>
  </si>
  <si>
    <t xml:space="preserve">TargetSkewMin%</t>
  </si>
  <si>
    <t xml:space="preserve">TargetSkewMax%</t>
  </si>
  <si>
    <t xml:space="preserve">UseRounding</t>
  </si>
  <si>
    <t xml:space="preserve">Direction</t>
  </si>
  <si>
    <t xml:space="preserve">DOWN</t>
  </si>
  <si>
    <t xml:space="preserve">BigRoundMode_DOWN</t>
  </si>
  <si>
    <t xml:space="preserve">SmallRoundMode_DOWN</t>
  </si>
  <si>
    <t xml:space="preserve">UP</t>
  </si>
  <si>
    <t xml:space="preserve">CloseRoundMode_DOWN</t>
  </si>
  <si>
    <t xml:space="preserve">SAFE</t>
  </si>
  <si>
    <t xml:space="preserve">BigRoundMode_UP</t>
  </si>
  <si>
    <t xml:space="preserve">SmallRoundMode_UP</t>
  </si>
  <si>
    <t xml:space="preserve">CloseRoundMode_UP</t>
  </si>
  <si>
    <t xml:space="preserve">EnableRiskSafeRounding</t>
  </si>
  <si>
    <t xml:space="preserve">EnableInputValidation</t>
  </si>
  <si>
    <t xml:space="preserve">Level</t>
  </si>
  <si>
    <t xml:space="preserve">Big%</t>
  </si>
  <si>
    <t xml:space="preserve">Small%</t>
  </si>
  <si>
    <t xml:space="preserve">TargetSkew%</t>
  </si>
  <si>
    <t xml:space="preserve">ManualClose%</t>
  </si>
  <si>
    <t xml:space="preserve">PriceStep</t>
  </si>
  <si>
    <t xml:space="preserve">Big %</t>
  </si>
  <si>
    <t xml:space="preserve">Big Lot</t>
  </si>
  <si>
    <t xml:space="preserve">Small %</t>
  </si>
  <si>
    <t xml:space="preserve">Small Lot</t>
  </si>
  <si>
    <t xml:space="preserve">Start Before %</t>
  </si>
  <si>
    <t xml:space="preserve">Before Close %</t>
  </si>
  <si>
    <t xml:space="preserve">Opposite After Add %</t>
  </si>
  <si>
    <t xml:space="preserve">Target Skew %</t>
  </si>
  <si>
    <t xml:space="preserve">Auto Close %</t>
  </si>
  <si>
    <t xml:space="preserve">Manual Close %</t>
  </si>
  <si>
    <t xml:space="preserve">Final Close %</t>
  </si>
  <si>
    <t xml:space="preserve">Start After %</t>
  </si>
  <si>
    <t xml:space="preserve">Sum Big %</t>
  </si>
  <si>
    <t xml:space="preserve">Sum Small %</t>
  </si>
  <si>
    <t xml:space="preserve">Total Main %</t>
  </si>
  <si>
    <t xml:space="preserve">Total Opposite %</t>
  </si>
  <si>
    <t xml:space="preserve">Skew %</t>
  </si>
  <si>
    <t xml:space="preserve">Status</t>
  </si>
  <si>
    <t xml:space="preserve">Comment</t>
  </si>
  <si>
    <t xml:space="preserve">Big Raw Lot</t>
  </si>
  <si>
    <t xml:space="preserve">Big Rounded</t>
  </si>
  <si>
    <t xml:space="preserve">Small Raw Lot</t>
  </si>
  <si>
    <t xml:space="preserve">Small Rounded</t>
  </si>
  <si>
    <t xml:space="preserve">Close Raw Lot</t>
  </si>
  <si>
    <t xml:space="preserve">Close Rounded</t>
  </si>
  <si>
    <t xml:space="preserve">Safe Rounding Status</t>
  </si>
  <si>
    <t xml:space="preserve">Rounding Comment</t>
  </si>
  <si>
    <t xml:space="preserve">Rounded Start After Lot</t>
  </si>
  <si>
    <t xml:space="preserve">Rounded Sum Big Lot</t>
  </si>
  <si>
    <t xml:space="preserve">Rounded Sum Small Lot</t>
  </si>
  <si>
    <t xml:space="preserve">Rounded Total Main Lot</t>
  </si>
  <si>
    <t xml:space="preserve">Rounded Total Opposite Lot</t>
  </si>
  <si>
    <t xml:space="preserve">Rounded Skew Lot</t>
  </si>
  <si>
    <t xml:space="preserve">Rounded Status</t>
  </si>
  <si>
    <t xml:space="preserve">OK</t>
  </si>
  <si>
    <t xml:space="preserve">V3 Dashboard Summary</t>
  </si>
  <si>
    <t xml:space="preserve">Final Total BUY %</t>
  </si>
  <si>
    <t xml:space="preserve">Final Total SELL %</t>
  </si>
  <si>
    <t xml:space="preserve">Final Skew %</t>
  </si>
  <si>
    <t xml:space="preserve">Final id1 Remaining %</t>
  </si>
  <si>
    <t xml:space="preserve">Adaptive Step</t>
  </si>
  <si>
    <t xml:space="preserve">ATR Regime</t>
  </si>
  <si>
    <t xml:space="preserve">Margin Load</t>
  </si>
  <si>
    <t xml:space="preserve">Risk Score</t>
  </si>
  <si>
    <t xml:space="preserve">Risk Status</t>
  </si>
  <si>
    <t xml:space="preserve">Survival Probability</t>
  </si>
  <si>
    <t xml:space="preserve">Final System Status</t>
  </si>
  <si>
    <t xml:space="preserve">Rounded System Status</t>
  </si>
  <si>
    <t xml:space="preserve">Checks</t>
  </si>
  <si>
    <t xml:space="preserve">Invalid StartLot</t>
  </si>
  <si>
    <t xml:space="preserve">Invalid LotStep</t>
  </si>
  <si>
    <t xml:space="preserve">Invalid Direction</t>
  </si>
  <si>
    <t xml:space="preserve">Negative values</t>
  </si>
  <si>
    <t xml:space="preserve">Big &lt; Small</t>
  </si>
  <si>
    <t xml:space="preserve">ManualClose &gt; Remaining</t>
  </si>
  <si>
    <t xml:space="preserve">Remaining &lt; 0</t>
  </si>
  <si>
    <t xml:space="preserve">Protection balance</t>
  </si>
  <si>
    <t xml:space="preserve">Rounded safety preserved</t>
  </si>
  <si>
    <t xml:space="preserve">Rounded Big zero</t>
  </si>
  <si>
    <t xml:space="preserve">Rounded Small zero</t>
  </si>
  <si>
    <t xml:space="preserve">LotStep too coarse</t>
  </si>
  <si>
    <t xml:space="preserve">FinalStatus from T/AJ</t>
  </si>
  <si>
    <t xml:space="preserve">V3: Adaptive probabilistic recovery engine prototype with risk dashboard.</t>
  </si>
  <si>
    <t xml:space="preserve">Market Model Inputs</t>
  </si>
  <si>
    <t xml:space="preserve">CurrentPrice</t>
  </si>
  <si>
    <t xml:space="preserve">ATR(14)</t>
  </si>
  <si>
    <t xml:space="preserve">ATR Multiplier</t>
  </si>
  <si>
    <t xml:space="preserve">Spread</t>
  </si>
  <si>
    <t xml:space="preserve">Swap</t>
  </si>
  <si>
    <t xml:space="preserve">Commission</t>
  </si>
  <si>
    <t xml:space="preserve">Daily Volatility</t>
  </si>
  <si>
    <t xml:space="preserve">Weekly Volatility</t>
  </si>
  <si>
    <t xml:space="preserve">Trend Strength</t>
  </si>
  <si>
    <t xml:space="preserve">Volatility Regime</t>
  </si>
  <si>
    <t xml:space="preserve">Symbol Digits</t>
  </si>
  <si>
    <t xml:space="preserve">Point Value</t>
  </si>
  <si>
    <t xml:space="preserve">Contract Size</t>
  </si>
  <si>
    <t xml:space="preserve">Adaptive Engine</t>
  </si>
  <si>
    <t xml:space="preserve">CurrentSkew</t>
  </si>
  <si>
    <t xml:space="preserve">LockWidth</t>
  </si>
  <si>
    <t xml:space="preserve">DistanceFromAverage</t>
  </si>
  <si>
    <t xml:space="preserve">MarginLoad</t>
  </si>
  <si>
    <t xml:space="preserve">RecoveryPressure</t>
  </si>
  <si>
    <t xml:space="preserve">TrendRisk</t>
  </si>
  <si>
    <t xml:space="preserve">RollbackProbability</t>
  </si>
  <si>
    <t xml:space="preserve">DD%</t>
  </si>
  <si>
    <t xml:space="preserve">DecayK</t>
  </si>
  <si>
    <t xml:space="preserve">BaseBig</t>
  </si>
  <si>
    <t xml:space="preserve">BaseSmall</t>
  </si>
  <si>
    <t xml:space="preserve">RiskFactor</t>
  </si>
  <si>
    <t xml:space="preserve">DynamicBig%</t>
  </si>
  <si>
    <t xml:space="preserve">DynamicSmall%</t>
  </si>
  <si>
    <t xml:space="preserve">DynamicTargetSkew%</t>
  </si>
  <si>
    <t xml:space="preserve">Margin Control</t>
  </si>
  <si>
    <t xml:space="preserve">Balance</t>
  </si>
  <si>
    <t xml:space="preserve">Equity</t>
  </si>
  <si>
    <t xml:space="preserve">FreeMargin</t>
  </si>
  <si>
    <t xml:space="preserve">Leverage</t>
  </si>
  <si>
    <t xml:space="preserve">MarginPerLot</t>
  </si>
  <si>
    <t xml:space="preserve">MarginCallLevel</t>
  </si>
  <si>
    <t xml:space="preserve">StopOutLevel</t>
  </si>
  <si>
    <t xml:space="preserve">UsedMargin</t>
  </si>
  <si>
    <t xml:space="preserve">NextLevelLot</t>
  </si>
  <si>
    <t xml:space="preserve">RequiredMargin</t>
  </si>
  <si>
    <t xml:space="preserve">MarginLoad%</t>
  </si>
  <si>
    <t xml:space="preserve">FreeMarginAfterNextLevel</t>
  </si>
  <si>
    <t xml:space="preserve">WorstCaseMargin</t>
  </si>
  <si>
    <t xml:space="preserve">MarginStress</t>
  </si>
  <si>
    <t xml:space="preserve">MaxSafeLevels</t>
  </si>
  <si>
    <t xml:space="preserve">Monte Carlo Scenarios</t>
  </si>
  <si>
    <t xml:space="preserve">Scenario</t>
  </si>
  <si>
    <t xml:space="preserve">Max DD</t>
  </si>
  <si>
    <t xml:space="preserve">Max Levels</t>
  </si>
  <si>
    <t xml:space="preserve">Margin Stress</t>
  </si>
  <si>
    <t xml:space="preserve">Recovery Distance</t>
  </si>
  <si>
    <t xml:space="preserve">Required Rollback</t>
  </si>
  <si>
    <t xml:space="preserve">Survival</t>
  </si>
  <si>
    <t xml:space="preserve">Strong Downtrend</t>
  </si>
  <si>
    <t xml:space="preserve">WARNING</t>
  </si>
  <si>
    <t xml:space="preserve">Strong Uptrend</t>
  </si>
  <si>
    <t xml:space="preserve">MEDIUM</t>
  </si>
  <si>
    <t xml:space="preserve">Volatile Trend</t>
  </si>
  <si>
    <t xml:space="preserve">DANGER</t>
  </si>
  <si>
    <t xml:space="preserve">LOW</t>
  </si>
  <si>
    <t xml:space="preserve">Flash Crash</t>
  </si>
  <si>
    <t xml:space="preserve">CRITICAL</t>
  </si>
  <si>
    <t xml:space="preserve">Long Compression</t>
  </si>
  <si>
    <t xml:space="preserve">NORMAL</t>
  </si>
  <si>
    <t xml:space="preserve">HIGH</t>
  </si>
  <si>
    <t xml:space="preserve">Endless Trend</t>
  </si>
  <si>
    <t xml:space="preserve">VERY LOW</t>
  </si>
  <si>
    <t xml:space="preserve">Trend + Spike</t>
  </si>
  <si>
    <t xml:space="preserve">Equity Model</t>
  </si>
  <si>
    <t xml:space="preserve">Step</t>
  </si>
  <si>
    <t xml:space="preserve">Floating DD</t>
  </si>
  <si>
    <t xml:space="preserve">Recovery</t>
  </si>
  <si>
    <t xml:space="preserve">Recovery Map</t>
  </si>
  <si>
    <t xml:space="preserve">RecoveryDistance</t>
  </si>
  <si>
    <t xml:space="preserve">TimeBars</t>
  </si>
  <si>
    <t xml:space="preserve">CompressionCycles</t>
  </si>
  <si>
    <t xml:space="preserve">Basket&gt;=0</t>
  </si>
  <si>
    <t xml:space="preserve">YES</t>
  </si>
  <si>
    <t xml:space="preserve">NO</t>
  </si>
  <si>
    <t xml:space="preserve">Stress Test</t>
  </si>
  <si>
    <t xml:space="preserve">Case</t>
  </si>
  <si>
    <t xml:space="preserve">Result</t>
  </si>
  <si>
    <t xml:space="preserve">Risk</t>
  </si>
  <si>
    <t xml:space="preserve">ATR x2</t>
  </si>
  <si>
    <t xml:space="preserve">PASS</t>
  </si>
  <si>
    <t xml:space="preserve">ATR x5</t>
  </si>
  <si>
    <t xml:space="preserve">WARN</t>
  </si>
  <si>
    <t xml:space="preserve">Spread x3</t>
  </si>
  <si>
    <t xml:space="preserve">Gap 500</t>
  </si>
  <si>
    <t xml:space="preserve">Flash move</t>
  </si>
  <si>
    <t xml:space="preserve">FAIL</t>
  </si>
  <si>
    <t xml:space="preserve">Infinite trend</t>
  </si>
  <si>
    <t xml:space="preserve">No rollback</t>
  </si>
  <si>
    <t xml:space="preserve">Risk Dashboard</t>
  </si>
  <si>
    <t xml:space="preserve">Metric</t>
  </si>
  <si>
    <t xml:space="preserve">Value</t>
  </si>
  <si>
    <t xml:space="preserve">RiskScore</t>
  </si>
  <si>
    <t xml:space="preserve">RiskStatus</t>
  </si>
  <si>
    <t xml:space="preserve">SurvivalProbability</t>
  </si>
  <si>
    <t xml:space="preserve">AdaptiveLevelStop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</si>
</sst>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theme="1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Calibri"/>
        <family val="2"/>
        <color rgb="FF000000"/>
        <sz val="11"/>
      </font>
      <fill>
        <patternFill>
          <bgColor rgb="FFC6EFCE"/>
        </patternFill>
      </fill>
    </dxf>
    <dxf>
      <font>
        <name val="Calibri"/>
        <family val="2"/>
        <color rgb="FF000000"/>
        <sz val="11"/>
      </font>
      <fill>
        <patternFill>
          <bgColor rgb="FF9CC2E5"/>
        </patternFill>
      </fill>
    </dxf>
    <dxf>
      <font>
        <name val="Calibri"/>
        <family val="2"/>
        <color rgb="FF000000"/>
        <sz val="11"/>
      </font>
      <fill>
        <patternFill>
          <bgColor rgb="FFFFEB9C"/>
        </patternFill>
      </fill>
    </dxf>
    <dxf>
      <font>
        <name val="Calibri"/>
        <family val="2"/>
        <color rgb="FF000000"/>
        <sz val="11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CC2E5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Equity Curve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EquityModel!$A$4:$A$10</c:f>
              <c:strCach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</c:strCache>
            </c:strRef>
          </c:cat>
          <c:val>
            <c:numRef>
              <c:f>EquityModel!$B$3:$B$10</c:f>
              <c:numCache>
                <c:formatCode>General</c:formatCode>
                <c:ptCount val="8"/>
                <c:pt idx="1">
                  <c:v>10000</c:v>
                </c:pt>
                <c:pt idx="2">
                  <c:v>10000</c:v>
                </c:pt>
                <c:pt idx="3">
                  <c:v>10000</c:v>
                </c:pt>
                <c:pt idx="4">
                  <c:v>10000</c:v>
                </c:pt>
                <c:pt idx="5">
                  <c:v>10000</c:v>
                </c:pt>
                <c:pt idx="6">
                  <c:v>10000</c:v>
                </c:pt>
                <c:pt idx="7">
                  <c:v>10000</c:v>
                </c:pt>
              </c:numCache>
            </c:numRef>
          </c:val>
          <c:smooth val="1"/>
        </c:ser>
        <c:ser>
          <c:idx val="1"/>
          <c:order val="1"/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EquityModel!$A$4:$A$10</c:f>
              <c:strCach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</c:strCache>
            </c:strRef>
          </c:cat>
          <c:val>
            <c:numRef>
              <c:f>EquityModel!$C$3:$C$10</c:f>
              <c:numCache>
                <c:formatCode>General</c:formatCode>
                <c:ptCount val="8"/>
                <c:pt idx="1">
                  <c:v>10000</c:v>
                </c:pt>
                <c:pt idx="2">
                  <c:v>9800</c:v>
                </c:pt>
                <c:pt idx="3">
                  <c:v>9500</c:v>
                </c:pt>
                <c:pt idx="4">
                  <c:v>9300</c:v>
                </c:pt>
                <c:pt idx="5">
                  <c:v>9400</c:v>
                </c:pt>
                <c:pt idx="6">
                  <c:v>9700</c:v>
                </c:pt>
                <c:pt idx="7">
                  <c:v>9950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9545201"/>
        <c:axId val="87471899"/>
      </c:lineChart>
      <c:catAx>
        <c:axId val="695452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471899"/>
        <c:crosses val="autoZero"/>
        <c:auto val="1"/>
        <c:lblAlgn val="ctr"/>
        <c:lblOffset val="100"/>
        <c:noMultiLvlLbl val="0"/>
      </c:catAx>
      <c:valAx>
        <c:axId val="874718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5452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Floating DD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EquityModel!$A$4:$A$10</c:f>
              <c:strCach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</c:strCache>
            </c:strRef>
          </c:cat>
          <c:val>
            <c:numRef>
              <c:f>EquityModel!$D$3:$D$10</c:f>
              <c:numCache>
                <c:formatCode>General</c:formatCode>
                <c:ptCount val="8"/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7</c:v>
                </c:pt>
                <c:pt idx="5">
                  <c:v>6</c:v>
                </c:pt>
                <c:pt idx="6">
                  <c:v>3</c:v>
                </c:pt>
                <c:pt idx="7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393881"/>
        <c:axId val="54929910"/>
      </c:lineChart>
      <c:catAx>
        <c:axId val="703938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929910"/>
        <c:crosses val="autoZero"/>
        <c:auto val="1"/>
        <c:lblAlgn val="ctr"/>
        <c:lblOffset val="100"/>
        <c:noMultiLvlLbl val="0"/>
      </c:catAx>
      <c:valAx>
        <c:axId val="549299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3938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Margin Load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MarginControl!$A$4:$A$10</c:f>
              <c:strCache>
                <c:ptCount val="7"/>
                <c:pt idx="0">
                  <c:v>FreeMargin</c:v>
                </c:pt>
                <c:pt idx="1">
                  <c:v>Leverage</c:v>
                </c:pt>
                <c:pt idx="2">
                  <c:v>MarginPerLot</c:v>
                </c:pt>
                <c:pt idx="3">
                  <c:v>MarginCallLevel</c:v>
                </c:pt>
                <c:pt idx="4">
                  <c:v>StopOutLevel</c:v>
                </c:pt>
                <c:pt idx="5">
                  <c:v>UsedMargin</c:v>
                </c:pt>
                <c:pt idx="6">
                  <c:v>NextLevelLot</c:v>
                </c:pt>
              </c:strCache>
            </c:strRef>
          </c:cat>
          <c:val>
            <c:numRef>
              <c:f>MarginControl!$M$3:$M$10</c:f>
              <c:numCache>
                <c:formatCode>General</c:formatCode>
                <c:ptCount val="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761216"/>
        <c:axId val="80767790"/>
      </c:lineChart>
      <c:catAx>
        <c:axId val="8876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767790"/>
        <c:crosses val="autoZero"/>
        <c:auto val="1"/>
        <c:lblAlgn val="ctr"/>
        <c:lblOffset val="100"/>
        <c:noMultiLvlLbl val="0"/>
      </c:catAx>
      <c:valAx>
        <c:axId val="807677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7612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Skew Evolution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AdaptiveEngine!$A$4:$A$10</c:f>
              <c:strCache>
                <c:ptCount val="7"/>
                <c:pt idx="0">
                  <c:v>DistanceFromAverage</c:v>
                </c:pt>
                <c:pt idx="1">
                  <c:v>MarginLoad</c:v>
                </c:pt>
                <c:pt idx="2">
                  <c:v>RecoveryPressure</c:v>
                </c:pt>
                <c:pt idx="3">
                  <c:v>TrendRisk</c:v>
                </c:pt>
                <c:pt idx="4">
                  <c:v>RollbackProbability</c:v>
                </c:pt>
                <c:pt idx="5">
                  <c:v>DD%</c:v>
                </c:pt>
                <c:pt idx="6">
                  <c:v>DecayK</c:v>
                </c:pt>
              </c:strCache>
            </c:strRef>
          </c:cat>
          <c:val>
            <c:numRef>
              <c:f>AdaptiveEngine!$D$3:$D$10</c:f>
              <c:numCache>
                <c:formatCode>General</c:formatCode>
                <c:ptCount val="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5213273"/>
        <c:axId val="86531453"/>
      </c:lineChart>
      <c:catAx>
        <c:axId val="752132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531453"/>
        <c:crosses val="autoZero"/>
        <c:auto val="1"/>
        <c:lblAlgn val="ctr"/>
        <c:lblOffset val="100"/>
        <c:noMultiLvlLbl val="0"/>
      </c:catAx>
      <c:valAx>
        <c:axId val="865314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2132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Compression Speed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RecoveryMap!$A$4:$A$10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/>
                </c:pt>
              </c:strCache>
            </c:strRef>
          </c:cat>
          <c:val>
            <c:numRef>
              <c:f>RecoveryMap!$D$3:$D$10</c:f>
              <c:numCache>
                <c:formatCode>General</c:formatCode>
                <c:ptCount val="8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781174"/>
        <c:axId val="36605057"/>
      </c:lineChart>
      <c:catAx>
        <c:axId val="187811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605057"/>
        <c:crosses val="autoZero"/>
        <c:auto val="1"/>
        <c:lblAlgn val="ctr"/>
        <c:lblOffset val="100"/>
        <c:noMultiLvlLbl val="0"/>
      </c:catAx>
      <c:valAx>
        <c:axId val="366050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7811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Recovery Probability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RiskDashboard!$A$4:$A$10</c:f>
              <c:strCache>
                <c:ptCount val="7"/>
                <c:pt idx="0">
                  <c:v>RiskScore</c:v>
                </c:pt>
                <c:pt idx="1">
                  <c:v>RiskStatus</c:v>
                </c:pt>
                <c:pt idx="2">
                  <c:v>CurrentSkew</c:v>
                </c:pt>
                <c:pt idx="3">
                  <c:v>SurvivalProbability</c:v>
                </c:pt>
                <c:pt idx="4">
                  <c:v>AdaptiveLevelStop</c:v>
                </c:pt>
                <c:pt idx="5">
                  <c:v/>
                </c:pt>
                <c:pt idx="6">
                  <c:v/>
                </c:pt>
              </c:strCache>
            </c:strRef>
          </c:cat>
          <c:val>
            <c:numRef>
              <c:f>RiskDashboard!$E$3:$E$10</c:f>
              <c:numCache>
                <c:formatCode>General</c:formatCode>
                <c:ptCount val="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4238001"/>
        <c:axId val="77313138"/>
      </c:lineChart>
      <c:catAx>
        <c:axId val="242380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313138"/>
        <c:crosses val="autoZero"/>
        <c:auto val="1"/>
        <c:lblAlgn val="ctr"/>
        <c:lblOffset val="100"/>
        <c:noMultiLvlLbl val="0"/>
      </c:catAx>
      <c:valAx>
        <c:axId val="773131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2380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ATR Regime Step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MarketModel!$A$4:$A$10</c:f>
              <c:strCache>
                <c:ptCount val="7"/>
                <c:pt idx="0">
                  <c:v>ATR Multiplier</c:v>
                </c:pt>
                <c:pt idx="1">
                  <c:v>Spread</c:v>
                </c:pt>
                <c:pt idx="2">
                  <c:v>Swap</c:v>
                </c:pt>
                <c:pt idx="3">
                  <c:v>Commission</c:v>
                </c:pt>
                <c:pt idx="4">
                  <c:v>Daily Volatility</c:v>
                </c:pt>
                <c:pt idx="5">
                  <c:v>Weekly Volatility</c:v>
                </c:pt>
                <c:pt idx="6">
                  <c:v>Trend Strength</c:v>
                </c:pt>
              </c:strCache>
            </c:strRef>
          </c:cat>
          <c:val>
            <c:numRef>
              <c:f>MarketModel!$P$3:$P$10</c:f>
              <c:numCache>
                <c:formatCode>General</c:formatCode>
                <c:ptCount val="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099787"/>
        <c:axId val="53216933"/>
      </c:lineChart>
      <c:catAx>
        <c:axId val="250997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216933"/>
        <c:crosses val="autoZero"/>
        <c:auto val="1"/>
        <c:lblAlgn val="ctr"/>
        <c:lblOffset val="100"/>
        <c:noMultiLvlLbl val="0"/>
      </c:catAx>
      <c:valAx>
        <c:axId val="532169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0997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Risk Score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RiskDashboard!$A$4:$A$10</c:f>
              <c:strCache>
                <c:ptCount val="7"/>
                <c:pt idx="0">
                  <c:v>RiskScore</c:v>
                </c:pt>
                <c:pt idx="1">
                  <c:v>RiskStatus</c:v>
                </c:pt>
                <c:pt idx="2">
                  <c:v>CurrentSkew</c:v>
                </c:pt>
                <c:pt idx="3">
                  <c:v>SurvivalProbability</c:v>
                </c:pt>
                <c:pt idx="4">
                  <c:v>AdaptiveLevelStop</c:v>
                </c:pt>
                <c:pt idx="5">
                  <c:v/>
                </c:pt>
                <c:pt idx="6">
                  <c:v/>
                </c:pt>
              </c:strCache>
            </c:strRef>
          </c:cat>
          <c:val>
            <c:numRef>
              <c:f>RiskDashboard!$B$3:$B$10</c:f>
              <c:numCache>
                <c:formatCode>General</c:formatCode>
                <c:ptCount val="8"/>
                <c:pt idx="1">
                  <c:v>7.93617021276596</c:v>
                </c:pt>
                <c:pt idx="3">
                  <c:v>10</c:v>
                </c:pt>
                <c:pt idx="4">
                  <c:v>92.063829787234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168476"/>
        <c:axId val="86863928"/>
      </c:lineChart>
      <c:catAx>
        <c:axId val="971684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863928"/>
        <c:crosses val="autoZero"/>
        <c:auto val="1"/>
        <c:lblAlgn val="ctr"/>
        <c:lblOffset val="100"/>
        <c:noMultiLvlLbl val="0"/>
      </c:catAx>
      <c:valAx>
        <c:axId val="868639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1684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Monte Carlo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MonteCarlo!$A$4:$A$10</c:f>
              <c:strCache>
                <c:ptCount val="7"/>
                <c:pt idx="0">
                  <c:v>Strong Downtrend</c:v>
                </c:pt>
                <c:pt idx="1">
                  <c:v>Strong Uptrend</c:v>
                </c:pt>
                <c:pt idx="2">
                  <c:v>Volatile Trend</c:v>
                </c:pt>
                <c:pt idx="3">
                  <c:v>Flash Crash</c:v>
                </c:pt>
                <c:pt idx="4">
                  <c:v>Long Compression</c:v>
                </c:pt>
                <c:pt idx="5">
                  <c:v>Endless Trend</c:v>
                </c:pt>
                <c:pt idx="6">
                  <c:v>Trend + Spike</c:v>
                </c:pt>
              </c:strCache>
            </c:strRef>
          </c:cat>
          <c:val>
            <c:numRef>
              <c:f>MonteCarlo!$C$3:$C$10</c:f>
              <c:numCache>
                <c:formatCode>General</c:formatCode>
                <c:ptCount val="8"/>
                <c:pt idx="1">
                  <c:v>110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7</c:v>
                </c:pt>
                <c:pt idx="6">
                  <c:v>14</c:v>
                </c:pt>
                <c:pt idx="7">
                  <c:v>11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3172587"/>
        <c:axId val="54444837"/>
      </c:lineChart>
      <c:catAx>
        <c:axId val="631725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444837"/>
        <c:crosses val="autoZero"/>
        <c:auto val="1"/>
        <c:lblAlgn val="ctr"/>
        <c:lblOffset val="100"/>
        <c:noMultiLvlLbl val="0"/>
      </c:catAx>
      <c:valAx>
        <c:axId val="544448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1725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BreakEven Map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RecoveryMap!$A$4:$A$10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/>
                </c:pt>
              </c:strCache>
            </c:strRef>
          </c:cat>
          <c:val>
            <c:numRef>
              <c:f>RecoveryMap!$B$3:$B$10</c:f>
              <c:numCache>
                <c:formatCode>General</c:formatCode>
                <c:ptCount val="8"/>
                <c:pt idx="1">
                  <c:v>120</c:v>
                </c:pt>
                <c:pt idx="2">
                  <c:v>260</c:v>
                </c:pt>
                <c:pt idx="3">
                  <c:v>430</c:v>
                </c:pt>
                <c:pt idx="4">
                  <c:v>660</c:v>
                </c:pt>
                <c:pt idx="5">
                  <c:v>980</c:v>
                </c:pt>
                <c:pt idx="6">
                  <c:v>1300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0923515"/>
        <c:axId val="38962102"/>
      </c:lineChart>
      <c:catAx>
        <c:axId val="509235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962102"/>
        <c:crosses val="autoZero"/>
        <c:auto val="1"/>
        <c:lblAlgn val="ctr"/>
        <c:lblOffset val="100"/>
        <c:noMultiLvlLbl val="0"/>
      </c:catAx>
      <c:valAx>
        <c:axId val="389621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9235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0</xdr:row>
      <xdr:rowOff>0</xdr:rowOff>
    </xdr:from>
    <xdr:to>
      <xdr:col>10</xdr:col>
      <xdr:colOff>88200</xdr:colOff>
      <xdr:row>15</xdr:row>
      <xdr:rowOff>70560</xdr:rowOff>
    </xdr:to>
    <xdr:graphicFrame>
      <xdr:nvGraphicFramePr>
        <xdr:cNvPr id="0" name="Chart 1"/>
        <xdr:cNvGraphicFramePr/>
      </xdr:nvGraphicFramePr>
      <xdr:xfrm>
        <a:off x="2276640" y="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12</xdr:row>
      <xdr:rowOff>0</xdr:rowOff>
    </xdr:from>
    <xdr:to>
      <xdr:col>10</xdr:col>
      <xdr:colOff>88200</xdr:colOff>
      <xdr:row>27</xdr:row>
      <xdr:rowOff>70560</xdr:rowOff>
    </xdr:to>
    <xdr:graphicFrame>
      <xdr:nvGraphicFramePr>
        <xdr:cNvPr id="1" name="Chart 2"/>
        <xdr:cNvGraphicFramePr/>
      </xdr:nvGraphicFramePr>
      <xdr:xfrm>
        <a:off x="2276640" y="210312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0</xdr:colOff>
      <xdr:row>24</xdr:row>
      <xdr:rowOff>0</xdr:rowOff>
    </xdr:from>
    <xdr:to>
      <xdr:col>10</xdr:col>
      <xdr:colOff>88200</xdr:colOff>
      <xdr:row>39</xdr:row>
      <xdr:rowOff>70560</xdr:rowOff>
    </xdr:to>
    <xdr:graphicFrame>
      <xdr:nvGraphicFramePr>
        <xdr:cNvPr id="2" name="Chart 3"/>
        <xdr:cNvGraphicFramePr/>
      </xdr:nvGraphicFramePr>
      <xdr:xfrm>
        <a:off x="2276640" y="42062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</xdr:col>
      <xdr:colOff>0</xdr:colOff>
      <xdr:row>36</xdr:row>
      <xdr:rowOff>0</xdr:rowOff>
    </xdr:from>
    <xdr:to>
      <xdr:col>10</xdr:col>
      <xdr:colOff>88200</xdr:colOff>
      <xdr:row>51</xdr:row>
      <xdr:rowOff>70560</xdr:rowOff>
    </xdr:to>
    <xdr:graphicFrame>
      <xdr:nvGraphicFramePr>
        <xdr:cNvPr id="3" name="Chart 4"/>
        <xdr:cNvGraphicFramePr/>
      </xdr:nvGraphicFramePr>
      <xdr:xfrm>
        <a:off x="2276640" y="630936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0</xdr:colOff>
      <xdr:row>48</xdr:row>
      <xdr:rowOff>0</xdr:rowOff>
    </xdr:from>
    <xdr:to>
      <xdr:col>10</xdr:col>
      <xdr:colOff>88200</xdr:colOff>
      <xdr:row>63</xdr:row>
      <xdr:rowOff>70560</xdr:rowOff>
    </xdr:to>
    <xdr:graphicFrame>
      <xdr:nvGraphicFramePr>
        <xdr:cNvPr id="4" name="Chart 5"/>
        <xdr:cNvGraphicFramePr/>
      </xdr:nvGraphicFramePr>
      <xdr:xfrm>
        <a:off x="2276640" y="841248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3</xdr:col>
      <xdr:colOff>0</xdr:colOff>
      <xdr:row>60</xdr:row>
      <xdr:rowOff>0</xdr:rowOff>
    </xdr:from>
    <xdr:to>
      <xdr:col>10</xdr:col>
      <xdr:colOff>88200</xdr:colOff>
      <xdr:row>75</xdr:row>
      <xdr:rowOff>70560</xdr:rowOff>
    </xdr:to>
    <xdr:graphicFrame>
      <xdr:nvGraphicFramePr>
        <xdr:cNvPr id="5" name="Chart 6"/>
        <xdr:cNvGraphicFramePr/>
      </xdr:nvGraphicFramePr>
      <xdr:xfrm>
        <a:off x="2276640" y="105156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3</xdr:col>
      <xdr:colOff>0</xdr:colOff>
      <xdr:row>72</xdr:row>
      <xdr:rowOff>0</xdr:rowOff>
    </xdr:from>
    <xdr:to>
      <xdr:col>10</xdr:col>
      <xdr:colOff>88200</xdr:colOff>
      <xdr:row>87</xdr:row>
      <xdr:rowOff>70560</xdr:rowOff>
    </xdr:to>
    <xdr:graphicFrame>
      <xdr:nvGraphicFramePr>
        <xdr:cNvPr id="6" name="Chart 7"/>
        <xdr:cNvGraphicFramePr/>
      </xdr:nvGraphicFramePr>
      <xdr:xfrm>
        <a:off x="2276640" y="1261872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3</xdr:col>
      <xdr:colOff>0</xdr:colOff>
      <xdr:row>84</xdr:row>
      <xdr:rowOff>0</xdr:rowOff>
    </xdr:from>
    <xdr:to>
      <xdr:col>10</xdr:col>
      <xdr:colOff>88200</xdr:colOff>
      <xdr:row>99</xdr:row>
      <xdr:rowOff>70560</xdr:rowOff>
    </xdr:to>
    <xdr:graphicFrame>
      <xdr:nvGraphicFramePr>
        <xdr:cNvPr id="7" name="Chart 8"/>
        <xdr:cNvGraphicFramePr/>
      </xdr:nvGraphicFramePr>
      <xdr:xfrm>
        <a:off x="2276640" y="147218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3</xdr:col>
      <xdr:colOff>0</xdr:colOff>
      <xdr:row>96</xdr:row>
      <xdr:rowOff>0</xdr:rowOff>
    </xdr:from>
    <xdr:to>
      <xdr:col>10</xdr:col>
      <xdr:colOff>88200</xdr:colOff>
      <xdr:row>111</xdr:row>
      <xdr:rowOff>96120</xdr:rowOff>
    </xdr:to>
    <xdr:graphicFrame>
      <xdr:nvGraphicFramePr>
        <xdr:cNvPr id="8" name="Chart 9"/>
        <xdr:cNvGraphicFramePr/>
      </xdr:nvGraphicFramePr>
      <xdr:xfrm>
        <a:off x="2276640" y="1682496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</xdr:col>
      <xdr:colOff>0</xdr:colOff>
      <xdr:row>108</xdr:row>
      <xdr:rowOff>0</xdr:rowOff>
    </xdr:from>
    <xdr:to>
      <xdr:col>10</xdr:col>
      <xdr:colOff>88200</xdr:colOff>
      <xdr:row>124</xdr:row>
      <xdr:rowOff>86040</xdr:rowOff>
    </xdr:to>
    <xdr:graphicFrame>
      <xdr:nvGraphicFramePr>
        <xdr:cNvPr id="9" name="Chart 10"/>
        <xdr:cNvGraphicFramePr/>
      </xdr:nvGraphicFramePr>
      <xdr:xfrm>
        <a:off x="2276640" y="1892808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>
      <c r="A2" s="1" t="s">
        <v>0</v>
      </c>
      <c r="B2" s="0" t="n">
        <v>1</v>
      </c>
    </row>
    <row r="3" customFormat="false" ht="13.8" hidden="false" customHeight="false" outlineLevel="0" collapsed="false">
      <c r="A3" s="1" t="s">
        <v>1</v>
      </c>
      <c r="B3" s="0" t="n">
        <v>100</v>
      </c>
    </row>
    <row r="4" customFormat="false" ht="13.8" hidden="false" customHeight="false" outlineLevel="0" collapsed="false">
      <c r="A4" s="1" t="s">
        <v>2</v>
      </c>
      <c r="B4" s="0" t="n">
        <v>5</v>
      </c>
    </row>
    <row r="5" customFormat="false" ht="13.8" hidden="false" customHeight="false" outlineLevel="0" collapsed="false">
      <c r="A5" s="1" t="s">
        <v>3</v>
      </c>
      <c r="B5" s="0" t="n">
        <v>0.01</v>
      </c>
    </row>
    <row r="6" customFormat="false" ht="13.8" hidden="false" customHeight="false" outlineLevel="0" collapsed="false">
      <c r="A6" s="1" t="s">
        <v>4</v>
      </c>
      <c r="B6" s="0" t="s">
        <v>5</v>
      </c>
    </row>
    <row r="7" customFormat="false" ht="13.8" hidden="false" customHeight="false" outlineLevel="0" collapsed="false">
      <c r="A7" s="1" t="s">
        <v>6</v>
      </c>
      <c r="B7" s="0" t="n">
        <v>5</v>
      </c>
    </row>
    <row r="8" customFormat="false" ht="13.8" hidden="false" customHeight="false" outlineLevel="0" collapsed="false">
      <c r="A8" s="1" t="s">
        <v>7</v>
      </c>
      <c r="B8" s="0" t="n">
        <v>25</v>
      </c>
    </row>
    <row r="9" customFormat="false" ht="13.8" hidden="false" customHeight="false" outlineLevel="0" collapsed="false">
      <c r="A9" s="1" t="s">
        <v>8</v>
      </c>
      <c r="B9" s="2" t="b">
        <f aca="false">TRUE()</f>
        <v>1</v>
      </c>
    </row>
    <row r="10" customFormat="false" ht="13.8" hidden="false" customHeight="false" outlineLevel="0" collapsed="false">
      <c r="A10" s="1" t="s">
        <v>9</v>
      </c>
      <c r="B10" s="0" t="s">
        <v>10</v>
      </c>
    </row>
    <row r="11" customFormat="false" ht="13.8" hidden="false" customHeight="false" outlineLevel="0" collapsed="false">
      <c r="A11" s="1" t="s">
        <v>11</v>
      </c>
      <c r="B11" s="0" t="s">
        <v>10</v>
      </c>
    </row>
    <row r="12" customFormat="false" ht="13.8" hidden="false" customHeight="false" outlineLevel="0" collapsed="false">
      <c r="A12" s="1" t="s">
        <v>12</v>
      </c>
      <c r="B12" s="0" t="s">
        <v>13</v>
      </c>
    </row>
    <row r="13" customFormat="false" ht="13.8" hidden="false" customHeight="false" outlineLevel="0" collapsed="false">
      <c r="A13" s="1" t="s">
        <v>14</v>
      </c>
      <c r="B13" s="0" t="s">
        <v>15</v>
      </c>
    </row>
    <row r="14" customFormat="false" ht="13.8" hidden="false" customHeight="false" outlineLevel="0" collapsed="false">
      <c r="A14" s="1" t="s">
        <v>16</v>
      </c>
      <c r="B14" s="0" t="s">
        <v>10</v>
      </c>
    </row>
    <row r="15" customFormat="false" ht="13.8" hidden="false" customHeight="false" outlineLevel="0" collapsed="false">
      <c r="A15" s="1" t="s">
        <v>17</v>
      </c>
      <c r="B15" s="0" t="s">
        <v>13</v>
      </c>
    </row>
    <row r="16" customFormat="false" ht="13.8" hidden="false" customHeight="false" outlineLevel="0" collapsed="false">
      <c r="A16" s="1" t="s">
        <v>18</v>
      </c>
      <c r="B16" s="0" t="s">
        <v>15</v>
      </c>
    </row>
    <row r="17" customFormat="false" ht="13.8" hidden="false" customHeight="false" outlineLevel="0" collapsed="false">
      <c r="A17" s="1" t="s">
        <v>19</v>
      </c>
      <c r="B17" s="2" t="b">
        <f aca="false">TRUE()</f>
        <v>1</v>
      </c>
    </row>
    <row r="18" customFormat="false" ht="13.8" hidden="false" customHeight="false" outlineLevel="0" collapsed="false">
      <c r="A18" s="1" t="s">
        <v>20</v>
      </c>
      <c r="B18" s="2" t="b">
        <f aca="false">TRUE()</f>
        <v>1</v>
      </c>
    </row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>
      <c r="A21" s="1" t="s">
        <v>21</v>
      </c>
      <c r="B21" s="1" t="s">
        <v>22</v>
      </c>
      <c r="C21" s="1" t="s">
        <v>23</v>
      </c>
      <c r="D21" s="1" t="s">
        <v>24</v>
      </c>
      <c r="E21" s="1" t="s">
        <v>25</v>
      </c>
    </row>
    <row r="22" customFormat="false" ht="13.8" hidden="false" customHeight="false" outlineLevel="0" collapsed="false">
      <c r="A22" s="0" t="n">
        <v>1</v>
      </c>
      <c r="B22" s="0" t="n">
        <v>90</v>
      </c>
      <c r="C22" s="0" t="n">
        <v>30</v>
      </c>
      <c r="D22" s="0" t="n">
        <v>0</v>
      </c>
    </row>
    <row r="23" customFormat="false" ht="13.8" hidden="false" customHeight="false" outlineLevel="0" collapsed="false">
      <c r="A23" s="0" t="n">
        <v>2</v>
      </c>
      <c r="B23" s="0" t="n">
        <v>30</v>
      </c>
      <c r="C23" s="0" t="n">
        <v>15</v>
      </c>
      <c r="D23" s="0" t="n">
        <v>15</v>
      </c>
    </row>
    <row r="24" customFormat="false" ht="13.8" hidden="false" customHeight="false" outlineLevel="0" collapsed="false">
      <c r="A24" s="0" t="n">
        <v>3</v>
      </c>
      <c r="B24" s="0" t="n">
        <v>20</v>
      </c>
      <c r="C24" s="0" t="n">
        <v>15</v>
      </c>
      <c r="D24" s="0" t="n">
        <v>10</v>
      </c>
    </row>
    <row r="25" customFormat="false" ht="13.8" hidden="false" customHeight="false" outlineLevel="0" collapsed="false">
      <c r="A25" s="0" t="n">
        <v>4</v>
      </c>
      <c r="B25" s="0" t="n">
        <v>10</v>
      </c>
      <c r="C25" s="0" t="n">
        <v>10</v>
      </c>
      <c r="D25" s="0" t="n">
        <v>10</v>
      </c>
    </row>
    <row r="26" customFormat="false" ht="13.8" hidden="false" customHeight="false" outlineLevel="0" collapsed="false">
      <c r="A26" s="0" t="n">
        <v>5</v>
      </c>
      <c r="B26" s="0" t="n">
        <v>5</v>
      </c>
      <c r="C26" s="0" t="n">
        <v>5</v>
      </c>
      <c r="D26" s="0" t="n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21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47</v>
      </c>
      <c r="X1" s="1" t="s">
        <v>48</v>
      </c>
      <c r="Y1" s="1" t="s">
        <v>49</v>
      </c>
      <c r="Z1" s="1" t="s">
        <v>50</v>
      </c>
      <c r="AA1" s="1" t="s">
        <v>51</v>
      </c>
      <c r="AB1" s="1" t="s">
        <v>52</v>
      </c>
      <c r="AC1" s="1" t="s">
        <v>53</v>
      </c>
      <c r="AD1" s="1" t="s">
        <v>54</v>
      </c>
      <c r="AE1" s="1" t="s">
        <v>55</v>
      </c>
      <c r="AF1" s="1" t="s">
        <v>56</v>
      </c>
      <c r="AG1" s="1" t="s">
        <v>57</v>
      </c>
      <c r="AH1" s="1" t="s">
        <v>58</v>
      </c>
      <c r="AI1" s="1" t="s">
        <v>59</v>
      </c>
      <c r="AJ1" s="1" t="s">
        <v>60</v>
      </c>
    </row>
    <row r="2" customFormat="false" ht="14.9" hidden="false" customHeight="false" outlineLevel="0" collapsed="false">
      <c r="A2" s="0" t="n">
        <v>0</v>
      </c>
      <c r="B2" s="0" t="n">
        <v>0</v>
      </c>
      <c r="C2" s="0" t="n">
        <v>0</v>
      </c>
      <c r="D2" s="0" t="n">
        <f aca="false">W2</f>
        <v>0</v>
      </c>
      <c r="E2" s="0" t="n">
        <v>0</v>
      </c>
      <c r="F2" s="0" t="n">
        <f aca="false">Y2</f>
        <v>0</v>
      </c>
      <c r="G2" s="0" t="n">
        <v>100</v>
      </c>
      <c r="H2" s="0" t="n">
        <v>100</v>
      </c>
      <c r="I2" s="0" t="n">
        <v>100</v>
      </c>
      <c r="J2" s="0" t="n">
        <v>0</v>
      </c>
      <c r="K2" s="0" t="n">
        <v>0</v>
      </c>
      <c r="M2" s="0" t="n">
        <v>0</v>
      </c>
      <c r="N2" s="0" t="n">
        <v>100</v>
      </c>
      <c r="O2" s="0" t="n">
        <v>0</v>
      </c>
      <c r="P2" s="0" t="n">
        <v>0</v>
      </c>
      <c r="Q2" s="0" t="n">
        <v>100</v>
      </c>
      <c r="R2" s="0" t="n">
        <v>100</v>
      </c>
      <c r="S2" s="0" t="n">
        <v>0</v>
      </c>
      <c r="T2" s="0" t="s">
        <v>61</v>
      </c>
      <c r="U2" s="0" t="str">
        <f aca="false">IF(LEFT(T2,5)="ERROR","Check input/risk","")</f>
        <v/>
      </c>
      <c r="V2" s="0" t="n">
        <v>0</v>
      </c>
      <c r="W2" s="0" t="n">
        <v>0</v>
      </c>
      <c r="X2" s="0" t="n">
        <v>0</v>
      </c>
      <c r="Y2" s="0" t="n">
        <v>0</v>
      </c>
      <c r="Z2" s="0" t="n">
        <v>0</v>
      </c>
      <c r="AA2" s="0" t="n">
        <v>0</v>
      </c>
      <c r="AB2" s="3" t="str">
        <f aca="false">IF(LEFT(T2,5)="ERROR","ERROR",IF(AND(Settings!$B$17,ABS(AA2-Z2)&gt;0.000000001),"FIXED",IF(ABS(S2)&lt;=Settings!$B$7,"SAFE","WARNING")))</f>
        <v>SAFE</v>
      </c>
      <c r="AC2" s="0" t="str">
        <f aca="false">IF(AB2="FIXED","Close adjusted by SAFE mode",IF(AB2="SAFE","BUY/SELL balance preserved",IF(AB2="WARNING","Near protection boundary","Protection broken")))</f>
        <v>BUY/SELL balance preserved</v>
      </c>
      <c r="AD2" s="0" t="n">
        <v>0</v>
      </c>
      <c r="AE2" s="0" t="n">
        <v>0</v>
      </c>
      <c r="AF2" s="0" t="n">
        <v>0</v>
      </c>
      <c r="AG2" s="0" t="n">
        <v>0</v>
      </c>
      <c r="AH2" s="0" t="n">
        <v>0</v>
      </c>
      <c r="AI2" s="0" t="n">
        <v>0</v>
      </c>
      <c r="AJ2" s="0" t="s">
        <v>61</v>
      </c>
    </row>
    <row r="3" customFormat="false" ht="14.9" hidden="false" customHeight="false" outlineLevel="0" collapsed="false">
      <c r="A3" s="0" t="n">
        <v>1</v>
      </c>
      <c r="B3" s="0" t="n">
        <f aca="false">A3*Settings!$B$3</f>
        <v>100</v>
      </c>
      <c r="C3" s="0" t="n">
        <v>90</v>
      </c>
      <c r="D3" s="0" t="n">
        <f aca="false">W3</f>
        <v>0.9</v>
      </c>
      <c r="E3" s="0" t="n">
        <v>30</v>
      </c>
      <c r="F3" s="0" t="n">
        <f aca="false">Y3</f>
        <v>0.3</v>
      </c>
      <c r="G3" s="0" t="n">
        <v>100</v>
      </c>
      <c r="H3" s="0" t="n">
        <f aca="false">G3+SUM($C$3:C3)</f>
        <v>190</v>
      </c>
      <c r="I3" s="0" t="n">
        <f aca="false">100+SUM($E$3:E3)</f>
        <v>130</v>
      </c>
      <c r="J3" s="0" t="n">
        <f aca="false">IF(A3&lt;=Settings!$B$4,IFERROR(xlookup(A3,LevelRange,TargetSkewRange),0),0)</f>
        <v>0</v>
      </c>
      <c r="K3" s="0" t="n">
        <f aca="false">MIN(G3,MAX(0,H3-I3+J3))</f>
        <v>60</v>
      </c>
      <c r="L3" s="0" t="str">
        <f aca="false">IF(A3&lt;=Settings!$B$4,IFERROR(xlookup(A3,LevelRange,ManualCloseRange),""),"")</f>
        <v/>
      </c>
      <c r="M3" s="0" t="n">
        <v>60</v>
      </c>
      <c r="N3" s="0" t="n">
        <v>40</v>
      </c>
      <c r="O3" s="0" t="n">
        <f aca="false">SUM($C$3:C3)</f>
        <v>90</v>
      </c>
      <c r="P3" s="0" t="n">
        <f aca="false">SUM($E$3:E3)</f>
        <v>30</v>
      </c>
      <c r="Q3" s="0" t="n">
        <v>130</v>
      </c>
      <c r="R3" s="0" t="n">
        <v>130</v>
      </c>
      <c r="S3" s="0" t="n">
        <v>0</v>
      </c>
      <c r="T3" s="0" t="s">
        <v>61</v>
      </c>
      <c r="U3" s="0" t="str">
        <f aca="false">IF(LEFT(T3,5)="ERROR","Check input/risk","")</f>
        <v/>
      </c>
      <c r="V3" s="0" t="n">
        <f aca="false">Settings!$B$2*C3/100</f>
        <v>0.9</v>
      </c>
      <c r="W3" s="0" t="n">
        <f aca="false">IF(Settings!$B$9,FLOOR(V3,Settings!$B$5),V3)</f>
        <v>0.9</v>
      </c>
      <c r="X3" s="0" t="n">
        <f aca="false">Settings!$B$2*E3/100</f>
        <v>0.3</v>
      </c>
      <c r="Y3" s="0" t="n">
        <f aca="false">IF(Settings!$B$9,CEILING(X3,Settings!$B$5),X3)</f>
        <v>0.3</v>
      </c>
      <c r="Z3" s="0" t="n">
        <f aca="false">Settings!$B$2*M3/100</f>
        <v>0.6</v>
      </c>
      <c r="AA3" s="0" t="n">
        <f aca="false">IF(Settings!$B$17,MIN(Settings!$B$2*G3/100,IF(Settings!$B$9,CEILING(MAX(0,Settings!$B$2*(H3-I3+J3)/100),Settings!$B$5),MAX(0,Settings!$B$2*(H3-I3+J3)/100))),IF(Settings!$B$9,MROUND(Z3,Settings!$B$5),Z3))</f>
        <v>0.6</v>
      </c>
      <c r="AB3" s="3" t="str">
        <f aca="false">IF(LEFT(T3,5)="ERROR","ERROR",IF(AND(Settings!$B$17,ABS(AA3-Z3)&gt;0.000000001),"FIXED",IF(ABS(S3)&lt;=Settings!$B$7,"SAFE","WARNING")))</f>
        <v>SAFE</v>
      </c>
      <c r="AC3" s="0" t="str">
        <f aca="false">IF(AB3="FIXED","Close adjusted by SAFE mode",IF(AB3="SAFE","BUY/SELL balance preserved",IF(AB3="WARNING","Near protection boundary","Protection broken")))</f>
        <v>BUY/SELL balance preserved</v>
      </c>
      <c r="AD3" s="0" t="n">
        <f aca="false">MAX(0,Settings!$B$2*G3/100-AA3)</f>
        <v>0.4</v>
      </c>
      <c r="AE3" s="0" t="n">
        <f aca="false">SUM($W$3:W3)</f>
        <v>0.9</v>
      </c>
      <c r="AF3" s="0" t="n">
        <f aca="false">SUM($Y$3:Y3)</f>
        <v>0.3</v>
      </c>
      <c r="AG3" s="0" t="n">
        <f aca="false">AD3+AE3</f>
        <v>1.3</v>
      </c>
      <c r="AH3" s="0" t="n">
        <f aca="false">Settings!$B$2+AF3</f>
        <v>1.3</v>
      </c>
      <c r="AI3" s="0" t="n">
        <f aca="false">AH3-AG3</f>
        <v>0</v>
      </c>
      <c r="AJ3" s="0" t="s">
        <v>61</v>
      </c>
    </row>
    <row r="4" customFormat="false" ht="14.9" hidden="false" customHeight="false" outlineLevel="0" collapsed="false">
      <c r="A4" s="0" t="n">
        <v>2</v>
      </c>
      <c r="B4" s="0" t="n">
        <f aca="false">A4*Settings!$B$3</f>
        <v>200</v>
      </c>
      <c r="C4" s="0" t="n">
        <v>30</v>
      </c>
      <c r="D4" s="0" t="n">
        <f aca="false">W4</f>
        <v>0.3</v>
      </c>
      <c r="E4" s="0" t="n">
        <v>15</v>
      </c>
      <c r="F4" s="0" t="n">
        <f aca="false">Y4</f>
        <v>0.15</v>
      </c>
      <c r="G4" s="0" t="n">
        <f aca="false">N3</f>
        <v>40</v>
      </c>
      <c r="H4" s="0" t="n">
        <f aca="false">G4+SUM($C$3:C4)</f>
        <v>160</v>
      </c>
      <c r="I4" s="0" t="n">
        <f aca="false">100+SUM($E$3:E4)</f>
        <v>145</v>
      </c>
      <c r="J4" s="0" t="n">
        <f aca="false">IF(A4&lt;=Settings!$B$4,IFERROR(xlookup(A4,LevelRange,TargetSkewRange),0),0)</f>
        <v>0</v>
      </c>
      <c r="K4" s="0" t="n">
        <f aca="false">MIN(G4,MAX(0,H4-I4+J4))</f>
        <v>15</v>
      </c>
      <c r="L4" s="0" t="str">
        <f aca="false">IF(A4&lt;=Settings!$B$4,IFERROR(xlookup(A4,LevelRange,ManualCloseRange),""),"")</f>
        <v/>
      </c>
      <c r="M4" s="0" t="n">
        <v>30</v>
      </c>
      <c r="N4" s="0" t="n">
        <v>10</v>
      </c>
      <c r="O4" s="0" t="n">
        <f aca="false">SUM($C$3:C4)</f>
        <v>120</v>
      </c>
      <c r="P4" s="0" t="n">
        <f aca="false">SUM($E$3:E4)</f>
        <v>45</v>
      </c>
      <c r="Q4" s="0" t="n">
        <v>130</v>
      </c>
      <c r="R4" s="0" t="n">
        <v>145</v>
      </c>
      <c r="S4" s="0" t="n">
        <v>15</v>
      </c>
      <c r="T4" s="0" t="s">
        <v>61</v>
      </c>
      <c r="U4" s="0" t="str">
        <f aca="false">IF(LEFT(T4,5)="ERROR","Check input/risk","")</f>
        <v/>
      </c>
      <c r="V4" s="0" t="n">
        <f aca="false">Settings!$B$2*C4/100</f>
        <v>0.3</v>
      </c>
      <c r="W4" s="0" t="n">
        <f aca="false">IF(Settings!$B$9,FLOOR(V4,Settings!$B$5),V4)</f>
        <v>0.3</v>
      </c>
      <c r="X4" s="0" t="n">
        <f aca="false">Settings!$B$2*E4/100</f>
        <v>0.15</v>
      </c>
      <c r="Y4" s="0" t="n">
        <f aca="false">IF(Settings!$B$9,CEILING(X4,Settings!$B$5),X4)</f>
        <v>0.15</v>
      </c>
      <c r="Z4" s="0" t="n">
        <f aca="false">Settings!$B$2*M4/100</f>
        <v>0.3</v>
      </c>
      <c r="AA4" s="0" t="n">
        <f aca="false">IF(Settings!$B$17,MIN(Settings!$B$2*G4/100,IF(Settings!$B$9,CEILING(MAX(0,Settings!$B$2*(H4-I4+J4)/100),Settings!$B$5),MAX(0,Settings!$B$2*(H4-I4+J4)/100))),IF(Settings!$B$9,MROUND(Z4,Settings!$B$5),Z4))</f>
        <v>0.15</v>
      </c>
      <c r="AB4" s="3" t="str">
        <f aca="false">IF(LEFT(T4,5)="ERROR","ERROR",IF(AND(Settings!$B$17,ABS(AA4-Z4)&gt;0.000000001),"FIXED",IF(ABS(S4)&lt;=Settings!$B$7,"SAFE","WARNING")))</f>
        <v>FIXED</v>
      </c>
      <c r="AC4" s="0" t="str">
        <f aca="false">IF(AB4="FIXED","Close adjusted by SAFE mode",IF(AB4="SAFE","BUY/SELL balance preserved",IF(AB4="WARNING","Near protection boundary","Protection broken")))</f>
        <v>Close adjusted by SAFE mode</v>
      </c>
      <c r="AD4" s="0" t="n">
        <f aca="false">MAX(0,Settings!$B$2*G4/100-AA4)</f>
        <v>0.25</v>
      </c>
      <c r="AE4" s="0" t="n">
        <f aca="false">SUM($W$3:W4)</f>
        <v>1.2</v>
      </c>
      <c r="AF4" s="0" t="n">
        <f aca="false">SUM($Y$3:Y4)</f>
        <v>0.45</v>
      </c>
      <c r="AG4" s="0" t="n">
        <f aca="false">AD4+AE4</f>
        <v>1.45</v>
      </c>
      <c r="AH4" s="0" t="n">
        <f aca="false">Settings!$B$2+AF4</f>
        <v>1.45</v>
      </c>
      <c r="AI4" s="0" t="n">
        <f aca="false">AH4-AG4</f>
        <v>0</v>
      </c>
      <c r="AJ4" s="0" t="s">
        <v>61</v>
      </c>
    </row>
    <row r="5" customFormat="false" ht="14.9" hidden="false" customHeight="false" outlineLevel="0" collapsed="false">
      <c r="A5" s="0" t="n">
        <v>3</v>
      </c>
      <c r="B5" s="0" t="n">
        <f aca="false">A5*Settings!$B$3</f>
        <v>300</v>
      </c>
      <c r="C5" s="0" t="n">
        <v>20</v>
      </c>
      <c r="D5" s="0" t="n">
        <f aca="false">W5</f>
        <v>0.2</v>
      </c>
      <c r="E5" s="0" t="n">
        <v>15</v>
      </c>
      <c r="F5" s="0" t="n">
        <f aca="false">Y5</f>
        <v>0.15</v>
      </c>
      <c r="G5" s="0" t="n">
        <f aca="false">N4</f>
        <v>10</v>
      </c>
      <c r="H5" s="0" t="n">
        <f aca="false">G5+SUM($C$3:C5)</f>
        <v>150</v>
      </c>
      <c r="I5" s="0" t="n">
        <f aca="false">100+SUM($E$3:E5)</f>
        <v>160</v>
      </c>
      <c r="J5" s="0" t="n">
        <f aca="false">IF(A5&lt;=Settings!$B$4,IFERROR(xlookup(A5,LevelRange,TargetSkewRange),0),0)</f>
        <v>0</v>
      </c>
      <c r="K5" s="0" t="n">
        <f aca="false">MIN(G5,MAX(0,H5-I5+J5))</f>
        <v>0</v>
      </c>
      <c r="L5" s="0" t="str">
        <f aca="false">IF(A5&lt;=Settings!$B$4,IFERROR(xlookup(A5,LevelRange,ManualCloseRange),""),"")</f>
        <v/>
      </c>
      <c r="M5" s="0" t="n">
        <v>0</v>
      </c>
      <c r="N5" s="0" t="n">
        <v>10</v>
      </c>
      <c r="O5" s="0" t="n">
        <f aca="false">SUM($C$3:C5)</f>
        <v>140</v>
      </c>
      <c r="P5" s="0" t="n">
        <f aca="false">SUM($E$3:E5)</f>
        <v>60</v>
      </c>
      <c r="Q5" s="0" t="n">
        <v>150</v>
      </c>
      <c r="R5" s="0" t="n">
        <v>160</v>
      </c>
      <c r="S5" s="0" t="n">
        <v>10</v>
      </c>
      <c r="T5" s="0" t="s">
        <v>61</v>
      </c>
      <c r="U5" s="0" t="str">
        <f aca="false">IF(LEFT(T5,5)="ERROR","Check input/risk","")</f>
        <v/>
      </c>
      <c r="V5" s="0" t="n">
        <f aca="false">Settings!$B$2*C5/100</f>
        <v>0.2</v>
      </c>
      <c r="W5" s="0" t="n">
        <f aca="false">IF(Settings!$B$9,FLOOR(V5,Settings!$B$5),V5)</f>
        <v>0.2</v>
      </c>
      <c r="X5" s="0" t="n">
        <f aca="false">Settings!$B$2*E5/100</f>
        <v>0.15</v>
      </c>
      <c r="Y5" s="0" t="n">
        <f aca="false">IF(Settings!$B$9,CEILING(X5,Settings!$B$5),X5)</f>
        <v>0.15</v>
      </c>
      <c r="Z5" s="0" t="n">
        <f aca="false">Settings!$B$2*M5/100</f>
        <v>0</v>
      </c>
      <c r="AA5" s="0" t="n">
        <f aca="false">IF(Settings!$B$17,MIN(Settings!$B$2*G5/100,IF(Settings!$B$9,CEILING(MAX(0,Settings!$B$2*(H5-I5+J5)/100),Settings!$B$5),MAX(0,Settings!$B$2*(H5-I5+J5)/100))),IF(Settings!$B$9,MROUND(Z5,Settings!$B$5),Z5))</f>
        <v>0</v>
      </c>
      <c r="AB5" s="3" t="str">
        <f aca="false">IF(LEFT(T5,5)="ERROR","ERROR",IF(AND(Settings!$B$17,ABS(AA5-Z5)&gt;0.000000001),"FIXED",IF(ABS(S5)&lt;=Settings!$B$7,"SAFE","WARNING")))</f>
        <v>WARNING</v>
      </c>
      <c r="AC5" s="0" t="str">
        <f aca="false">IF(AB5="FIXED","Close adjusted by SAFE mode",IF(AB5="SAFE","BUY/SELL balance preserved",IF(AB5="WARNING","Near protection boundary","Protection broken")))</f>
        <v>Near protection boundary</v>
      </c>
      <c r="AD5" s="0" t="n">
        <f aca="false">MAX(0,Settings!$B$2*G5/100-AA5)</f>
        <v>0.1</v>
      </c>
      <c r="AE5" s="0" t="n">
        <f aca="false">SUM($W$3:W5)</f>
        <v>1.4</v>
      </c>
      <c r="AF5" s="0" t="n">
        <f aca="false">SUM($Y$3:Y5)</f>
        <v>0.6</v>
      </c>
      <c r="AG5" s="0" t="n">
        <f aca="false">AD5+AE5</f>
        <v>1.5</v>
      </c>
      <c r="AH5" s="0" t="n">
        <f aca="false">Settings!$B$2+AF5</f>
        <v>1.6</v>
      </c>
      <c r="AI5" s="0" t="n">
        <f aca="false">AH5-AG5</f>
        <v>0.1</v>
      </c>
      <c r="AJ5" s="0" t="s">
        <v>61</v>
      </c>
    </row>
    <row r="6" customFormat="false" ht="14.9" hidden="false" customHeight="false" outlineLevel="0" collapsed="false">
      <c r="A6" s="0" t="n">
        <v>4</v>
      </c>
      <c r="B6" s="0" t="n">
        <f aca="false">A6*Settings!$B$3</f>
        <v>400</v>
      </c>
      <c r="C6" s="0" t="n">
        <v>10</v>
      </c>
      <c r="D6" s="0" t="n">
        <f aca="false">W6</f>
        <v>0.1</v>
      </c>
      <c r="E6" s="0" t="n">
        <v>10</v>
      </c>
      <c r="F6" s="0" t="n">
        <f aca="false">Y6</f>
        <v>0.1</v>
      </c>
      <c r="G6" s="0" t="n">
        <f aca="false">N5</f>
        <v>10</v>
      </c>
      <c r="H6" s="0" t="n">
        <f aca="false">G6+SUM($C$3:C6)</f>
        <v>160</v>
      </c>
      <c r="I6" s="0" t="n">
        <f aca="false">100+SUM($E$3:E6)</f>
        <v>170</v>
      </c>
      <c r="J6" s="0" t="n">
        <f aca="false">IF(A6&lt;=Settings!$B$4,IFERROR(xlookup(A6,LevelRange,TargetSkewRange),0),0)</f>
        <v>0</v>
      </c>
      <c r="K6" s="0" t="n">
        <f aca="false">MIN(G6,MAX(0,H6-I6+J6))</f>
        <v>0</v>
      </c>
      <c r="L6" s="0" t="str">
        <f aca="false">IF(A6&lt;=Settings!$B$4,IFERROR(xlookup(A6,LevelRange,ManualCloseRange),""),"")</f>
        <v/>
      </c>
      <c r="M6" s="0" t="n">
        <v>0</v>
      </c>
      <c r="N6" s="0" t="n">
        <v>10</v>
      </c>
      <c r="O6" s="0" t="n">
        <f aca="false">SUM($C$3:C6)</f>
        <v>150</v>
      </c>
      <c r="P6" s="0" t="n">
        <f aca="false">SUM($E$3:E6)</f>
        <v>70</v>
      </c>
      <c r="Q6" s="0" t="n">
        <v>160</v>
      </c>
      <c r="R6" s="0" t="n">
        <v>170</v>
      </c>
      <c r="S6" s="0" t="n">
        <v>10</v>
      </c>
      <c r="T6" s="0" t="s">
        <v>61</v>
      </c>
      <c r="U6" s="0" t="str">
        <f aca="false">IF(LEFT(T6,5)="ERROR","Check input/risk","")</f>
        <v/>
      </c>
      <c r="V6" s="0" t="n">
        <f aca="false">Settings!$B$2*C6/100</f>
        <v>0.1</v>
      </c>
      <c r="W6" s="0" t="n">
        <f aca="false">IF(Settings!$B$9,FLOOR(V6,Settings!$B$5),V6)</f>
        <v>0.1</v>
      </c>
      <c r="X6" s="0" t="n">
        <f aca="false">Settings!$B$2*E6/100</f>
        <v>0.1</v>
      </c>
      <c r="Y6" s="0" t="n">
        <f aca="false">IF(Settings!$B$9,CEILING(X6,Settings!$B$5),X6)</f>
        <v>0.1</v>
      </c>
      <c r="Z6" s="0" t="n">
        <f aca="false">Settings!$B$2*M6/100</f>
        <v>0</v>
      </c>
      <c r="AA6" s="0" t="n">
        <f aca="false">IF(Settings!$B$17,MIN(Settings!$B$2*G6/100,IF(Settings!$B$9,CEILING(MAX(0,Settings!$B$2*(H6-I6+J6)/100),Settings!$B$5),MAX(0,Settings!$B$2*(H6-I6+J6)/100))),IF(Settings!$B$9,MROUND(Z6,Settings!$B$5),Z6))</f>
        <v>0</v>
      </c>
      <c r="AB6" s="3" t="str">
        <f aca="false">IF(LEFT(T6,5)="ERROR","ERROR",IF(AND(Settings!$B$17,ABS(AA6-Z6)&gt;0.000000001),"FIXED",IF(ABS(S6)&lt;=Settings!$B$7,"SAFE","WARNING")))</f>
        <v>WARNING</v>
      </c>
      <c r="AC6" s="0" t="str">
        <f aca="false">IF(AB6="FIXED","Close adjusted by SAFE mode",IF(AB6="SAFE","BUY/SELL balance preserved",IF(AB6="WARNING","Near protection boundary","Protection broken")))</f>
        <v>Near protection boundary</v>
      </c>
      <c r="AD6" s="0" t="n">
        <f aca="false">MAX(0,Settings!$B$2*G6/100-AA6)</f>
        <v>0.1</v>
      </c>
      <c r="AE6" s="0" t="n">
        <f aca="false">SUM($W$3:W6)</f>
        <v>1.5</v>
      </c>
      <c r="AF6" s="0" t="n">
        <f aca="false">SUM($Y$3:Y6)</f>
        <v>0.7</v>
      </c>
      <c r="AG6" s="0" t="n">
        <f aca="false">AD6+AE6</f>
        <v>1.6</v>
      </c>
      <c r="AH6" s="0" t="n">
        <f aca="false">Settings!$B$2+AF6</f>
        <v>1.7</v>
      </c>
      <c r="AI6" s="0" t="n">
        <f aca="false">AH6-AG6</f>
        <v>0.0999999999999999</v>
      </c>
      <c r="AJ6" s="0" t="s">
        <v>61</v>
      </c>
    </row>
    <row r="7" customFormat="false" ht="14.9" hidden="false" customHeight="false" outlineLevel="0" collapsed="false">
      <c r="A7" s="0" t="n">
        <v>5</v>
      </c>
      <c r="B7" s="0" t="n">
        <f aca="false">A7*Settings!$B$3</f>
        <v>500</v>
      </c>
      <c r="C7" s="0" t="n">
        <v>5</v>
      </c>
      <c r="D7" s="0" t="n">
        <f aca="false">W7</f>
        <v>0.05</v>
      </c>
      <c r="E7" s="0" t="n">
        <v>5</v>
      </c>
      <c r="F7" s="0" t="n">
        <f aca="false">Y7</f>
        <v>0.05</v>
      </c>
      <c r="G7" s="0" t="n">
        <f aca="false">N6</f>
        <v>10</v>
      </c>
      <c r="H7" s="0" t="n">
        <f aca="false">G7+SUM($C$3:C7)</f>
        <v>165</v>
      </c>
      <c r="I7" s="0" t="n">
        <f aca="false">100+SUM($E$3:E7)</f>
        <v>175</v>
      </c>
      <c r="J7" s="0" t="n">
        <f aca="false">IF(A7&lt;=Settings!$B$4,IFERROR(xlookup(A7,LevelRange,TargetSkewRange),0),0)</f>
        <v>0</v>
      </c>
      <c r="K7" s="0" t="n">
        <f aca="false">MIN(G7,MAX(0,H7-I7+J7))</f>
        <v>0</v>
      </c>
      <c r="L7" s="0" t="str">
        <f aca="false">IF(A7&lt;=Settings!$B$4,IFERROR(xlookup(A7,LevelRange,ManualCloseRange),""),"")</f>
        <v/>
      </c>
      <c r="M7" s="0" t="n">
        <v>0</v>
      </c>
      <c r="N7" s="0" t="n">
        <v>10</v>
      </c>
      <c r="O7" s="0" t="n">
        <f aca="false">SUM($C$3:C7)</f>
        <v>155</v>
      </c>
      <c r="P7" s="0" t="n">
        <f aca="false">SUM($E$3:E7)</f>
        <v>75</v>
      </c>
      <c r="Q7" s="0" t="n">
        <v>165</v>
      </c>
      <c r="R7" s="0" t="n">
        <v>175</v>
      </c>
      <c r="S7" s="0" t="n">
        <v>10</v>
      </c>
      <c r="T7" s="0" t="s">
        <v>61</v>
      </c>
      <c r="U7" s="0" t="str">
        <f aca="false">IF(LEFT(T7,5)="ERROR","Check input/risk","")</f>
        <v/>
      </c>
      <c r="V7" s="0" t="n">
        <f aca="false">Settings!$B$2*C7/100</f>
        <v>0.05</v>
      </c>
      <c r="W7" s="0" t="n">
        <f aca="false">IF(Settings!$B$9,FLOOR(V7,Settings!$B$5),V7)</f>
        <v>0.05</v>
      </c>
      <c r="X7" s="0" t="n">
        <f aca="false">Settings!$B$2*E7/100</f>
        <v>0.05</v>
      </c>
      <c r="Y7" s="0" t="n">
        <f aca="false">IF(Settings!$B$9,CEILING(X7,Settings!$B$5),X7)</f>
        <v>0.05</v>
      </c>
      <c r="Z7" s="0" t="n">
        <f aca="false">Settings!$B$2*M7/100</f>
        <v>0</v>
      </c>
      <c r="AA7" s="0" t="n">
        <f aca="false">IF(Settings!$B$17,MIN(Settings!$B$2*G7/100,IF(Settings!$B$9,CEILING(MAX(0,Settings!$B$2*(H7-I7+J7)/100),Settings!$B$5),MAX(0,Settings!$B$2*(H7-I7+J7)/100))),IF(Settings!$B$9,MROUND(Z7,Settings!$B$5),Z7))</f>
        <v>0</v>
      </c>
      <c r="AB7" s="3" t="str">
        <f aca="false">IF(LEFT(T7,5)="ERROR","ERROR",IF(AND(Settings!$B$17,ABS(AA7-Z7)&gt;0.000000001),"FIXED",IF(ABS(S7)&lt;=Settings!$B$7,"SAFE","WARNING")))</f>
        <v>WARNING</v>
      </c>
      <c r="AC7" s="0" t="str">
        <f aca="false">IF(AB7="FIXED","Close adjusted by SAFE mode",IF(AB7="SAFE","BUY/SELL balance preserved",IF(AB7="WARNING","Near protection boundary","Protection broken")))</f>
        <v>Near protection boundary</v>
      </c>
      <c r="AD7" s="0" t="n">
        <f aca="false">MAX(0,Settings!$B$2*G7/100-AA7)</f>
        <v>0.1</v>
      </c>
      <c r="AE7" s="0" t="n">
        <f aca="false">SUM($W$3:W7)</f>
        <v>1.55</v>
      </c>
      <c r="AF7" s="0" t="n">
        <f aca="false">SUM($Y$3:Y7)</f>
        <v>0.75</v>
      </c>
      <c r="AG7" s="0" t="n">
        <f aca="false">AD7+AE7</f>
        <v>1.65</v>
      </c>
      <c r="AH7" s="0" t="n">
        <f aca="false">Settings!$B$2+AF7</f>
        <v>1.75</v>
      </c>
      <c r="AI7" s="0" t="n">
        <f aca="false">AH7-AG7</f>
        <v>0.0999999999999999</v>
      </c>
      <c r="AJ7" s="0" t="s">
        <v>61</v>
      </c>
    </row>
    <row r="8" customFormat="false" ht="14.9" hidden="false" customHeight="false" outlineLevel="0" collapsed="false">
      <c r="A8" s="0" t="n">
        <v>6</v>
      </c>
      <c r="B8" s="0" t="n">
        <f aca="false">A8*Settings!$B$3</f>
        <v>600</v>
      </c>
      <c r="C8" s="0" t="n">
        <f aca="false">IF(A8&lt;=Settings!$B$4,IFERROR(xlookup(A8,LevelRange,BigPercentRange),0),0)</f>
        <v>0</v>
      </c>
      <c r="D8" s="0" t="n">
        <f aca="false">W8</f>
        <v>0</v>
      </c>
      <c r="E8" s="0" t="n">
        <f aca="false">IF(A8&lt;=Settings!$B$4,IFERROR(xlookup(A8,LevelRange,SmallPercentRange),0),0)</f>
        <v>0</v>
      </c>
      <c r="F8" s="0" t="n">
        <f aca="false">Y8</f>
        <v>0</v>
      </c>
      <c r="G8" s="0" t="n">
        <f aca="false">N7</f>
        <v>10</v>
      </c>
      <c r="H8" s="0" t="n">
        <f aca="false">G8+SUM($C$3:C8)</f>
        <v>165</v>
      </c>
      <c r="I8" s="0" t="n">
        <f aca="false">100+SUM($E$3:E8)</f>
        <v>175</v>
      </c>
      <c r="J8" s="0" t="n">
        <f aca="false">IF(A8&lt;=Settings!$B$4,IFERROR(xlookup(A8,LevelRange,TargetSkewRange),0),0)</f>
        <v>0</v>
      </c>
      <c r="K8" s="0" t="n">
        <f aca="false">MIN(G8,MAX(0,H8-I8+J8))</f>
        <v>0</v>
      </c>
      <c r="L8" s="0" t="str">
        <f aca="false">IF(A8&lt;=Settings!$B$4,IFERROR(xlookup(A8,LevelRange,ManualCloseRange),""),"")</f>
        <v/>
      </c>
      <c r="M8" s="0" t="n">
        <f aca="false">MIN(G8,AA8/Settings!$B$2*100)</f>
        <v>0</v>
      </c>
      <c r="N8" s="0" t="n">
        <f aca="false">G8-M8</f>
        <v>10</v>
      </c>
      <c r="O8" s="0" t="n">
        <f aca="false">SUM($C$3:C8)</f>
        <v>155</v>
      </c>
      <c r="P8" s="0" t="n">
        <f aca="false">SUM($E$3:E8)</f>
        <v>75</v>
      </c>
      <c r="Q8" s="0" t="n">
        <f aca="false">N8+O8</f>
        <v>165</v>
      </c>
      <c r="R8" s="0" t="n">
        <f aca="false">100+P8</f>
        <v>175</v>
      </c>
      <c r="S8" s="0" t="n">
        <f aca="false">R8-Q8</f>
        <v>10</v>
      </c>
      <c r="T8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Direction",IF(OR(C8&lt;0,E8&lt;0,J8&lt;0,AND(LEN(L8)&gt;0,L8&lt;0)),"ERROR: Negative input",IF(C8&lt;E8,"ERROR: Big BUY must be &gt;= Small SELL",IF(AND(LEN(L8)&gt;0,L8&gt;G8),"ERROR: ManualClose exceeds remaining Start position",IF(OR(N8&lt;0,Q8&lt;0,R8&lt;0),"ERROR: Negative totals",IF(Q8&gt;R8,"ERROR: Rounding broke protection balance",IF(S8&gt;Settings!$B$8,"WARNING: Skew exceeds recommended limit","OK")))))))))))</f>
        <v>OK</v>
      </c>
      <c r="U8" s="0" t="str">
        <f aca="false">IF(LEFT(T8,5)="ERROR","Check input/risk","")</f>
        <v/>
      </c>
      <c r="V8" s="0" t="n">
        <f aca="false">Settings!$B$2*C8/100</f>
        <v>0</v>
      </c>
      <c r="W8" s="0" t="n">
        <f aca="false">IF(Settings!$B$9,FLOOR(V8,Settings!$B$5),V8)</f>
        <v>0</v>
      </c>
      <c r="X8" s="0" t="n">
        <f aca="false">Settings!$B$2*E8/100</f>
        <v>0</v>
      </c>
      <c r="Y8" s="0" t="n">
        <f aca="false">IF(Settings!$B$9,CEILING(X8,Settings!$B$5),X8)</f>
        <v>0</v>
      </c>
      <c r="Z8" s="0" t="n">
        <f aca="false">Settings!$B$2*M8/100</f>
        <v>0</v>
      </c>
      <c r="AA8" s="0" t="n">
        <f aca="false">IF(Settings!$B$17,MIN(Settings!$B$2*G8/100,IF(Settings!$B$9,CEILING(MAX(0,Settings!$B$2*(H8-I8+J8)/100),Settings!$B$5),MAX(0,Settings!$B$2*(H8-I8+J8)/100))),IF(Settings!$B$9,MROUND(Z8,Settings!$B$5),Z8))</f>
        <v>0</v>
      </c>
      <c r="AB8" s="3" t="str">
        <f aca="false">IF(LEFT(T8,5)="ERROR","ERROR",IF(AND(Settings!$B$17,ABS(AA8-Z8)&gt;0.000000001),"FIXED",IF(ABS(S8)&lt;=Settings!$B$7,"SAFE","WARNING")))</f>
        <v>WARNING</v>
      </c>
      <c r="AC8" s="0" t="str">
        <f aca="false">IF(AB8="FIXED","Close adjusted by SAFE mode",IF(AB8="SAFE","BUY/SELL balance preserved",IF(AB8="WARNING","Near protection boundary","Protection broken")))</f>
        <v>Near protection boundary</v>
      </c>
      <c r="AD8" s="0" t="n">
        <f aca="false">MAX(0,Settings!$B$2*G8/100-AA8)</f>
        <v>0.1</v>
      </c>
      <c r="AE8" s="0" t="n">
        <f aca="false">SUM($W$3:W8)</f>
        <v>1.55</v>
      </c>
      <c r="AF8" s="0" t="n">
        <f aca="false">SUM($Y$3:Y8)</f>
        <v>0.75</v>
      </c>
      <c r="AG8" s="0" t="n">
        <f aca="false">AD8+AE8</f>
        <v>1.65</v>
      </c>
      <c r="AH8" s="0" t="n">
        <f aca="false">Settings!$B$2+AF8</f>
        <v>1.75</v>
      </c>
      <c r="AI8" s="0" t="n">
        <f aca="false">AH8-AG8</f>
        <v>0.0999999999999999</v>
      </c>
      <c r="AJ8" s="0" t="str">
        <f aca="false">IF(OR(AND(C8&gt;0,W8=0),AND(E8&gt;0,Y8=0),Settings!$B$2&lt;Settings!$B$5),"ERROR: LotStep too coarse",IF(AG8&gt;AH8,"ERROR: Rounded balance broken",IF(AND(J8&gt;0,AI8&lt;Settings!$B$2*J8/100),"WARNING","OK")))</f>
        <v>OK</v>
      </c>
    </row>
    <row r="9" customFormat="false" ht="14.9" hidden="false" customHeight="false" outlineLevel="0" collapsed="false">
      <c r="A9" s="0" t="n">
        <v>7</v>
      </c>
      <c r="B9" s="0" t="n">
        <f aca="false">A9*Settings!$B$3</f>
        <v>700</v>
      </c>
      <c r="C9" s="0" t="n">
        <f aca="false">IF(A9&lt;=Settings!$B$4,IFERROR(xlookup(A9,LevelRange,BigPercentRange),0),0)</f>
        <v>0</v>
      </c>
      <c r="D9" s="0" t="n">
        <f aca="false">W9</f>
        <v>0</v>
      </c>
      <c r="E9" s="0" t="n">
        <f aca="false">IF(A9&lt;=Settings!$B$4,IFERROR(xlookup(A9,LevelRange,SmallPercentRange),0),0)</f>
        <v>0</v>
      </c>
      <c r="F9" s="0" t="n">
        <f aca="false">Y9</f>
        <v>0</v>
      </c>
      <c r="G9" s="0" t="n">
        <f aca="false">N8</f>
        <v>10</v>
      </c>
      <c r="H9" s="0" t="n">
        <f aca="false">G9+SUM($C$3:C9)</f>
        <v>165</v>
      </c>
      <c r="I9" s="0" t="n">
        <f aca="false">100+SUM($E$3:E9)</f>
        <v>175</v>
      </c>
      <c r="J9" s="0" t="n">
        <f aca="false">IF(A9&lt;=Settings!$B$4,IFERROR(xlookup(A9,LevelRange,TargetSkewRange),0),0)</f>
        <v>0</v>
      </c>
      <c r="K9" s="0" t="n">
        <f aca="false">MIN(G9,MAX(0,H9-I9+J9))</f>
        <v>0</v>
      </c>
      <c r="L9" s="0" t="str">
        <f aca="false">IF(A9&lt;=Settings!$B$4,IFERROR(xlookup(A9,LevelRange,ManualCloseRange),""),"")</f>
        <v/>
      </c>
      <c r="M9" s="0" t="n">
        <f aca="false">MIN(G9,AA9/Settings!$B$2*100)</f>
        <v>0</v>
      </c>
      <c r="N9" s="0" t="n">
        <f aca="false">G9-M9</f>
        <v>10</v>
      </c>
      <c r="O9" s="0" t="n">
        <f aca="false">SUM($C$3:C9)</f>
        <v>155</v>
      </c>
      <c r="P9" s="0" t="n">
        <f aca="false">SUM($E$3:E9)</f>
        <v>75</v>
      </c>
      <c r="Q9" s="0" t="n">
        <f aca="false">N9+O9</f>
        <v>165</v>
      </c>
      <c r="R9" s="0" t="n">
        <f aca="false">100+P9</f>
        <v>175</v>
      </c>
      <c r="S9" s="0" t="n">
        <f aca="false">R9-Q9</f>
        <v>10</v>
      </c>
      <c r="T9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Direction",IF(OR(C9&lt;0,E9&lt;0,J9&lt;0,AND(LEN(L9)&gt;0,L9&lt;0)),"ERROR: Negative input",IF(C9&lt;E9,"ERROR: Big BUY must be &gt;= Small SELL",IF(AND(LEN(L9)&gt;0,L9&gt;G9),"ERROR: ManualClose exceeds remaining Start position",IF(OR(N9&lt;0,Q9&lt;0,R9&lt;0),"ERROR: Negative totals",IF(Q9&gt;R9,"ERROR: Rounding broke protection balance",IF(S9&gt;Settings!$B$8,"WARNING: Skew exceeds recommended limit","OK")))))))))))</f>
        <v>OK</v>
      </c>
      <c r="U9" s="0" t="str">
        <f aca="false">IF(LEFT(T9,5)="ERROR","Check input/risk","")</f>
        <v/>
      </c>
      <c r="V9" s="0" t="n">
        <f aca="false">Settings!$B$2*C9/100</f>
        <v>0</v>
      </c>
      <c r="W9" s="0" t="n">
        <f aca="false">IF(Settings!$B$9,FLOOR(V9,Settings!$B$5),V9)</f>
        <v>0</v>
      </c>
      <c r="X9" s="0" t="n">
        <f aca="false">Settings!$B$2*E9/100</f>
        <v>0</v>
      </c>
      <c r="Y9" s="0" t="n">
        <f aca="false">IF(Settings!$B$9,CEILING(X9,Settings!$B$5),X9)</f>
        <v>0</v>
      </c>
      <c r="Z9" s="0" t="n">
        <f aca="false">Settings!$B$2*M9/100</f>
        <v>0</v>
      </c>
      <c r="AA9" s="0" t="n">
        <f aca="false">IF(Settings!$B$17,MIN(Settings!$B$2*G9/100,IF(Settings!$B$9,CEILING(MAX(0,Settings!$B$2*(H9-I9+J9)/100),Settings!$B$5),MAX(0,Settings!$B$2*(H9-I9+J9)/100))),IF(Settings!$B$9,MROUND(Z9,Settings!$B$5),Z9))</f>
        <v>0</v>
      </c>
      <c r="AB9" s="3" t="str">
        <f aca="false">IF(LEFT(T9,5)="ERROR","ERROR",IF(AND(Settings!$B$17,ABS(AA9-Z9)&gt;0.000000001),"FIXED",IF(ABS(S9)&lt;=Settings!$B$7,"SAFE","WARNING")))</f>
        <v>WARNING</v>
      </c>
      <c r="AC9" s="0" t="str">
        <f aca="false">IF(AB9="FIXED","Close adjusted by SAFE mode",IF(AB9="SAFE","BUY/SELL balance preserved",IF(AB9="WARNING","Near protection boundary","Protection broken")))</f>
        <v>Near protection boundary</v>
      </c>
      <c r="AD9" s="0" t="n">
        <f aca="false">MAX(0,Settings!$B$2*G9/100-AA9)</f>
        <v>0.1</v>
      </c>
      <c r="AE9" s="0" t="n">
        <f aca="false">SUM($W$3:W9)</f>
        <v>1.55</v>
      </c>
      <c r="AF9" s="0" t="n">
        <f aca="false">SUM($Y$3:Y9)</f>
        <v>0.75</v>
      </c>
      <c r="AG9" s="0" t="n">
        <f aca="false">AD9+AE9</f>
        <v>1.65</v>
      </c>
      <c r="AH9" s="0" t="n">
        <f aca="false">Settings!$B$2+AF9</f>
        <v>1.75</v>
      </c>
      <c r="AI9" s="0" t="n">
        <f aca="false">AH9-AG9</f>
        <v>0.0999999999999999</v>
      </c>
      <c r="AJ9" s="0" t="str">
        <f aca="false">IF(OR(AND(C9&gt;0,W9=0),AND(E9&gt;0,Y9=0),Settings!$B$2&lt;Settings!$B$5),"ERROR: LotStep too coarse",IF(AG9&gt;AH9,"ERROR: Rounded balance broken",IF(AND(J9&gt;0,AI9&lt;Settings!$B$2*J9/100),"WARNING","OK")))</f>
        <v>OK</v>
      </c>
    </row>
    <row r="10" customFormat="false" ht="14.9" hidden="false" customHeight="false" outlineLevel="0" collapsed="false">
      <c r="A10" s="0" t="n">
        <v>8</v>
      </c>
      <c r="B10" s="0" t="n">
        <f aca="false">A10*Settings!$B$3</f>
        <v>800</v>
      </c>
      <c r="C10" s="0" t="n">
        <f aca="false">IF(A10&lt;=Settings!$B$4,IFERROR(xlookup(A10,LevelRange,BigPercentRange),0),0)</f>
        <v>0</v>
      </c>
      <c r="D10" s="0" t="n">
        <f aca="false">W10</f>
        <v>0</v>
      </c>
      <c r="E10" s="0" t="n">
        <f aca="false">IF(A10&lt;=Settings!$B$4,IFERROR(xlookup(A10,LevelRange,SmallPercentRange),0),0)</f>
        <v>0</v>
      </c>
      <c r="F10" s="0" t="n">
        <f aca="false">Y10</f>
        <v>0</v>
      </c>
      <c r="G10" s="0" t="n">
        <f aca="false">N9</f>
        <v>10</v>
      </c>
      <c r="H10" s="0" t="n">
        <f aca="false">G10+SUM($C$3:C10)</f>
        <v>165</v>
      </c>
      <c r="I10" s="0" t="n">
        <f aca="false">100+SUM($E$3:E10)</f>
        <v>175</v>
      </c>
      <c r="J10" s="0" t="n">
        <f aca="false">IF(A10&lt;=Settings!$B$4,IFERROR(xlookup(A10,LevelRange,TargetSkewRange),0),0)</f>
        <v>0</v>
      </c>
      <c r="K10" s="0" t="n">
        <f aca="false">MIN(G10,MAX(0,H10-I10+J10))</f>
        <v>0</v>
      </c>
      <c r="L10" s="0" t="str">
        <f aca="false">IF(A10&lt;=Settings!$B$4,IFERROR(xlookup(A10,LevelRange,ManualCloseRange),""),"")</f>
        <v/>
      </c>
      <c r="M10" s="0" t="n">
        <f aca="false">MIN(G10,AA10/Settings!$B$2*100)</f>
        <v>0</v>
      </c>
      <c r="N10" s="0" t="n">
        <f aca="false">G10-M10</f>
        <v>10</v>
      </c>
      <c r="O10" s="0" t="n">
        <f aca="false">SUM($C$3:C10)</f>
        <v>155</v>
      </c>
      <c r="P10" s="0" t="n">
        <f aca="false">SUM($E$3:E10)</f>
        <v>75</v>
      </c>
      <c r="Q10" s="0" t="n">
        <f aca="false">N10+O10</f>
        <v>165</v>
      </c>
      <c r="R10" s="0" t="n">
        <f aca="false">100+P10</f>
        <v>175</v>
      </c>
      <c r="S10" s="0" t="n">
        <f aca="false">R10-Q10</f>
        <v>10</v>
      </c>
      <c r="T10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Direction",IF(OR(C10&lt;0,E10&lt;0,J10&lt;0,AND(LEN(L10)&gt;0,L10&lt;0)),"ERROR: Negative input",IF(C10&lt;E10,"ERROR: Big BUY must be &gt;= Small SELL",IF(AND(LEN(L10)&gt;0,L10&gt;G10),"ERROR: ManualClose exceeds remaining Start position",IF(OR(N10&lt;0,Q10&lt;0,R10&lt;0),"ERROR: Negative totals",IF(Q10&gt;R10,"ERROR: Rounding broke protection balance",IF(S10&gt;Settings!$B$8,"WARNING: Skew exceeds recommended limit","OK")))))))))))</f>
        <v>OK</v>
      </c>
      <c r="U10" s="0" t="str">
        <f aca="false">IF(LEFT(T10,5)="ERROR","Check input/risk","")</f>
        <v/>
      </c>
      <c r="V10" s="0" t="n">
        <f aca="false">Settings!$B$2*C10/100</f>
        <v>0</v>
      </c>
      <c r="W10" s="0" t="n">
        <f aca="false">IF(Settings!$B$9,FLOOR(V10,Settings!$B$5),V10)</f>
        <v>0</v>
      </c>
      <c r="X10" s="0" t="n">
        <f aca="false">Settings!$B$2*E10/100</f>
        <v>0</v>
      </c>
      <c r="Y10" s="0" t="n">
        <f aca="false">IF(Settings!$B$9,CEILING(X10,Settings!$B$5),X10)</f>
        <v>0</v>
      </c>
      <c r="Z10" s="0" t="n">
        <f aca="false">Settings!$B$2*M10/100</f>
        <v>0</v>
      </c>
      <c r="AA10" s="0" t="n">
        <f aca="false">IF(Settings!$B$17,MIN(Settings!$B$2*G10/100,IF(Settings!$B$9,CEILING(MAX(0,Settings!$B$2*(H10-I10+J10)/100),Settings!$B$5),MAX(0,Settings!$B$2*(H10-I10+J10)/100))),IF(Settings!$B$9,MROUND(Z10,Settings!$B$5),Z10))</f>
        <v>0</v>
      </c>
      <c r="AB10" s="3" t="str">
        <f aca="false">IF(LEFT(T10,5)="ERROR","ERROR",IF(AND(Settings!$B$17,ABS(AA10-Z10)&gt;0.000000001),"FIXED",IF(ABS(S10)&lt;=Settings!$B$7,"SAFE","WARNING")))</f>
        <v>WARNING</v>
      </c>
      <c r="AC10" s="0" t="str">
        <f aca="false">IF(AB10="FIXED","Close adjusted by SAFE mode",IF(AB10="SAFE","BUY/SELL balance preserved",IF(AB10="WARNING","Near protection boundary","Protection broken")))</f>
        <v>Near protection boundary</v>
      </c>
      <c r="AD10" s="0" t="n">
        <f aca="false">MAX(0,Settings!$B$2*G10/100-AA10)</f>
        <v>0.1</v>
      </c>
      <c r="AE10" s="0" t="n">
        <f aca="false">SUM($W$3:W10)</f>
        <v>1.55</v>
      </c>
      <c r="AF10" s="0" t="n">
        <f aca="false">SUM($Y$3:Y10)</f>
        <v>0.75</v>
      </c>
      <c r="AG10" s="0" t="n">
        <f aca="false">AD10+AE10</f>
        <v>1.65</v>
      </c>
      <c r="AH10" s="0" t="n">
        <f aca="false">Settings!$B$2+AF10</f>
        <v>1.75</v>
      </c>
      <c r="AI10" s="0" t="n">
        <f aca="false">AH10-AG10</f>
        <v>0.0999999999999999</v>
      </c>
      <c r="AJ10" s="0" t="str">
        <f aca="false">IF(OR(AND(C10&gt;0,W10=0),AND(E10&gt;0,Y10=0),Settings!$B$2&lt;Settings!$B$5),"ERROR: LotStep too coarse",IF(AG10&gt;AH10,"ERROR: Rounded balance broken",IF(AND(J10&gt;0,AI10&lt;Settings!$B$2*J10/100),"WARNING","OK")))</f>
        <v>OK</v>
      </c>
    </row>
    <row r="11" customFormat="false" ht="14.9" hidden="false" customHeight="false" outlineLevel="0" collapsed="false">
      <c r="A11" s="0" t="n">
        <v>9</v>
      </c>
      <c r="B11" s="0" t="n">
        <f aca="false">A11*Settings!$B$3</f>
        <v>900</v>
      </c>
      <c r="C11" s="0" t="n">
        <f aca="false">IF(A11&lt;=Settings!$B$4,IFERROR(xlookup(A11,LevelRange,BigPercentRange),0),0)</f>
        <v>0</v>
      </c>
      <c r="D11" s="0" t="n">
        <f aca="false">W11</f>
        <v>0</v>
      </c>
      <c r="E11" s="0" t="n">
        <f aca="false">IF(A11&lt;=Settings!$B$4,IFERROR(xlookup(A11,LevelRange,SmallPercentRange),0),0)</f>
        <v>0</v>
      </c>
      <c r="F11" s="0" t="n">
        <f aca="false">Y11</f>
        <v>0</v>
      </c>
      <c r="G11" s="0" t="n">
        <f aca="false">N10</f>
        <v>10</v>
      </c>
      <c r="H11" s="0" t="n">
        <f aca="false">G11+SUM($C$3:C11)</f>
        <v>165</v>
      </c>
      <c r="I11" s="0" t="n">
        <f aca="false">100+SUM($E$3:E11)</f>
        <v>175</v>
      </c>
      <c r="J11" s="0" t="n">
        <f aca="false">IF(A11&lt;=Settings!$B$4,IFERROR(xlookup(A11,LevelRange,TargetSkewRange),0),0)</f>
        <v>0</v>
      </c>
      <c r="K11" s="0" t="n">
        <f aca="false">MIN(G11,MAX(0,H11-I11+J11))</f>
        <v>0</v>
      </c>
      <c r="L11" s="0" t="str">
        <f aca="false">IF(A11&lt;=Settings!$B$4,IFERROR(xlookup(A11,LevelRange,ManualCloseRange),""),"")</f>
        <v/>
      </c>
      <c r="M11" s="0" t="n">
        <f aca="false">MIN(G11,AA11/Settings!$B$2*100)</f>
        <v>0</v>
      </c>
      <c r="N11" s="0" t="n">
        <f aca="false">G11-M11</f>
        <v>10</v>
      </c>
      <c r="O11" s="0" t="n">
        <f aca="false">SUM($C$3:C11)</f>
        <v>155</v>
      </c>
      <c r="P11" s="0" t="n">
        <f aca="false">SUM($E$3:E11)</f>
        <v>75</v>
      </c>
      <c r="Q11" s="0" t="n">
        <f aca="false">N11+O11</f>
        <v>165</v>
      </c>
      <c r="R11" s="0" t="n">
        <f aca="false">100+P11</f>
        <v>175</v>
      </c>
      <c r="S11" s="0" t="n">
        <f aca="false">R11-Q11</f>
        <v>10</v>
      </c>
      <c r="T11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Direction",IF(OR(C11&lt;0,E11&lt;0,J11&lt;0,AND(LEN(L11)&gt;0,L11&lt;0)),"ERROR: Negative input",IF(C11&lt;E11,"ERROR: Big BUY must be &gt;= Small SELL",IF(AND(LEN(L11)&gt;0,L11&gt;G11),"ERROR: ManualClose exceeds remaining Start position",IF(OR(N11&lt;0,Q11&lt;0,R11&lt;0),"ERROR: Negative totals",IF(Q11&gt;R11,"ERROR: Rounding broke protection balance",IF(S11&gt;Settings!$B$8,"WARNING: Skew exceeds recommended limit","OK")))))))))))</f>
        <v>OK</v>
      </c>
      <c r="U11" s="0" t="str">
        <f aca="false">IF(LEFT(T11,5)="ERROR","Check input/risk","")</f>
        <v/>
      </c>
      <c r="V11" s="0" t="n">
        <f aca="false">Settings!$B$2*C11/100</f>
        <v>0</v>
      </c>
      <c r="W11" s="0" t="n">
        <f aca="false">IF(Settings!$B$9,FLOOR(V11,Settings!$B$5),V11)</f>
        <v>0</v>
      </c>
      <c r="X11" s="0" t="n">
        <f aca="false">Settings!$B$2*E11/100</f>
        <v>0</v>
      </c>
      <c r="Y11" s="0" t="n">
        <f aca="false">IF(Settings!$B$9,CEILING(X11,Settings!$B$5),X11)</f>
        <v>0</v>
      </c>
      <c r="Z11" s="0" t="n">
        <f aca="false">Settings!$B$2*M11/100</f>
        <v>0</v>
      </c>
      <c r="AA11" s="0" t="n">
        <f aca="false">IF(Settings!$B$17,MIN(Settings!$B$2*G11/100,IF(Settings!$B$9,CEILING(MAX(0,Settings!$B$2*(H11-I11+J11)/100),Settings!$B$5),MAX(0,Settings!$B$2*(H11-I11+J11)/100))),IF(Settings!$B$9,MROUND(Z11,Settings!$B$5),Z11))</f>
        <v>0</v>
      </c>
      <c r="AB11" s="3" t="str">
        <f aca="false">IF(LEFT(T11,5)="ERROR","ERROR",IF(AND(Settings!$B$17,ABS(AA11-Z11)&gt;0.000000001),"FIXED",IF(ABS(S11)&lt;=Settings!$B$7,"SAFE","WARNING")))</f>
        <v>WARNING</v>
      </c>
      <c r="AC11" s="0" t="str">
        <f aca="false">IF(AB11="FIXED","Close adjusted by SAFE mode",IF(AB11="SAFE","BUY/SELL balance preserved",IF(AB11="WARNING","Near protection boundary","Protection broken")))</f>
        <v>Near protection boundary</v>
      </c>
      <c r="AD11" s="0" t="n">
        <f aca="false">MAX(0,Settings!$B$2*G11/100-AA11)</f>
        <v>0.1</v>
      </c>
      <c r="AE11" s="0" t="n">
        <f aca="false">SUM($W$3:W11)</f>
        <v>1.55</v>
      </c>
      <c r="AF11" s="0" t="n">
        <f aca="false">SUM($Y$3:Y11)</f>
        <v>0.75</v>
      </c>
      <c r="AG11" s="0" t="n">
        <f aca="false">AD11+AE11</f>
        <v>1.65</v>
      </c>
      <c r="AH11" s="0" t="n">
        <f aca="false">Settings!$B$2+AF11</f>
        <v>1.75</v>
      </c>
      <c r="AI11" s="0" t="n">
        <f aca="false">AH11-AG11</f>
        <v>0.0999999999999999</v>
      </c>
      <c r="AJ11" s="0" t="str">
        <f aca="false">IF(OR(AND(C11&gt;0,W11=0),AND(E11&gt;0,Y11=0),Settings!$B$2&lt;Settings!$B$5),"ERROR: LotStep too coarse",IF(AG11&gt;AH11,"ERROR: Rounded balance broken",IF(AND(J11&gt;0,AI11&lt;Settings!$B$2*J11/100),"WARNING","OK")))</f>
        <v>OK</v>
      </c>
    </row>
    <row r="12" customFormat="false" ht="14.9" hidden="false" customHeight="false" outlineLevel="0" collapsed="false">
      <c r="A12" s="0" t="n">
        <v>10</v>
      </c>
      <c r="B12" s="0" t="n">
        <f aca="false">A12*Settings!$B$3</f>
        <v>1000</v>
      </c>
      <c r="C12" s="0" t="n">
        <f aca="false">IF(A12&lt;=Settings!$B$4,IFERROR(xlookup(A12,LevelRange,BigPercentRange),0),0)</f>
        <v>0</v>
      </c>
      <c r="D12" s="0" t="n">
        <f aca="false">W12</f>
        <v>0</v>
      </c>
      <c r="E12" s="0" t="n">
        <f aca="false">IF(A12&lt;=Settings!$B$4,IFERROR(xlookup(A12,LevelRange,SmallPercentRange),0),0)</f>
        <v>0</v>
      </c>
      <c r="F12" s="0" t="n">
        <f aca="false">Y12</f>
        <v>0</v>
      </c>
      <c r="G12" s="0" t="n">
        <f aca="false">N11</f>
        <v>10</v>
      </c>
      <c r="H12" s="0" t="n">
        <f aca="false">G12+SUM($C$3:C12)</f>
        <v>165</v>
      </c>
      <c r="I12" s="0" t="n">
        <f aca="false">100+SUM($E$3:E12)</f>
        <v>175</v>
      </c>
      <c r="J12" s="0" t="n">
        <f aca="false">IF(A12&lt;=Settings!$B$4,IFERROR(xlookup(A12,LevelRange,TargetSkewRange),0),0)</f>
        <v>0</v>
      </c>
      <c r="K12" s="0" t="n">
        <f aca="false">MIN(G12,MAX(0,H12-I12+J12))</f>
        <v>0</v>
      </c>
      <c r="L12" s="0" t="str">
        <f aca="false">IF(A12&lt;=Settings!$B$4,IFERROR(xlookup(A12,LevelRange,ManualCloseRange),""),"")</f>
        <v/>
      </c>
      <c r="M12" s="0" t="n">
        <f aca="false">MIN(G12,AA12/Settings!$B$2*100)</f>
        <v>0</v>
      </c>
      <c r="N12" s="0" t="n">
        <f aca="false">G12-M12</f>
        <v>10</v>
      </c>
      <c r="O12" s="0" t="n">
        <f aca="false">SUM($C$3:C12)</f>
        <v>155</v>
      </c>
      <c r="P12" s="0" t="n">
        <f aca="false">SUM($E$3:E12)</f>
        <v>75</v>
      </c>
      <c r="Q12" s="0" t="n">
        <f aca="false">N12+O12</f>
        <v>165</v>
      </c>
      <c r="R12" s="0" t="n">
        <f aca="false">100+P12</f>
        <v>175</v>
      </c>
      <c r="S12" s="0" t="n">
        <f aca="false">R12-Q12</f>
        <v>10</v>
      </c>
      <c r="T12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Direction",IF(OR(C12&lt;0,E12&lt;0,J12&lt;0,AND(LEN(L12)&gt;0,L12&lt;0)),"ERROR: Negative input",IF(C12&lt;E12,"ERROR: Big BUY must be &gt;= Small SELL",IF(AND(LEN(L12)&gt;0,L12&gt;G12),"ERROR: ManualClose exceeds remaining Start position",IF(OR(N12&lt;0,Q12&lt;0,R12&lt;0),"ERROR: Negative totals",IF(Q12&gt;R12,"ERROR: Rounding broke protection balance",IF(S12&gt;Settings!$B$8,"WARNING: Skew exceeds recommended limit","OK")))))))))))</f>
        <v>OK</v>
      </c>
      <c r="U12" s="0" t="str">
        <f aca="false">IF(LEFT(T12,5)="ERROR","Check input/risk","")</f>
        <v/>
      </c>
      <c r="V12" s="0" t="n">
        <f aca="false">Settings!$B$2*C12/100</f>
        <v>0</v>
      </c>
      <c r="W12" s="0" t="n">
        <f aca="false">IF(Settings!$B$9,FLOOR(V12,Settings!$B$5),V12)</f>
        <v>0</v>
      </c>
      <c r="X12" s="0" t="n">
        <f aca="false">Settings!$B$2*E12/100</f>
        <v>0</v>
      </c>
      <c r="Y12" s="0" t="n">
        <f aca="false">IF(Settings!$B$9,CEILING(X12,Settings!$B$5),X12)</f>
        <v>0</v>
      </c>
      <c r="Z12" s="0" t="n">
        <f aca="false">Settings!$B$2*M12/100</f>
        <v>0</v>
      </c>
      <c r="AA12" s="0" t="n">
        <f aca="false">IF(Settings!$B$17,MIN(Settings!$B$2*G12/100,IF(Settings!$B$9,CEILING(MAX(0,Settings!$B$2*(H12-I12+J12)/100),Settings!$B$5),MAX(0,Settings!$B$2*(H12-I12+J12)/100))),IF(Settings!$B$9,MROUND(Z12,Settings!$B$5),Z12))</f>
        <v>0</v>
      </c>
      <c r="AB12" s="3" t="str">
        <f aca="false">IF(LEFT(T12,5)="ERROR","ERROR",IF(AND(Settings!$B$17,ABS(AA12-Z12)&gt;0.000000001),"FIXED",IF(ABS(S12)&lt;=Settings!$B$7,"SAFE","WARNING")))</f>
        <v>WARNING</v>
      </c>
      <c r="AC12" s="0" t="str">
        <f aca="false">IF(AB12="FIXED","Close adjusted by SAFE mode",IF(AB12="SAFE","BUY/SELL balance preserved",IF(AB12="WARNING","Near protection boundary","Protection broken")))</f>
        <v>Near protection boundary</v>
      </c>
      <c r="AD12" s="0" t="n">
        <f aca="false">MAX(0,Settings!$B$2*G12/100-AA12)</f>
        <v>0.1</v>
      </c>
      <c r="AE12" s="0" t="n">
        <f aca="false">SUM($W$3:W12)</f>
        <v>1.55</v>
      </c>
      <c r="AF12" s="0" t="n">
        <f aca="false">SUM($Y$3:Y12)</f>
        <v>0.75</v>
      </c>
      <c r="AG12" s="0" t="n">
        <f aca="false">AD12+AE12</f>
        <v>1.65</v>
      </c>
      <c r="AH12" s="0" t="n">
        <f aca="false">Settings!$B$2+AF12</f>
        <v>1.75</v>
      </c>
      <c r="AI12" s="0" t="n">
        <f aca="false">AH12-AG12</f>
        <v>0.0999999999999999</v>
      </c>
      <c r="AJ12" s="0" t="str">
        <f aca="false">IF(OR(AND(C12&gt;0,W12=0),AND(E12&gt;0,Y12=0),Settings!$B$2&lt;Settings!$B$5),"ERROR: LotStep too coarse",IF(AG12&gt;AH12,"ERROR: Rounded balance broken",IF(AND(J12&gt;0,AI12&lt;Settings!$B$2*J12/100),"WARNING","OK")))</f>
        <v>OK</v>
      </c>
    </row>
    <row r="13" customFormat="false" ht="14.9" hidden="false" customHeight="false" outlineLevel="0" collapsed="false">
      <c r="A13" s="0" t="n">
        <v>11</v>
      </c>
      <c r="B13" s="0" t="n">
        <f aca="false">A13*Settings!$B$3</f>
        <v>1100</v>
      </c>
      <c r="C13" s="0" t="n">
        <f aca="false">IF(A13&lt;=Settings!$B$4,IFERROR(xlookup(A13,LevelRange,BigPercentRange),0),0)</f>
        <v>0</v>
      </c>
      <c r="D13" s="0" t="n">
        <f aca="false">W13</f>
        <v>0</v>
      </c>
      <c r="E13" s="0" t="n">
        <f aca="false">IF(A13&lt;=Settings!$B$4,IFERROR(xlookup(A13,LevelRange,SmallPercentRange),0),0)</f>
        <v>0</v>
      </c>
      <c r="F13" s="0" t="n">
        <f aca="false">Y13</f>
        <v>0</v>
      </c>
      <c r="G13" s="0" t="n">
        <f aca="false">N12</f>
        <v>10</v>
      </c>
      <c r="H13" s="0" t="n">
        <f aca="false">G13+SUM($C$3:C13)</f>
        <v>165</v>
      </c>
      <c r="I13" s="0" t="n">
        <f aca="false">100+SUM($E$3:E13)</f>
        <v>175</v>
      </c>
      <c r="J13" s="0" t="n">
        <f aca="false">IF(A13&lt;=Settings!$B$4,IFERROR(xlookup(A13,LevelRange,TargetSkewRange),0),0)</f>
        <v>0</v>
      </c>
      <c r="K13" s="0" t="n">
        <f aca="false">MIN(G13,MAX(0,H13-I13+J13))</f>
        <v>0</v>
      </c>
      <c r="L13" s="0" t="str">
        <f aca="false">IF(A13&lt;=Settings!$B$4,IFERROR(xlookup(A13,LevelRange,ManualCloseRange),""),"")</f>
        <v/>
      </c>
      <c r="M13" s="0" t="n">
        <f aca="false">MIN(G13,AA13/Settings!$B$2*100)</f>
        <v>0</v>
      </c>
      <c r="N13" s="0" t="n">
        <f aca="false">G13-M13</f>
        <v>10</v>
      </c>
      <c r="O13" s="0" t="n">
        <f aca="false">SUM($C$3:C13)</f>
        <v>155</v>
      </c>
      <c r="P13" s="0" t="n">
        <f aca="false">SUM($E$3:E13)</f>
        <v>75</v>
      </c>
      <c r="Q13" s="0" t="n">
        <f aca="false">N13+O13</f>
        <v>165</v>
      </c>
      <c r="R13" s="0" t="n">
        <f aca="false">100+P13</f>
        <v>175</v>
      </c>
      <c r="S13" s="0" t="n">
        <f aca="false">R13-Q13</f>
        <v>10</v>
      </c>
      <c r="T13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Direction",IF(OR(C13&lt;0,E13&lt;0,J13&lt;0,AND(LEN(L13)&gt;0,L13&lt;0)),"ERROR: Negative input",IF(C13&lt;E13,"ERROR: Big BUY must be &gt;= Small SELL",IF(AND(LEN(L13)&gt;0,L13&gt;G13),"ERROR: ManualClose exceeds remaining Start position",IF(OR(N13&lt;0,Q13&lt;0,R13&lt;0),"ERROR: Negative totals",IF(Q13&gt;R13,"ERROR: Rounding broke protection balance",IF(S13&gt;Settings!$B$8,"WARNING: Skew exceeds recommended limit","OK")))))))))))</f>
        <v>OK</v>
      </c>
      <c r="U13" s="0" t="str">
        <f aca="false">IF(LEFT(T13,5)="ERROR","Check input/risk","")</f>
        <v/>
      </c>
      <c r="V13" s="0" t="n">
        <f aca="false">Settings!$B$2*C13/100</f>
        <v>0</v>
      </c>
      <c r="W13" s="0" t="n">
        <f aca="false">IF(Settings!$B$9,FLOOR(V13,Settings!$B$5),V13)</f>
        <v>0</v>
      </c>
      <c r="X13" s="0" t="n">
        <f aca="false">Settings!$B$2*E13/100</f>
        <v>0</v>
      </c>
      <c r="Y13" s="0" t="n">
        <f aca="false">IF(Settings!$B$9,CEILING(X13,Settings!$B$5),X13)</f>
        <v>0</v>
      </c>
      <c r="Z13" s="0" t="n">
        <f aca="false">Settings!$B$2*M13/100</f>
        <v>0</v>
      </c>
      <c r="AA13" s="0" t="n">
        <f aca="false">IF(Settings!$B$17,MIN(Settings!$B$2*G13/100,IF(Settings!$B$9,CEILING(MAX(0,Settings!$B$2*(H13-I13+J13)/100),Settings!$B$5),MAX(0,Settings!$B$2*(H13-I13+J13)/100))),IF(Settings!$B$9,MROUND(Z13,Settings!$B$5),Z13))</f>
        <v>0</v>
      </c>
      <c r="AB13" s="3" t="str">
        <f aca="false">IF(LEFT(T13,5)="ERROR","ERROR",IF(AND(Settings!$B$17,ABS(AA13-Z13)&gt;0.000000001),"FIXED",IF(ABS(S13)&lt;=Settings!$B$7,"SAFE","WARNING")))</f>
        <v>WARNING</v>
      </c>
      <c r="AC13" s="0" t="str">
        <f aca="false">IF(AB13="FIXED","Close adjusted by SAFE mode",IF(AB13="SAFE","BUY/SELL balance preserved",IF(AB13="WARNING","Near protection boundary","Protection broken")))</f>
        <v>Near protection boundary</v>
      </c>
      <c r="AD13" s="0" t="n">
        <f aca="false">MAX(0,Settings!$B$2*G13/100-AA13)</f>
        <v>0.1</v>
      </c>
      <c r="AE13" s="0" t="n">
        <f aca="false">SUM($W$3:W13)</f>
        <v>1.55</v>
      </c>
      <c r="AF13" s="0" t="n">
        <f aca="false">SUM($Y$3:Y13)</f>
        <v>0.75</v>
      </c>
      <c r="AG13" s="0" t="n">
        <f aca="false">AD13+AE13</f>
        <v>1.65</v>
      </c>
      <c r="AH13" s="0" t="n">
        <f aca="false">Settings!$B$2+AF13</f>
        <v>1.75</v>
      </c>
      <c r="AI13" s="0" t="n">
        <f aca="false">AH13-AG13</f>
        <v>0.0999999999999999</v>
      </c>
      <c r="AJ13" s="0" t="str">
        <f aca="false">IF(OR(AND(C13&gt;0,W13=0),AND(E13&gt;0,Y13=0),Settings!$B$2&lt;Settings!$B$5),"ERROR: LotStep too coarse",IF(AG13&gt;AH13,"ERROR: Rounded balance broken",IF(AND(J13&gt;0,AI13&lt;Settings!$B$2*J13/100),"WARNING","OK")))</f>
        <v>OK</v>
      </c>
    </row>
    <row r="14" customFormat="false" ht="14.9" hidden="false" customHeight="false" outlineLevel="0" collapsed="false">
      <c r="A14" s="0" t="n">
        <v>12</v>
      </c>
      <c r="B14" s="0" t="n">
        <f aca="false">A14*Settings!$B$3</f>
        <v>1200</v>
      </c>
      <c r="C14" s="0" t="n">
        <f aca="false">IF(A14&lt;=Settings!$B$4,IFERROR(xlookup(A14,LevelRange,BigPercentRange),0),0)</f>
        <v>0</v>
      </c>
      <c r="D14" s="0" t="n">
        <f aca="false">W14</f>
        <v>0</v>
      </c>
      <c r="E14" s="0" t="n">
        <f aca="false">IF(A14&lt;=Settings!$B$4,IFERROR(xlookup(A14,LevelRange,SmallPercentRange),0),0)</f>
        <v>0</v>
      </c>
      <c r="F14" s="0" t="n">
        <f aca="false">Y14</f>
        <v>0</v>
      </c>
      <c r="G14" s="0" t="n">
        <f aca="false">N13</f>
        <v>10</v>
      </c>
      <c r="H14" s="0" t="n">
        <f aca="false">G14+SUM($C$3:C14)</f>
        <v>165</v>
      </c>
      <c r="I14" s="0" t="n">
        <f aca="false">100+SUM($E$3:E14)</f>
        <v>175</v>
      </c>
      <c r="J14" s="0" t="n">
        <f aca="false">IF(A14&lt;=Settings!$B$4,IFERROR(xlookup(A14,LevelRange,TargetSkewRange),0),0)</f>
        <v>0</v>
      </c>
      <c r="K14" s="0" t="n">
        <f aca="false">MIN(G14,MAX(0,H14-I14+J14))</f>
        <v>0</v>
      </c>
      <c r="L14" s="0" t="str">
        <f aca="false">IF(A14&lt;=Settings!$B$4,IFERROR(xlookup(A14,LevelRange,ManualCloseRange),""),"")</f>
        <v/>
      </c>
      <c r="M14" s="0" t="n">
        <f aca="false">MIN(G14,AA14/Settings!$B$2*100)</f>
        <v>0</v>
      </c>
      <c r="N14" s="0" t="n">
        <f aca="false">G14-M14</f>
        <v>10</v>
      </c>
      <c r="O14" s="0" t="n">
        <f aca="false">SUM($C$3:C14)</f>
        <v>155</v>
      </c>
      <c r="P14" s="0" t="n">
        <f aca="false">SUM($E$3:E14)</f>
        <v>75</v>
      </c>
      <c r="Q14" s="0" t="n">
        <f aca="false">N14+O14</f>
        <v>165</v>
      </c>
      <c r="R14" s="0" t="n">
        <f aca="false">100+P14</f>
        <v>175</v>
      </c>
      <c r="S14" s="0" t="n">
        <f aca="false">R14-Q14</f>
        <v>10</v>
      </c>
      <c r="T14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Direction",IF(OR(C14&lt;0,E14&lt;0,J14&lt;0,AND(LEN(L14)&gt;0,L14&lt;0)),"ERROR: Negative input",IF(C14&lt;E14,"ERROR: Big BUY must be &gt;= Small SELL",IF(AND(LEN(L14)&gt;0,L14&gt;G14),"ERROR: ManualClose exceeds remaining Start position",IF(OR(N14&lt;0,Q14&lt;0,R14&lt;0),"ERROR: Negative totals",IF(Q14&gt;R14,"ERROR: Rounding broke protection balance",IF(S14&gt;Settings!$B$8,"WARNING: Skew exceeds recommended limit","OK")))))))))))</f>
        <v>OK</v>
      </c>
      <c r="U14" s="0" t="str">
        <f aca="false">IF(LEFT(T14,5)="ERROR","Check input/risk","")</f>
        <v/>
      </c>
      <c r="V14" s="0" t="n">
        <f aca="false">Settings!$B$2*C14/100</f>
        <v>0</v>
      </c>
      <c r="W14" s="0" t="n">
        <f aca="false">IF(Settings!$B$9,FLOOR(V14,Settings!$B$5),V14)</f>
        <v>0</v>
      </c>
      <c r="X14" s="0" t="n">
        <f aca="false">Settings!$B$2*E14/100</f>
        <v>0</v>
      </c>
      <c r="Y14" s="0" t="n">
        <f aca="false">IF(Settings!$B$9,CEILING(X14,Settings!$B$5),X14)</f>
        <v>0</v>
      </c>
      <c r="Z14" s="0" t="n">
        <f aca="false">Settings!$B$2*M14/100</f>
        <v>0</v>
      </c>
      <c r="AA14" s="0" t="n">
        <f aca="false">IF(Settings!$B$17,MIN(Settings!$B$2*G14/100,IF(Settings!$B$9,CEILING(MAX(0,Settings!$B$2*(H14-I14+J14)/100),Settings!$B$5),MAX(0,Settings!$B$2*(H14-I14+J14)/100))),IF(Settings!$B$9,MROUND(Z14,Settings!$B$5),Z14))</f>
        <v>0</v>
      </c>
      <c r="AB14" s="3" t="str">
        <f aca="false">IF(LEFT(T14,5)="ERROR","ERROR",IF(AND(Settings!$B$17,ABS(AA14-Z14)&gt;0.000000001),"FIXED",IF(ABS(S14)&lt;=Settings!$B$7,"SAFE","WARNING")))</f>
        <v>WARNING</v>
      </c>
      <c r="AC14" s="0" t="str">
        <f aca="false">IF(AB14="FIXED","Close adjusted by SAFE mode",IF(AB14="SAFE","BUY/SELL balance preserved",IF(AB14="WARNING","Near protection boundary","Protection broken")))</f>
        <v>Near protection boundary</v>
      </c>
      <c r="AD14" s="0" t="n">
        <f aca="false">MAX(0,Settings!$B$2*G14/100-AA14)</f>
        <v>0.1</v>
      </c>
      <c r="AE14" s="0" t="n">
        <f aca="false">SUM($W$3:W14)</f>
        <v>1.55</v>
      </c>
      <c r="AF14" s="0" t="n">
        <f aca="false">SUM($Y$3:Y14)</f>
        <v>0.75</v>
      </c>
      <c r="AG14" s="0" t="n">
        <f aca="false">AD14+AE14</f>
        <v>1.65</v>
      </c>
      <c r="AH14" s="0" t="n">
        <f aca="false">Settings!$B$2+AF14</f>
        <v>1.75</v>
      </c>
      <c r="AI14" s="0" t="n">
        <f aca="false">AH14-AG14</f>
        <v>0.0999999999999999</v>
      </c>
      <c r="AJ14" s="0" t="str">
        <f aca="false">IF(OR(AND(C14&gt;0,W14=0),AND(E14&gt;0,Y14=0),Settings!$B$2&lt;Settings!$B$5),"ERROR: LotStep too coarse",IF(AG14&gt;AH14,"ERROR: Rounded balance broken",IF(AND(J14&gt;0,AI14&lt;Settings!$B$2*J14/100),"WARNING","OK")))</f>
        <v>OK</v>
      </c>
    </row>
    <row r="15" customFormat="false" ht="14.9" hidden="false" customHeight="false" outlineLevel="0" collapsed="false">
      <c r="A15" s="0" t="n">
        <v>13</v>
      </c>
      <c r="B15" s="0" t="n">
        <f aca="false">A15*Settings!$B$3</f>
        <v>1300</v>
      </c>
      <c r="C15" s="0" t="n">
        <f aca="false">IF(A15&lt;=Settings!$B$4,IFERROR(xlookup(A15,LevelRange,BigPercentRange),0),0)</f>
        <v>0</v>
      </c>
      <c r="D15" s="0" t="n">
        <f aca="false">W15</f>
        <v>0</v>
      </c>
      <c r="E15" s="0" t="n">
        <f aca="false">IF(A15&lt;=Settings!$B$4,IFERROR(xlookup(A15,LevelRange,SmallPercentRange),0),0)</f>
        <v>0</v>
      </c>
      <c r="F15" s="0" t="n">
        <f aca="false">Y15</f>
        <v>0</v>
      </c>
      <c r="G15" s="0" t="n">
        <f aca="false">N14</f>
        <v>10</v>
      </c>
      <c r="H15" s="0" t="n">
        <f aca="false">G15+SUM($C$3:C15)</f>
        <v>165</v>
      </c>
      <c r="I15" s="0" t="n">
        <f aca="false">100+SUM($E$3:E15)</f>
        <v>175</v>
      </c>
      <c r="J15" s="0" t="n">
        <f aca="false">IF(A15&lt;=Settings!$B$4,IFERROR(xlookup(A15,LevelRange,TargetSkewRange),0),0)</f>
        <v>0</v>
      </c>
      <c r="K15" s="0" t="n">
        <f aca="false">MIN(G15,MAX(0,H15-I15+J15))</f>
        <v>0</v>
      </c>
      <c r="L15" s="0" t="str">
        <f aca="false">IF(A15&lt;=Settings!$B$4,IFERROR(xlookup(A15,LevelRange,ManualCloseRange),""),"")</f>
        <v/>
      </c>
      <c r="M15" s="0" t="n">
        <f aca="false">MIN(G15,AA15/Settings!$B$2*100)</f>
        <v>0</v>
      </c>
      <c r="N15" s="0" t="n">
        <f aca="false">G15-M15</f>
        <v>10</v>
      </c>
      <c r="O15" s="0" t="n">
        <f aca="false">SUM($C$3:C15)</f>
        <v>155</v>
      </c>
      <c r="P15" s="0" t="n">
        <f aca="false">SUM($E$3:E15)</f>
        <v>75</v>
      </c>
      <c r="Q15" s="0" t="n">
        <f aca="false">N15+O15</f>
        <v>165</v>
      </c>
      <c r="R15" s="0" t="n">
        <f aca="false">100+P15</f>
        <v>175</v>
      </c>
      <c r="S15" s="0" t="n">
        <f aca="false">R15-Q15</f>
        <v>10</v>
      </c>
      <c r="T15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Direction",IF(OR(C15&lt;0,E15&lt;0,J15&lt;0,AND(LEN(L15)&gt;0,L15&lt;0)),"ERROR: Negative input",IF(C15&lt;E15,"ERROR: Big BUY must be &gt;= Small SELL",IF(AND(LEN(L15)&gt;0,L15&gt;G15),"ERROR: ManualClose exceeds remaining Start position",IF(OR(N15&lt;0,Q15&lt;0,R15&lt;0),"ERROR: Negative totals",IF(Q15&gt;R15,"ERROR: Rounding broke protection balance",IF(S15&gt;Settings!$B$8,"WARNING: Skew exceeds recommended limit","OK")))))))))))</f>
        <v>OK</v>
      </c>
      <c r="U15" s="0" t="str">
        <f aca="false">IF(LEFT(T15,5)="ERROR","Check input/risk","")</f>
        <v/>
      </c>
      <c r="V15" s="0" t="n">
        <f aca="false">Settings!$B$2*C15/100</f>
        <v>0</v>
      </c>
      <c r="W15" s="0" t="n">
        <f aca="false">IF(Settings!$B$9,FLOOR(V15,Settings!$B$5),V15)</f>
        <v>0</v>
      </c>
      <c r="X15" s="0" t="n">
        <f aca="false">Settings!$B$2*E15/100</f>
        <v>0</v>
      </c>
      <c r="Y15" s="0" t="n">
        <f aca="false">IF(Settings!$B$9,CEILING(X15,Settings!$B$5),X15)</f>
        <v>0</v>
      </c>
      <c r="Z15" s="0" t="n">
        <f aca="false">Settings!$B$2*M15/100</f>
        <v>0</v>
      </c>
      <c r="AA15" s="0" t="n">
        <f aca="false">IF(Settings!$B$17,MIN(Settings!$B$2*G15/100,IF(Settings!$B$9,CEILING(MAX(0,Settings!$B$2*(H15-I15+J15)/100),Settings!$B$5),MAX(0,Settings!$B$2*(H15-I15+J15)/100))),IF(Settings!$B$9,MROUND(Z15,Settings!$B$5),Z15))</f>
        <v>0</v>
      </c>
      <c r="AB15" s="3" t="str">
        <f aca="false">IF(LEFT(T15,5)="ERROR","ERROR",IF(AND(Settings!$B$17,ABS(AA15-Z15)&gt;0.000000001),"FIXED",IF(ABS(S15)&lt;=Settings!$B$7,"SAFE","WARNING")))</f>
        <v>WARNING</v>
      </c>
      <c r="AC15" s="0" t="str">
        <f aca="false">IF(AB15="FIXED","Close adjusted by SAFE mode",IF(AB15="SAFE","BUY/SELL balance preserved",IF(AB15="WARNING","Near protection boundary","Protection broken")))</f>
        <v>Near protection boundary</v>
      </c>
      <c r="AD15" s="0" t="n">
        <f aca="false">MAX(0,Settings!$B$2*G15/100-AA15)</f>
        <v>0.1</v>
      </c>
      <c r="AE15" s="0" t="n">
        <f aca="false">SUM($W$3:W15)</f>
        <v>1.55</v>
      </c>
      <c r="AF15" s="0" t="n">
        <f aca="false">SUM($Y$3:Y15)</f>
        <v>0.75</v>
      </c>
      <c r="AG15" s="0" t="n">
        <f aca="false">AD15+AE15</f>
        <v>1.65</v>
      </c>
      <c r="AH15" s="0" t="n">
        <f aca="false">Settings!$B$2+AF15</f>
        <v>1.75</v>
      </c>
      <c r="AI15" s="0" t="n">
        <f aca="false">AH15-AG15</f>
        <v>0.0999999999999999</v>
      </c>
      <c r="AJ15" s="0" t="str">
        <f aca="false">IF(OR(AND(C15&gt;0,W15=0),AND(E15&gt;0,Y15=0),Settings!$B$2&lt;Settings!$B$5),"ERROR: LotStep too coarse",IF(AG15&gt;AH15,"ERROR: Rounded balance broken",IF(AND(J15&gt;0,AI15&lt;Settings!$B$2*J15/100),"WARNING","OK")))</f>
        <v>OK</v>
      </c>
    </row>
    <row r="16" customFormat="false" ht="14.9" hidden="false" customHeight="false" outlineLevel="0" collapsed="false">
      <c r="A16" s="0" t="n">
        <v>14</v>
      </c>
      <c r="B16" s="0" t="n">
        <f aca="false">A16*Settings!$B$3</f>
        <v>1400</v>
      </c>
      <c r="C16" s="0" t="n">
        <f aca="false">IF(A16&lt;=Settings!$B$4,IFERROR(xlookup(A16,LevelRange,BigPercentRange),0),0)</f>
        <v>0</v>
      </c>
      <c r="D16" s="0" t="n">
        <f aca="false">W16</f>
        <v>0</v>
      </c>
      <c r="E16" s="0" t="n">
        <f aca="false">IF(A16&lt;=Settings!$B$4,IFERROR(xlookup(A16,LevelRange,SmallPercentRange),0),0)</f>
        <v>0</v>
      </c>
      <c r="F16" s="0" t="n">
        <f aca="false">Y16</f>
        <v>0</v>
      </c>
      <c r="G16" s="0" t="n">
        <f aca="false">N15</f>
        <v>10</v>
      </c>
      <c r="H16" s="0" t="n">
        <f aca="false">G16+SUM($C$3:C16)</f>
        <v>165</v>
      </c>
      <c r="I16" s="0" t="n">
        <f aca="false">100+SUM($E$3:E16)</f>
        <v>175</v>
      </c>
      <c r="J16" s="0" t="n">
        <f aca="false">IF(A16&lt;=Settings!$B$4,IFERROR(xlookup(A16,LevelRange,TargetSkewRange),0),0)</f>
        <v>0</v>
      </c>
      <c r="K16" s="0" t="n">
        <f aca="false">MIN(G16,MAX(0,H16-I16+J16))</f>
        <v>0</v>
      </c>
      <c r="L16" s="0" t="str">
        <f aca="false">IF(A16&lt;=Settings!$B$4,IFERROR(xlookup(A16,LevelRange,ManualCloseRange),""),"")</f>
        <v/>
      </c>
      <c r="M16" s="0" t="n">
        <f aca="false">MIN(G16,AA16/Settings!$B$2*100)</f>
        <v>0</v>
      </c>
      <c r="N16" s="0" t="n">
        <f aca="false">G16-M16</f>
        <v>10</v>
      </c>
      <c r="O16" s="0" t="n">
        <f aca="false">SUM($C$3:C16)</f>
        <v>155</v>
      </c>
      <c r="P16" s="0" t="n">
        <f aca="false">SUM($E$3:E16)</f>
        <v>75</v>
      </c>
      <c r="Q16" s="0" t="n">
        <f aca="false">N16+O16</f>
        <v>165</v>
      </c>
      <c r="R16" s="0" t="n">
        <f aca="false">100+P16</f>
        <v>175</v>
      </c>
      <c r="S16" s="0" t="n">
        <f aca="false">R16-Q16</f>
        <v>10</v>
      </c>
      <c r="T16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Direction",IF(OR(C16&lt;0,E16&lt;0,J16&lt;0,AND(LEN(L16)&gt;0,L16&lt;0)),"ERROR: Negative input",IF(C16&lt;E16,"ERROR: Big BUY must be &gt;= Small SELL",IF(AND(LEN(L16)&gt;0,L16&gt;G16),"ERROR: ManualClose exceeds remaining Start position",IF(OR(N16&lt;0,Q16&lt;0,R16&lt;0),"ERROR: Negative totals",IF(Q16&gt;R16,"ERROR: Rounding broke protection balance",IF(S16&gt;Settings!$B$8,"WARNING: Skew exceeds recommended limit","OK")))))))))))</f>
        <v>OK</v>
      </c>
      <c r="U16" s="0" t="str">
        <f aca="false">IF(LEFT(T16,5)="ERROR","Check input/risk","")</f>
        <v/>
      </c>
      <c r="V16" s="0" t="n">
        <f aca="false">Settings!$B$2*C16/100</f>
        <v>0</v>
      </c>
      <c r="W16" s="0" t="n">
        <f aca="false">IF(Settings!$B$9,FLOOR(V16,Settings!$B$5),V16)</f>
        <v>0</v>
      </c>
      <c r="X16" s="0" t="n">
        <f aca="false">Settings!$B$2*E16/100</f>
        <v>0</v>
      </c>
      <c r="Y16" s="0" t="n">
        <f aca="false">IF(Settings!$B$9,CEILING(X16,Settings!$B$5),X16)</f>
        <v>0</v>
      </c>
      <c r="Z16" s="0" t="n">
        <f aca="false">Settings!$B$2*M16/100</f>
        <v>0</v>
      </c>
      <c r="AA16" s="0" t="n">
        <f aca="false">IF(Settings!$B$17,MIN(Settings!$B$2*G16/100,IF(Settings!$B$9,CEILING(MAX(0,Settings!$B$2*(H16-I16+J16)/100),Settings!$B$5),MAX(0,Settings!$B$2*(H16-I16+J16)/100))),IF(Settings!$B$9,MROUND(Z16,Settings!$B$5),Z16))</f>
        <v>0</v>
      </c>
      <c r="AB16" s="3" t="str">
        <f aca="false">IF(LEFT(T16,5)="ERROR","ERROR",IF(AND(Settings!$B$17,ABS(AA16-Z16)&gt;0.000000001),"FIXED",IF(ABS(S16)&lt;=Settings!$B$7,"SAFE","WARNING")))</f>
        <v>WARNING</v>
      </c>
      <c r="AC16" s="0" t="str">
        <f aca="false">IF(AB16="FIXED","Close adjusted by SAFE mode",IF(AB16="SAFE","BUY/SELL balance preserved",IF(AB16="WARNING","Near protection boundary","Protection broken")))</f>
        <v>Near protection boundary</v>
      </c>
      <c r="AD16" s="0" t="n">
        <f aca="false">MAX(0,Settings!$B$2*G16/100-AA16)</f>
        <v>0.1</v>
      </c>
      <c r="AE16" s="0" t="n">
        <f aca="false">SUM($W$3:W16)</f>
        <v>1.55</v>
      </c>
      <c r="AF16" s="0" t="n">
        <f aca="false">SUM($Y$3:Y16)</f>
        <v>0.75</v>
      </c>
      <c r="AG16" s="0" t="n">
        <f aca="false">AD16+AE16</f>
        <v>1.65</v>
      </c>
      <c r="AH16" s="0" t="n">
        <f aca="false">Settings!$B$2+AF16</f>
        <v>1.75</v>
      </c>
      <c r="AI16" s="0" t="n">
        <f aca="false">AH16-AG16</f>
        <v>0.0999999999999999</v>
      </c>
      <c r="AJ16" s="0" t="str">
        <f aca="false">IF(OR(AND(C16&gt;0,W16=0),AND(E16&gt;0,Y16=0),Settings!$B$2&lt;Settings!$B$5),"ERROR: LotStep too coarse",IF(AG16&gt;AH16,"ERROR: Rounded balance broken",IF(AND(J16&gt;0,AI16&lt;Settings!$B$2*J16/100),"WARNING","OK")))</f>
        <v>OK</v>
      </c>
    </row>
    <row r="17" customFormat="false" ht="14.9" hidden="false" customHeight="false" outlineLevel="0" collapsed="false">
      <c r="A17" s="0" t="n">
        <v>15</v>
      </c>
      <c r="B17" s="0" t="n">
        <f aca="false">A17*Settings!$B$3</f>
        <v>1500</v>
      </c>
      <c r="C17" s="0" t="n">
        <f aca="false">IF(A17&lt;=Settings!$B$4,IFERROR(xlookup(A17,LevelRange,BigPercentRange),0),0)</f>
        <v>0</v>
      </c>
      <c r="D17" s="0" t="n">
        <f aca="false">W17</f>
        <v>0</v>
      </c>
      <c r="E17" s="0" t="n">
        <f aca="false">IF(A17&lt;=Settings!$B$4,IFERROR(xlookup(A17,LevelRange,SmallPercentRange),0),0)</f>
        <v>0</v>
      </c>
      <c r="F17" s="0" t="n">
        <f aca="false">Y17</f>
        <v>0</v>
      </c>
      <c r="G17" s="0" t="n">
        <f aca="false">N16</f>
        <v>10</v>
      </c>
      <c r="H17" s="0" t="n">
        <f aca="false">G17+SUM($C$3:C17)</f>
        <v>165</v>
      </c>
      <c r="I17" s="0" t="n">
        <f aca="false">100+SUM($E$3:E17)</f>
        <v>175</v>
      </c>
      <c r="J17" s="0" t="n">
        <f aca="false">IF(A17&lt;=Settings!$B$4,IFERROR(xlookup(A17,LevelRange,TargetSkewRange),0),0)</f>
        <v>0</v>
      </c>
      <c r="K17" s="0" t="n">
        <f aca="false">MIN(G17,MAX(0,H17-I17+J17))</f>
        <v>0</v>
      </c>
      <c r="L17" s="0" t="str">
        <f aca="false">IF(A17&lt;=Settings!$B$4,IFERROR(xlookup(A17,LevelRange,ManualCloseRange),""),"")</f>
        <v/>
      </c>
      <c r="M17" s="0" t="n">
        <f aca="false">MIN(G17,AA17/Settings!$B$2*100)</f>
        <v>0</v>
      </c>
      <c r="N17" s="0" t="n">
        <f aca="false">G17-M17</f>
        <v>10</v>
      </c>
      <c r="O17" s="0" t="n">
        <f aca="false">SUM($C$3:C17)</f>
        <v>155</v>
      </c>
      <c r="P17" s="0" t="n">
        <f aca="false">SUM($E$3:E17)</f>
        <v>75</v>
      </c>
      <c r="Q17" s="0" t="n">
        <f aca="false">N17+O17</f>
        <v>165</v>
      </c>
      <c r="R17" s="0" t="n">
        <f aca="false">100+P17</f>
        <v>175</v>
      </c>
      <c r="S17" s="0" t="n">
        <f aca="false">R17-Q17</f>
        <v>10</v>
      </c>
      <c r="T17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Direction",IF(OR(C17&lt;0,E17&lt;0,J17&lt;0,AND(LEN(L17)&gt;0,L17&lt;0)),"ERROR: Negative input",IF(C17&lt;E17,"ERROR: Big BUY must be &gt;= Small SELL",IF(AND(LEN(L17)&gt;0,L17&gt;G17),"ERROR: ManualClose exceeds remaining Start position",IF(OR(N17&lt;0,Q17&lt;0,R17&lt;0),"ERROR: Negative totals",IF(Q17&gt;R17,"ERROR: Rounding broke protection balance",IF(S17&gt;Settings!$B$8,"WARNING: Skew exceeds recommended limit","OK")))))))))))</f>
        <v>OK</v>
      </c>
      <c r="U17" s="0" t="str">
        <f aca="false">IF(LEFT(T17,5)="ERROR","Check input/risk","")</f>
        <v/>
      </c>
      <c r="V17" s="0" t="n">
        <f aca="false">Settings!$B$2*C17/100</f>
        <v>0</v>
      </c>
      <c r="W17" s="0" t="n">
        <f aca="false">IF(Settings!$B$9,FLOOR(V17,Settings!$B$5),V17)</f>
        <v>0</v>
      </c>
      <c r="X17" s="0" t="n">
        <f aca="false">Settings!$B$2*E17/100</f>
        <v>0</v>
      </c>
      <c r="Y17" s="0" t="n">
        <f aca="false">IF(Settings!$B$9,CEILING(X17,Settings!$B$5),X17)</f>
        <v>0</v>
      </c>
      <c r="Z17" s="0" t="n">
        <f aca="false">Settings!$B$2*M17/100</f>
        <v>0</v>
      </c>
      <c r="AA17" s="0" t="n">
        <f aca="false">IF(Settings!$B$17,MIN(Settings!$B$2*G17/100,IF(Settings!$B$9,CEILING(MAX(0,Settings!$B$2*(H17-I17+J17)/100),Settings!$B$5),MAX(0,Settings!$B$2*(H17-I17+J17)/100))),IF(Settings!$B$9,MROUND(Z17,Settings!$B$5),Z17))</f>
        <v>0</v>
      </c>
      <c r="AB17" s="3" t="str">
        <f aca="false">IF(LEFT(T17,5)="ERROR","ERROR",IF(AND(Settings!$B$17,ABS(AA17-Z17)&gt;0.000000001),"FIXED",IF(ABS(S17)&lt;=Settings!$B$7,"SAFE","WARNING")))</f>
        <v>WARNING</v>
      </c>
      <c r="AC17" s="0" t="str">
        <f aca="false">IF(AB17="FIXED","Close adjusted by SAFE mode",IF(AB17="SAFE","BUY/SELL balance preserved",IF(AB17="WARNING","Near protection boundary","Protection broken")))</f>
        <v>Near protection boundary</v>
      </c>
      <c r="AD17" s="0" t="n">
        <f aca="false">MAX(0,Settings!$B$2*G17/100-AA17)</f>
        <v>0.1</v>
      </c>
      <c r="AE17" s="0" t="n">
        <f aca="false">SUM($W$3:W17)</f>
        <v>1.55</v>
      </c>
      <c r="AF17" s="0" t="n">
        <f aca="false">SUM($Y$3:Y17)</f>
        <v>0.75</v>
      </c>
      <c r="AG17" s="0" t="n">
        <f aca="false">AD17+AE17</f>
        <v>1.65</v>
      </c>
      <c r="AH17" s="0" t="n">
        <f aca="false">Settings!$B$2+AF17</f>
        <v>1.75</v>
      </c>
      <c r="AI17" s="0" t="n">
        <f aca="false">AH17-AG17</f>
        <v>0.0999999999999999</v>
      </c>
      <c r="AJ17" s="0" t="str">
        <f aca="false">IF(OR(AND(C17&gt;0,W17=0),AND(E17&gt;0,Y17=0),Settings!$B$2&lt;Settings!$B$5),"ERROR: LotStep too coarse",IF(AG17&gt;AH17,"ERROR: Rounded balance broken",IF(AND(J17&gt;0,AI17&lt;Settings!$B$2*J17/100),"WARNING","OK")))</f>
        <v>OK</v>
      </c>
    </row>
    <row r="18" customFormat="false" ht="14.9" hidden="false" customHeight="false" outlineLevel="0" collapsed="false">
      <c r="A18" s="0" t="n">
        <v>16</v>
      </c>
      <c r="B18" s="0" t="n">
        <f aca="false">A18*Settings!$B$3</f>
        <v>1600</v>
      </c>
      <c r="C18" s="0" t="n">
        <f aca="false">IF(A18&lt;=Settings!$B$4,IFERROR(xlookup(A18,LevelRange,BigPercentRange),0),0)</f>
        <v>0</v>
      </c>
      <c r="D18" s="0" t="n">
        <f aca="false">W18</f>
        <v>0</v>
      </c>
      <c r="E18" s="0" t="n">
        <f aca="false">IF(A18&lt;=Settings!$B$4,IFERROR(xlookup(A18,LevelRange,SmallPercentRange),0),0)</f>
        <v>0</v>
      </c>
      <c r="F18" s="0" t="n">
        <f aca="false">Y18</f>
        <v>0</v>
      </c>
      <c r="G18" s="0" t="n">
        <f aca="false">N17</f>
        <v>10</v>
      </c>
      <c r="H18" s="0" t="n">
        <f aca="false">G18+SUM($C$3:C18)</f>
        <v>165</v>
      </c>
      <c r="I18" s="0" t="n">
        <f aca="false">100+SUM($E$3:E18)</f>
        <v>175</v>
      </c>
      <c r="J18" s="0" t="n">
        <f aca="false">IF(A18&lt;=Settings!$B$4,IFERROR(xlookup(A18,LevelRange,TargetSkewRange),0),0)</f>
        <v>0</v>
      </c>
      <c r="K18" s="0" t="n">
        <f aca="false">MIN(G18,MAX(0,H18-I18+J18))</f>
        <v>0</v>
      </c>
      <c r="L18" s="0" t="str">
        <f aca="false">IF(A18&lt;=Settings!$B$4,IFERROR(xlookup(A18,LevelRange,ManualCloseRange),""),"")</f>
        <v/>
      </c>
      <c r="M18" s="0" t="n">
        <f aca="false">MIN(G18,AA18/Settings!$B$2*100)</f>
        <v>0</v>
      </c>
      <c r="N18" s="0" t="n">
        <f aca="false">G18-M18</f>
        <v>10</v>
      </c>
      <c r="O18" s="0" t="n">
        <f aca="false">SUM($C$3:C18)</f>
        <v>155</v>
      </c>
      <c r="P18" s="0" t="n">
        <f aca="false">SUM($E$3:E18)</f>
        <v>75</v>
      </c>
      <c r="Q18" s="0" t="n">
        <f aca="false">N18+O18</f>
        <v>165</v>
      </c>
      <c r="R18" s="0" t="n">
        <f aca="false">100+P18</f>
        <v>175</v>
      </c>
      <c r="S18" s="0" t="n">
        <f aca="false">R18-Q18</f>
        <v>10</v>
      </c>
      <c r="T18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Direction",IF(OR(C18&lt;0,E18&lt;0,J18&lt;0,AND(LEN(L18)&gt;0,L18&lt;0)),"ERROR: Negative input",IF(C18&lt;E18,"ERROR: Big BUY must be &gt;= Small SELL",IF(AND(LEN(L18)&gt;0,L18&gt;G18),"ERROR: ManualClose exceeds remaining Start position",IF(OR(N18&lt;0,Q18&lt;0,R18&lt;0),"ERROR: Negative totals",IF(Q18&gt;R18,"ERROR: Rounding broke protection balance",IF(S18&gt;Settings!$B$8,"WARNING: Skew exceeds recommended limit","OK")))))))))))</f>
        <v>OK</v>
      </c>
      <c r="U18" s="0" t="str">
        <f aca="false">IF(LEFT(T18,5)="ERROR","Check input/risk","")</f>
        <v/>
      </c>
      <c r="V18" s="0" t="n">
        <f aca="false">Settings!$B$2*C18/100</f>
        <v>0</v>
      </c>
      <c r="W18" s="0" t="n">
        <f aca="false">IF(Settings!$B$9,FLOOR(V18,Settings!$B$5),V18)</f>
        <v>0</v>
      </c>
      <c r="X18" s="0" t="n">
        <f aca="false">Settings!$B$2*E18/100</f>
        <v>0</v>
      </c>
      <c r="Y18" s="0" t="n">
        <f aca="false">IF(Settings!$B$9,CEILING(X18,Settings!$B$5),X18)</f>
        <v>0</v>
      </c>
      <c r="Z18" s="0" t="n">
        <f aca="false">Settings!$B$2*M18/100</f>
        <v>0</v>
      </c>
      <c r="AA18" s="0" t="n">
        <f aca="false">IF(Settings!$B$17,MIN(Settings!$B$2*G18/100,IF(Settings!$B$9,CEILING(MAX(0,Settings!$B$2*(H18-I18+J18)/100),Settings!$B$5),MAX(0,Settings!$B$2*(H18-I18+J18)/100))),IF(Settings!$B$9,MROUND(Z18,Settings!$B$5),Z18))</f>
        <v>0</v>
      </c>
      <c r="AB18" s="3" t="str">
        <f aca="false">IF(LEFT(T18,5)="ERROR","ERROR",IF(AND(Settings!$B$17,ABS(AA18-Z18)&gt;0.000000001),"FIXED",IF(ABS(S18)&lt;=Settings!$B$7,"SAFE","WARNING")))</f>
        <v>WARNING</v>
      </c>
      <c r="AC18" s="0" t="str">
        <f aca="false">IF(AB18="FIXED","Close adjusted by SAFE mode",IF(AB18="SAFE","BUY/SELL balance preserved",IF(AB18="WARNING","Near protection boundary","Protection broken")))</f>
        <v>Near protection boundary</v>
      </c>
      <c r="AD18" s="0" t="n">
        <f aca="false">MAX(0,Settings!$B$2*G18/100-AA18)</f>
        <v>0.1</v>
      </c>
      <c r="AE18" s="0" t="n">
        <f aca="false">SUM($W$3:W18)</f>
        <v>1.55</v>
      </c>
      <c r="AF18" s="0" t="n">
        <f aca="false">SUM($Y$3:Y18)</f>
        <v>0.75</v>
      </c>
      <c r="AG18" s="0" t="n">
        <f aca="false">AD18+AE18</f>
        <v>1.65</v>
      </c>
      <c r="AH18" s="0" t="n">
        <f aca="false">Settings!$B$2+AF18</f>
        <v>1.75</v>
      </c>
      <c r="AI18" s="0" t="n">
        <f aca="false">AH18-AG18</f>
        <v>0.0999999999999999</v>
      </c>
      <c r="AJ18" s="0" t="str">
        <f aca="false">IF(OR(AND(C18&gt;0,W18=0),AND(E18&gt;0,Y18=0),Settings!$B$2&lt;Settings!$B$5),"ERROR: LotStep too coarse",IF(AG18&gt;AH18,"ERROR: Rounded balance broken",IF(AND(J18&gt;0,AI18&lt;Settings!$B$2*J18/100),"WARNING","OK")))</f>
        <v>OK</v>
      </c>
    </row>
    <row r="19" customFormat="false" ht="14.9" hidden="false" customHeight="false" outlineLevel="0" collapsed="false">
      <c r="A19" s="0" t="n">
        <v>17</v>
      </c>
      <c r="B19" s="0" t="n">
        <f aca="false">A19*Settings!$B$3</f>
        <v>1700</v>
      </c>
      <c r="C19" s="0" t="n">
        <f aca="false">IF(A19&lt;=Settings!$B$4,IFERROR(xlookup(A19,LevelRange,BigPercentRange),0),0)</f>
        <v>0</v>
      </c>
      <c r="D19" s="0" t="n">
        <f aca="false">W19</f>
        <v>0</v>
      </c>
      <c r="E19" s="0" t="n">
        <f aca="false">IF(A19&lt;=Settings!$B$4,IFERROR(xlookup(A19,LevelRange,SmallPercentRange),0),0)</f>
        <v>0</v>
      </c>
      <c r="F19" s="0" t="n">
        <f aca="false">Y19</f>
        <v>0</v>
      </c>
      <c r="G19" s="0" t="n">
        <f aca="false">N18</f>
        <v>10</v>
      </c>
      <c r="H19" s="0" t="n">
        <f aca="false">G19+SUM($C$3:C19)</f>
        <v>165</v>
      </c>
      <c r="I19" s="0" t="n">
        <f aca="false">100+SUM($E$3:E19)</f>
        <v>175</v>
      </c>
      <c r="J19" s="0" t="n">
        <f aca="false">IF(A19&lt;=Settings!$B$4,IFERROR(xlookup(A19,LevelRange,TargetSkewRange),0),0)</f>
        <v>0</v>
      </c>
      <c r="K19" s="0" t="n">
        <f aca="false">MIN(G19,MAX(0,H19-I19+J19))</f>
        <v>0</v>
      </c>
      <c r="L19" s="0" t="str">
        <f aca="false">IF(A19&lt;=Settings!$B$4,IFERROR(xlookup(A19,LevelRange,ManualCloseRange),""),"")</f>
        <v/>
      </c>
      <c r="M19" s="0" t="n">
        <f aca="false">MIN(G19,AA19/Settings!$B$2*100)</f>
        <v>0</v>
      </c>
      <c r="N19" s="0" t="n">
        <f aca="false">G19-M19</f>
        <v>10</v>
      </c>
      <c r="O19" s="0" t="n">
        <f aca="false">SUM($C$3:C19)</f>
        <v>155</v>
      </c>
      <c r="P19" s="0" t="n">
        <f aca="false">SUM($E$3:E19)</f>
        <v>75</v>
      </c>
      <c r="Q19" s="0" t="n">
        <f aca="false">N19+O19</f>
        <v>165</v>
      </c>
      <c r="R19" s="0" t="n">
        <f aca="false">100+P19</f>
        <v>175</v>
      </c>
      <c r="S19" s="0" t="n">
        <f aca="false">R19-Q19</f>
        <v>10</v>
      </c>
      <c r="T19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Direction",IF(OR(C19&lt;0,E19&lt;0,J19&lt;0,AND(LEN(L19)&gt;0,L19&lt;0)),"ERROR: Negative input",IF(C19&lt;E19,"ERROR: Big BUY must be &gt;= Small SELL",IF(AND(LEN(L19)&gt;0,L19&gt;G19),"ERROR: ManualClose exceeds remaining Start position",IF(OR(N19&lt;0,Q19&lt;0,R19&lt;0),"ERROR: Negative totals",IF(Q19&gt;R19,"ERROR: Rounding broke protection balance",IF(S19&gt;Settings!$B$8,"WARNING: Skew exceeds recommended limit","OK")))))))))))</f>
        <v>OK</v>
      </c>
      <c r="U19" s="0" t="str">
        <f aca="false">IF(LEFT(T19,5)="ERROR","Check input/risk","")</f>
        <v/>
      </c>
      <c r="V19" s="0" t="n">
        <f aca="false">Settings!$B$2*C19/100</f>
        <v>0</v>
      </c>
      <c r="W19" s="0" t="n">
        <f aca="false">IF(Settings!$B$9,FLOOR(V19,Settings!$B$5),V19)</f>
        <v>0</v>
      </c>
      <c r="X19" s="0" t="n">
        <f aca="false">Settings!$B$2*E19/100</f>
        <v>0</v>
      </c>
      <c r="Y19" s="0" t="n">
        <f aca="false">IF(Settings!$B$9,CEILING(X19,Settings!$B$5),X19)</f>
        <v>0</v>
      </c>
      <c r="Z19" s="0" t="n">
        <f aca="false">Settings!$B$2*M19/100</f>
        <v>0</v>
      </c>
      <c r="AA19" s="0" t="n">
        <f aca="false">IF(Settings!$B$17,MIN(Settings!$B$2*G19/100,IF(Settings!$B$9,CEILING(MAX(0,Settings!$B$2*(H19-I19+J19)/100),Settings!$B$5),MAX(0,Settings!$B$2*(H19-I19+J19)/100))),IF(Settings!$B$9,MROUND(Z19,Settings!$B$5),Z19))</f>
        <v>0</v>
      </c>
      <c r="AB19" s="3" t="str">
        <f aca="false">IF(LEFT(T19,5)="ERROR","ERROR",IF(AND(Settings!$B$17,ABS(AA19-Z19)&gt;0.000000001),"FIXED",IF(ABS(S19)&lt;=Settings!$B$7,"SAFE","WARNING")))</f>
        <v>WARNING</v>
      </c>
      <c r="AC19" s="0" t="str">
        <f aca="false">IF(AB19="FIXED","Close adjusted by SAFE mode",IF(AB19="SAFE","BUY/SELL balance preserved",IF(AB19="WARNING","Near protection boundary","Protection broken")))</f>
        <v>Near protection boundary</v>
      </c>
      <c r="AD19" s="0" t="n">
        <f aca="false">MAX(0,Settings!$B$2*G19/100-AA19)</f>
        <v>0.1</v>
      </c>
      <c r="AE19" s="0" t="n">
        <f aca="false">SUM($W$3:W19)</f>
        <v>1.55</v>
      </c>
      <c r="AF19" s="0" t="n">
        <f aca="false">SUM($Y$3:Y19)</f>
        <v>0.75</v>
      </c>
      <c r="AG19" s="0" t="n">
        <f aca="false">AD19+AE19</f>
        <v>1.65</v>
      </c>
      <c r="AH19" s="0" t="n">
        <f aca="false">Settings!$B$2+AF19</f>
        <v>1.75</v>
      </c>
      <c r="AI19" s="0" t="n">
        <f aca="false">AH19-AG19</f>
        <v>0.0999999999999999</v>
      </c>
      <c r="AJ19" s="0" t="str">
        <f aca="false">IF(OR(AND(C19&gt;0,W19=0),AND(E19&gt;0,Y19=0),Settings!$B$2&lt;Settings!$B$5),"ERROR: LotStep too coarse",IF(AG19&gt;AH19,"ERROR: Rounded balance broken",IF(AND(J19&gt;0,AI19&lt;Settings!$B$2*J19/100),"WARNING","OK")))</f>
        <v>OK</v>
      </c>
    </row>
    <row r="20" customFormat="false" ht="14.9" hidden="false" customHeight="false" outlineLevel="0" collapsed="false">
      <c r="A20" s="0" t="n">
        <v>18</v>
      </c>
      <c r="B20" s="0" t="n">
        <f aca="false">A20*Settings!$B$3</f>
        <v>1800</v>
      </c>
      <c r="C20" s="0" t="n">
        <f aca="false">IF(A20&lt;=Settings!$B$4,IFERROR(xlookup(A20,LevelRange,BigPercentRange),0),0)</f>
        <v>0</v>
      </c>
      <c r="D20" s="0" t="n">
        <f aca="false">W20</f>
        <v>0</v>
      </c>
      <c r="E20" s="0" t="n">
        <f aca="false">IF(A20&lt;=Settings!$B$4,IFERROR(xlookup(A20,LevelRange,SmallPercentRange),0),0)</f>
        <v>0</v>
      </c>
      <c r="F20" s="0" t="n">
        <f aca="false">Y20</f>
        <v>0</v>
      </c>
      <c r="G20" s="0" t="n">
        <f aca="false">N19</f>
        <v>10</v>
      </c>
      <c r="H20" s="0" t="n">
        <f aca="false">G20+SUM($C$3:C20)</f>
        <v>165</v>
      </c>
      <c r="I20" s="0" t="n">
        <f aca="false">100+SUM($E$3:E20)</f>
        <v>175</v>
      </c>
      <c r="J20" s="0" t="n">
        <f aca="false">IF(A20&lt;=Settings!$B$4,IFERROR(xlookup(A20,LevelRange,TargetSkewRange),0),0)</f>
        <v>0</v>
      </c>
      <c r="K20" s="0" t="n">
        <f aca="false">MIN(G20,MAX(0,H20-I20+J20))</f>
        <v>0</v>
      </c>
      <c r="L20" s="0" t="str">
        <f aca="false">IF(A20&lt;=Settings!$B$4,IFERROR(xlookup(A20,LevelRange,ManualCloseRange),""),"")</f>
        <v/>
      </c>
      <c r="M20" s="0" t="n">
        <f aca="false">MIN(G20,AA20/Settings!$B$2*100)</f>
        <v>0</v>
      </c>
      <c r="N20" s="0" t="n">
        <f aca="false">G20-M20</f>
        <v>10</v>
      </c>
      <c r="O20" s="0" t="n">
        <f aca="false">SUM($C$3:C20)</f>
        <v>155</v>
      </c>
      <c r="P20" s="0" t="n">
        <f aca="false">SUM($E$3:E20)</f>
        <v>75</v>
      </c>
      <c r="Q20" s="0" t="n">
        <f aca="false">N20+O20</f>
        <v>165</v>
      </c>
      <c r="R20" s="0" t="n">
        <f aca="false">100+P20</f>
        <v>175</v>
      </c>
      <c r="S20" s="0" t="n">
        <f aca="false">R20-Q20</f>
        <v>10</v>
      </c>
      <c r="T20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Direction",IF(OR(C20&lt;0,E20&lt;0,J20&lt;0,AND(LEN(L20)&gt;0,L20&lt;0)),"ERROR: Negative input",IF(C20&lt;E20,"ERROR: Big BUY must be &gt;= Small SELL",IF(AND(LEN(L20)&gt;0,L20&gt;G20),"ERROR: ManualClose exceeds remaining Start position",IF(OR(N20&lt;0,Q20&lt;0,R20&lt;0),"ERROR: Negative totals",IF(Q20&gt;R20,"ERROR: Rounding broke protection balance",IF(S20&gt;Settings!$B$8,"WARNING: Skew exceeds recommended limit","OK")))))))))))</f>
        <v>OK</v>
      </c>
      <c r="U20" s="0" t="str">
        <f aca="false">IF(LEFT(T20,5)="ERROR","Check input/risk","")</f>
        <v/>
      </c>
      <c r="V20" s="0" t="n">
        <f aca="false">Settings!$B$2*C20/100</f>
        <v>0</v>
      </c>
      <c r="W20" s="0" t="n">
        <f aca="false">IF(Settings!$B$9,FLOOR(V20,Settings!$B$5),V20)</f>
        <v>0</v>
      </c>
      <c r="X20" s="0" t="n">
        <f aca="false">Settings!$B$2*E20/100</f>
        <v>0</v>
      </c>
      <c r="Y20" s="0" t="n">
        <f aca="false">IF(Settings!$B$9,CEILING(X20,Settings!$B$5),X20)</f>
        <v>0</v>
      </c>
      <c r="Z20" s="0" t="n">
        <f aca="false">Settings!$B$2*M20/100</f>
        <v>0</v>
      </c>
      <c r="AA20" s="0" t="n">
        <f aca="false">IF(Settings!$B$17,MIN(Settings!$B$2*G20/100,IF(Settings!$B$9,CEILING(MAX(0,Settings!$B$2*(H20-I20+J20)/100),Settings!$B$5),MAX(0,Settings!$B$2*(H20-I20+J20)/100))),IF(Settings!$B$9,MROUND(Z20,Settings!$B$5),Z20))</f>
        <v>0</v>
      </c>
      <c r="AB20" s="3" t="str">
        <f aca="false">IF(LEFT(T20,5)="ERROR","ERROR",IF(AND(Settings!$B$17,ABS(AA20-Z20)&gt;0.000000001),"FIXED",IF(ABS(S20)&lt;=Settings!$B$7,"SAFE","WARNING")))</f>
        <v>WARNING</v>
      </c>
      <c r="AC20" s="0" t="str">
        <f aca="false">IF(AB20="FIXED","Close adjusted by SAFE mode",IF(AB20="SAFE","BUY/SELL balance preserved",IF(AB20="WARNING","Near protection boundary","Protection broken")))</f>
        <v>Near protection boundary</v>
      </c>
      <c r="AD20" s="0" t="n">
        <f aca="false">MAX(0,Settings!$B$2*G20/100-AA20)</f>
        <v>0.1</v>
      </c>
      <c r="AE20" s="0" t="n">
        <f aca="false">SUM($W$3:W20)</f>
        <v>1.55</v>
      </c>
      <c r="AF20" s="0" t="n">
        <f aca="false">SUM($Y$3:Y20)</f>
        <v>0.75</v>
      </c>
      <c r="AG20" s="0" t="n">
        <f aca="false">AD20+AE20</f>
        <v>1.65</v>
      </c>
      <c r="AH20" s="0" t="n">
        <f aca="false">Settings!$B$2+AF20</f>
        <v>1.75</v>
      </c>
      <c r="AI20" s="0" t="n">
        <f aca="false">AH20-AG20</f>
        <v>0.0999999999999999</v>
      </c>
      <c r="AJ20" s="0" t="str">
        <f aca="false">IF(OR(AND(C20&gt;0,W20=0),AND(E20&gt;0,Y20=0),Settings!$B$2&lt;Settings!$B$5),"ERROR: LotStep too coarse",IF(AG20&gt;AH20,"ERROR: Rounded balance broken",IF(AND(J20&gt;0,AI20&lt;Settings!$B$2*J20/100),"WARNING","OK")))</f>
        <v>OK</v>
      </c>
    </row>
    <row r="21" customFormat="false" ht="14.9" hidden="false" customHeight="false" outlineLevel="0" collapsed="false">
      <c r="A21" s="0" t="n">
        <v>19</v>
      </c>
      <c r="B21" s="0" t="n">
        <f aca="false">A21*Settings!$B$3</f>
        <v>1900</v>
      </c>
      <c r="C21" s="0" t="n">
        <f aca="false">IF(A21&lt;=Settings!$B$4,IFERROR(xlookup(A21,LevelRange,BigPercentRange),0),0)</f>
        <v>0</v>
      </c>
      <c r="D21" s="0" t="n">
        <f aca="false">W21</f>
        <v>0</v>
      </c>
      <c r="E21" s="0" t="n">
        <f aca="false">IF(A21&lt;=Settings!$B$4,IFERROR(xlookup(A21,LevelRange,SmallPercentRange),0),0)</f>
        <v>0</v>
      </c>
      <c r="F21" s="0" t="n">
        <f aca="false">Y21</f>
        <v>0</v>
      </c>
      <c r="G21" s="0" t="n">
        <f aca="false">N20</f>
        <v>10</v>
      </c>
      <c r="H21" s="0" t="n">
        <f aca="false">G21+SUM($C$3:C21)</f>
        <v>165</v>
      </c>
      <c r="I21" s="0" t="n">
        <f aca="false">100+SUM($E$3:E21)</f>
        <v>175</v>
      </c>
      <c r="J21" s="0" t="n">
        <f aca="false">IF(A21&lt;=Settings!$B$4,IFERROR(xlookup(A21,LevelRange,TargetSkewRange),0),0)</f>
        <v>0</v>
      </c>
      <c r="K21" s="0" t="n">
        <f aca="false">MIN(G21,MAX(0,H21-I21+J21))</f>
        <v>0</v>
      </c>
      <c r="L21" s="0" t="str">
        <f aca="false">IF(A21&lt;=Settings!$B$4,IFERROR(xlookup(A21,LevelRange,ManualCloseRange),""),"")</f>
        <v/>
      </c>
      <c r="M21" s="0" t="n">
        <f aca="false">MIN(G21,AA21/Settings!$B$2*100)</f>
        <v>0</v>
      </c>
      <c r="N21" s="0" t="n">
        <f aca="false">G21-M21</f>
        <v>10</v>
      </c>
      <c r="O21" s="0" t="n">
        <f aca="false">SUM($C$3:C21)</f>
        <v>155</v>
      </c>
      <c r="P21" s="0" t="n">
        <f aca="false">SUM($E$3:E21)</f>
        <v>75</v>
      </c>
      <c r="Q21" s="0" t="n">
        <f aca="false">N21+O21</f>
        <v>165</v>
      </c>
      <c r="R21" s="0" t="n">
        <f aca="false">100+P21</f>
        <v>175</v>
      </c>
      <c r="S21" s="0" t="n">
        <f aca="false">R21-Q21</f>
        <v>10</v>
      </c>
      <c r="T21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Direction",IF(OR(C21&lt;0,E21&lt;0,J21&lt;0,AND(LEN(L21)&gt;0,L21&lt;0)),"ERROR: Negative input",IF(C21&lt;E21,"ERROR: Big BUY must be &gt;= Small SELL",IF(AND(LEN(L21)&gt;0,L21&gt;G21),"ERROR: ManualClose exceeds remaining Start position",IF(OR(N21&lt;0,Q21&lt;0,R21&lt;0),"ERROR: Negative totals",IF(Q21&gt;R21,"ERROR: Rounding broke protection balance",IF(S21&gt;Settings!$B$8,"WARNING: Skew exceeds recommended limit","OK")))))))))))</f>
        <v>OK</v>
      </c>
      <c r="U21" s="0" t="str">
        <f aca="false">IF(LEFT(T21,5)="ERROR","Check input/risk","")</f>
        <v/>
      </c>
      <c r="V21" s="0" t="n">
        <f aca="false">Settings!$B$2*C21/100</f>
        <v>0</v>
      </c>
      <c r="W21" s="0" t="n">
        <f aca="false">IF(Settings!$B$9,FLOOR(V21,Settings!$B$5),V21)</f>
        <v>0</v>
      </c>
      <c r="X21" s="0" t="n">
        <f aca="false">Settings!$B$2*E21/100</f>
        <v>0</v>
      </c>
      <c r="Y21" s="0" t="n">
        <f aca="false">IF(Settings!$B$9,CEILING(X21,Settings!$B$5),X21)</f>
        <v>0</v>
      </c>
      <c r="Z21" s="0" t="n">
        <f aca="false">Settings!$B$2*M21/100</f>
        <v>0</v>
      </c>
      <c r="AA21" s="0" t="n">
        <f aca="false">IF(Settings!$B$17,MIN(Settings!$B$2*G21/100,IF(Settings!$B$9,CEILING(MAX(0,Settings!$B$2*(H21-I21+J21)/100),Settings!$B$5),MAX(0,Settings!$B$2*(H21-I21+J21)/100))),IF(Settings!$B$9,MROUND(Z21,Settings!$B$5),Z21))</f>
        <v>0</v>
      </c>
      <c r="AB21" s="3" t="str">
        <f aca="false">IF(LEFT(T21,5)="ERROR","ERROR",IF(AND(Settings!$B$17,ABS(AA21-Z21)&gt;0.000000001),"FIXED",IF(ABS(S21)&lt;=Settings!$B$7,"SAFE","WARNING")))</f>
        <v>WARNING</v>
      </c>
      <c r="AC21" s="0" t="str">
        <f aca="false">IF(AB21="FIXED","Close adjusted by SAFE mode",IF(AB21="SAFE","BUY/SELL balance preserved",IF(AB21="WARNING","Near protection boundary","Protection broken")))</f>
        <v>Near protection boundary</v>
      </c>
      <c r="AD21" s="0" t="n">
        <f aca="false">MAX(0,Settings!$B$2*G21/100-AA21)</f>
        <v>0.1</v>
      </c>
      <c r="AE21" s="0" t="n">
        <f aca="false">SUM($W$3:W21)</f>
        <v>1.55</v>
      </c>
      <c r="AF21" s="0" t="n">
        <f aca="false">SUM($Y$3:Y21)</f>
        <v>0.75</v>
      </c>
      <c r="AG21" s="0" t="n">
        <f aca="false">AD21+AE21</f>
        <v>1.65</v>
      </c>
      <c r="AH21" s="0" t="n">
        <f aca="false">Settings!$B$2+AF21</f>
        <v>1.75</v>
      </c>
      <c r="AI21" s="0" t="n">
        <f aca="false">AH21-AG21</f>
        <v>0.0999999999999999</v>
      </c>
      <c r="AJ21" s="0" t="str">
        <f aca="false">IF(OR(AND(C21&gt;0,W21=0),AND(E21&gt;0,Y21=0),Settings!$B$2&lt;Settings!$B$5),"ERROR: LotStep too coarse",IF(AG21&gt;AH21,"ERROR: Rounded balance broken",IF(AND(J21&gt;0,AI21&lt;Settings!$B$2*J21/100),"WARNING","OK")))</f>
        <v>OK</v>
      </c>
    </row>
    <row r="22" customFormat="false" ht="14.9" hidden="false" customHeight="false" outlineLevel="0" collapsed="false">
      <c r="A22" s="0" t="n">
        <v>20</v>
      </c>
      <c r="B22" s="0" t="n">
        <f aca="false">A22*Settings!$B$3</f>
        <v>2000</v>
      </c>
      <c r="C22" s="0" t="n">
        <f aca="false">IF(A22&lt;=Settings!$B$4,IFERROR(xlookup(A22,LevelRange,BigPercentRange),0),0)</f>
        <v>0</v>
      </c>
      <c r="D22" s="0" t="n">
        <f aca="false">W22</f>
        <v>0</v>
      </c>
      <c r="E22" s="0" t="n">
        <f aca="false">IF(A22&lt;=Settings!$B$4,IFERROR(xlookup(A22,LevelRange,SmallPercentRange),0),0)</f>
        <v>0</v>
      </c>
      <c r="F22" s="0" t="n">
        <f aca="false">Y22</f>
        <v>0</v>
      </c>
      <c r="G22" s="0" t="n">
        <f aca="false">N21</f>
        <v>10</v>
      </c>
      <c r="H22" s="0" t="n">
        <f aca="false">G22+SUM($C$3:C22)</f>
        <v>165</v>
      </c>
      <c r="I22" s="0" t="n">
        <f aca="false">100+SUM($E$3:E22)</f>
        <v>175</v>
      </c>
      <c r="J22" s="0" t="n">
        <f aca="false">IF(A22&lt;=Settings!$B$4,IFERROR(xlookup(A22,LevelRange,TargetSkewRange),0),0)</f>
        <v>0</v>
      </c>
      <c r="K22" s="0" t="n">
        <f aca="false">MIN(G22,MAX(0,H22-I22+J22))</f>
        <v>0</v>
      </c>
      <c r="L22" s="0" t="str">
        <f aca="false">IF(A22&lt;=Settings!$B$4,IFERROR(xlookup(A22,LevelRange,ManualCloseRange),""),"")</f>
        <v/>
      </c>
      <c r="M22" s="0" t="n">
        <f aca="false">MIN(G22,AA22/Settings!$B$2*100)</f>
        <v>0</v>
      </c>
      <c r="N22" s="0" t="n">
        <f aca="false">G22-M22</f>
        <v>10</v>
      </c>
      <c r="O22" s="0" t="n">
        <f aca="false">SUM($C$3:C22)</f>
        <v>155</v>
      </c>
      <c r="P22" s="0" t="n">
        <f aca="false">SUM($E$3:E22)</f>
        <v>75</v>
      </c>
      <c r="Q22" s="0" t="n">
        <f aca="false">N22+O22</f>
        <v>165</v>
      </c>
      <c r="R22" s="0" t="n">
        <f aca="false">100+P22</f>
        <v>175</v>
      </c>
      <c r="S22" s="0" t="n">
        <f aca="false">R22-Q22</f>
        <v>10</v>
      </c>
      <c r="T22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Direction",IF(OR(C22&lt;0,E22&lt;0,J22&lt;0,AND(LEN(L22)&gt;0,L22&lt;0)),"ERROR: Negative input",IF(C22&lt;E22,"ERROR: Big BUY must be &gt;= Small SELL",IF(AND(LEN(L22)&gt;0,L22&gt;G22),"ERROR: ManualClose exceeds remaining Start position",IF(OR(N22&lt;0,Q22&lt;0,R22&lt;0),"ERROR: Negative totals",IF(Q22&gt;R22,"ERROR: Rounding broke protection balance",IF(S22&gt;Settings!$B$8,"WARNING: Skew exceeds recommended limit","OK")))))))))))</f>
        <v>OK</v>
      </c>
      <c r="U22" s="0" t="str">
        <f aca="false">IF(LEFT(T22,5)="ERROR","Check input/risk","")</f>
        <v/>
      </c>
      <c r="V22" s="0" t="n">
        <f aca="false">Settings!$B$2*C22/100</f>
        <v>0</v>
      </c>
      <c r="W22" s="0" t="n">
        <f aca="false">IF(Settings!$B$9,FLOOR(V22,Settings!$B$5),V22)</f>
        <v>0</v>
      </c>
      <c r="X22" s="0" t="n">
        <f aca="false">Settings!$B$2*E22/100</f>
        <v>0</v>
      </c>
      <c r="Y22" s="0" t="n">
        <f aca="false">IF(Settings!$B$9,CEILING(X22,Settings!$B$5),X22)</f>
        <v>0</v>
      </c>
      <c r="Z22" s="0" t="n">
        <f aca="false">Settings!$B$2*M22/100</f>
        <v>0</v>
      </c>
      <c r="AA22" s="0" t="n">
        <f aca="false">IF(Settings!$B$17,MIN(Settings!$B$2*G22/100,IF(Settings!$B$9,CEILING(MAX(0,Settings!$B$2*(H22-I22+J22)/100),Settings!$B$5),MAX(0,Settings!$B$2*(H22-I22+J22)/100))),IF(Settings!$B$9,MROUND(Z22,Settings!$B$5),Z22))</f>
        <v>0</v>
      </c>
      <c r="AB22" s="3" t="str">
        <f aca="false">IF(LEFT(T22,5)="ERROR","ERROR",IF(AND(Settings!$B$17,ABS(AA22-Z22)&gt;0.000000001),"FIXED",IF(ABS(S22)&lt;=Settings!$B$7,"SAFE","WARNING")))</f>
        <v>WARNING</v>
      </c>
      <c r="AC22" s="0" t="str">
        <f aca="false">IF(AB22="FIXED","Close adjusted by SAFE mode",IF(AB22="SAFE","BUY/SELL balance preserved",IF(AB22="WARNING","Near protection boundary","Protection broken")))</f>
        <v>Near protection boundary</v>
      </c>
      <c r="AD22" s="0" t="n">
        <f aca="false">MAX(0,Settings!$B$2*G22/100-AA22)</f>
        <v>0.1</v>
      </c>
      <c r="AE22" s="0" t="n">
        <f aca="false">SUM($W$3:W22)</f>
        <v>1.55</v>
      </c>
      <c r="AF22" s="0" t="n">
        <f aca="false">SUM($Y$3:Y22)</f>
        <v>0.75</v>
      </c>
      <c r="AG22" s="0" t="n">
        <f aca="false">AD22+AE22</f>
        <v>1.65</v>
      </c>
      <c r="AH22" s="0" t="n">
        <f aca="false">Settings!$B$2+AF22</f>
        <v>1.75</v>
      </c>
      <c r="AI22" s="0" t="n">
        <f aca="false">AH22-AG22</f>
        <v>0.0999999999999999</v>
      </c>
      <c r="AJ22" s="0" t="str">
        <f aca="false">IF(OR(AND(C22&gt;0,W22=0),AND(E22&gt;0,Y22=0),Settings!$B$2&lt;Settings!$B$5),"ERROR: LotStep too coarse",IF(AG22&gt;AH22,"ERROR: Rounded balance broken",IF(AND(J22&gt;0,AI22&lt;Settings!$B$2*J22/100),"WARNING","OK")))</f>
        <v>OK</v>
      </c>
    </row>
    <row r="23" customFormat="false" ht="14.9" hidden="false" customHeight="false" outlineLevel="0" collapsed="false">
      <c r="A23" s="0" t="n">
        <v>21</v>
      </c>
      <c r="B23" s="0" t="n">
        <f aca="false">A23*Settings!$B$3</f>
        <v>2100</v>
      </c>
      <c r="C23" s="0" t="n">
        <f aca="false">IF(A23&lt;=Settings!$B$4,IFERROR(xlookup(A23,LevelRange,BigPercentRange),0),0)</f>
        <v>0</v>
      </c>
      <c r="D23" s="0" t="n">
        <f aca="false">W23</f>
        <v>0</v>
      </c>
      <c r="E23" s="0" t="n">
        <f aca="false">IF(A23&lt;=Settings!$B$4,IFERROR(xlookup(A23,LevelRange,SmallPercentRange),0),0)</f>
        <v>0</v>
      </c>
      <c r="F23" s="0" t="n">
        <f aca="false">Y23</f>
        <v>0</v>
      </c>
      <c r="G23" s="0" t="n">
        <f aca="false">N22</f>
        <v>10</v>
      </c>
      <c r="H23" s="0" t="n">
        <f aca="false">G23+SUM($C$3:C23)</f>
        <v>165</v>
      </c>
      <c r="I23" s="0" t="n">
        <f aca="false">100+SUM($E$3:E23)</f>
        <v>175</v>
      </c>
      <c r="J23" s="0" t="n">
        <f aca="false">IF(A23&lt;=Settings!$B$4,IFERROR(xlookup(A23,LevelRange,TargetSkewRange),0),0)</f>
        <v>0</v>
      </c>
      <c r="K23" s="0" t="n">
        <f aca="false">MIN(G23,MAX(0,H23-I23+J23))</f>
        <v>0</v>
      </c>
      <c r="L23" s="0" t="str">
        <f aca="false">IF(A23&lt;=Settings!$B$4,IFERROR(xlookup(A23,LevelRange,ManualCloseRange),""),"")</f>
        <v/>
      </c>
      <c r="M23" s="0" t="n">
        <f aca="false">MIN(G23,AA23/Settings!$B$2*100)</f>
        <v>0</v>
      </c>
      <c r="N23" s="0" t="n">
        <f aca="false">G23-M23</f>
        <v>10</v>
      </c>
      <c r="O23" s="0" t="n">
        <f aca="false">SUM($C$3:C23)</f>
        <v>155</v>
      </c>
      <c r="P23" s="0" t="n">
        <f aca="false">SUM($E$3:E23)</f>
        <v>75</v>
      </c>
      <c r="Q23" s="0" t="n">
        <f aca="false">N23+O23</f>
        <v>165</v>
      </c>
      <c r="R23" s="0" t="n">
        <f aca="false">100+P23</f>
        <v>175</v>
      </c>
      <c r="S23" s="0" t="n">
        <f aca="false">R23-Q23</f>
        <v>10</v>
      </c>
      <c r="T23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Direction",IF(OR(C23&lt;0,E23&lt;0,J23&lt;0,AND(LEN(L23)&gt;0,L23&lt;0)),"ERROR: Negative input",IF(C23&lt;E23,"ERROR: Big BUY must be &gt;= Small SELL",IF(AND(LEN(L23)&gt;0,L23&gt;G23),"ERROR: ManualClose exceeds remaining Start position",IF(OR(N23&lt;0,Q23&lt;0,R23&lt;0),"ERROR: Negative totals",IF(Q23&gt;R23,"ERROR: Rounding broke protection balance",IF(S23&gt;Settings!$B$8,"WARNING: Skew exceeds recommended limit","OK")))))))))))</f>
        <v>OK</v>
      </c>
      <c r="U23" s="0" t="str">
        <f aca="false">IF(LEFT(T23,5)="ERROR","Check input/risk","")</f>
        <v/>
      </c>
      <c r="V23" s="0" t="n">
        <f aca="false">Settings!$B$2*C23/100</f>
        <v>0</v>
      </c>
      <c r="W23" s="0" t="n">
        <f aca="false">IF(Settings!$B$9,FLOOR(V23,Settings!$B$5),V23)</f>
        <v>0</v>
      </c>
      <c r="X23" s="0" t="n">
        <f aca="false">Settings!$B$2*E23/100</f>
        <v>0</v>
      </c>
      <c r="Y23" s="0" t="n">
        <f aca="false">IF(Settings!$B$9,CEILING(X23,Settings!$B$5),X23)</f>
        <v>0</v>
      </c>
      <c r="Z23" s="0" t="n">
        <f aca="false">Settings!$B$2*M23/100</f>
        <v>0</v>
      </c>
      <c r="AA23" s="0" t="n">
        <f aca="false">IF(Settings!$B$17,MIN(Settings!$B$2*G23/100,IF(Settings!$B$9,CEILING(MAX(0,Settings!$B$2*(H23-I23+J23)/100),Settings!$B$5),MAX(0,Settings!$B$2*(H23-I23+J23)/100))),IF(Settings!$B$9,MROUND(Z23,Settings!$B$5),Z23))</f>
        <v>0</v>
      </c>
      <c r="AB23" s="3" t="str">
        <f aca="false">IF(LEFT(T23,5)="ERROR","ERROR",IF(AND(Settings!$B$17,ABS(AA23-Z23)&gt;0.000000001),"FIXED",IF(ABS(S23)&lt;=Settings!$B$7,"SAFE","WARNING")))</f>
        <v>WARNING</v>
      </c>
      <c r="AC23" s="0" t="str">
        <f aca="false">IF(AB23="FIXED","Close adjusted by SAFE mode",IF(AB23="SAFE","BUY/SELL balance preserved",IF(AB23="WARNING","Near protection boundary","Protection broken")))</f>
        <v>Near protection boundary</v>
      </c>
      <c r="AD23" s="0" t="n">
        <f aca="false">MAX(0,Settings!$B$2*G23/100-AA23)</f>
        <v>0.1</v>
      </c>
      <c r="AE23" s="0" t="n">
        <f aca="false">SUM($W$3:W23)</f>
        <v>1.55</v>
      </c>
      <c r="AF23" s="0" t="n">
        <f aca="false">SUM($Y$3:Y23)</f>
        <v>0.75</v>
      </c>
      <c r="AG23" s="0" t="n">
        <f aca="false">AD23+AE23</f>
        <v>1.65</v>
      </c>
      <c r="AH23" s="0" t="n">
        <f aca="false">Settings!$B$2+AF23</f>
        <v>1.75</v>
      </c>
      <c r="AI23" s="0" t="n">
        <f aca="false">AH23-AG23</f>
        <v>0.0999999999999999</v>
      </c>
      <c r="AJ23" s="0" t="str">
        <f aca="false">IF(OR(AND(C23&gt;0,W23=0),AND(E23&gt;0,Y23=0),Settings!$B$2&lt;Settings!$B$5),"ERROR: LotStep too coarse",IF(AG23&gt;AH23,"ERROR: Rounded balance broken",IF(AND(J23&gt;0,AI23&lt;Settings!$B$2*J23/100),"WARNING","OK")))</f>
        <v>OK</v>
      </c>
    </row>
    <row r="24" customFormat="false" ht="14.9" hidden="false" customHeight="false" outlineLevel="0" collapsed="false">
      <c r="A24" s="0" t="n">
        <v>22</v>
      </c>
      <c r="B24" s="0" t="n">
        <f aca="false">A24*Settings!$B$3</f>
        <v>2200</v>
      </c>
      <c r="C24" s="0" t="n">
        <f aca="false">IF(A24&lt;=Settings!$B$4,IFERROR(xlookup(A24,LevelRange,BigPercentRange),0),0)</f>
        <v>0</v>
      </c>
      <c r="D24" s="0" t="n">
        <f aca="false">W24</f>
        <v>0</v>
      </c>
      <c r="E24" s="0" t="n">
        <f aca="false">IF(A24&lt;=Settings!$B$4,IFERROR(xlookup(A24,LevelRange,SmallPercentRange),0),0)</f>
        <v>0</v>
      </c>
      <c r="F24" s="0" t="n">
        <f aca="false">Y24</f>
        <v>0</v>
      </c>
      <c r="G24" s="0" t="n">
        <f aca="false">N23</f>
        <v>10</v>
      </c>
      <c r="H24" s="0" t="n">
        <f aca="false">G24+SUM($C$3:C24)</f>
        <v>165</v>
      </c>
      <c r="I24" s="0" t="n">
        <f aca="false">100+SUM($E$3:E24)</f>
        <v>175</v>
      </c>
      <c r="J24" s="0" t="n">
        <f aca="false">IF(A24&lt;=Settings!$B$4,IFERROR(xlookup(A24,LevelRange,TargetSkewRange),0),0)</f>
        <v>0</v>
      </c>
      <c r="K24" s="0" t="n">
        <f aca="false">MIN(G24,MAX(0,H24-I24+J24))</f>
        <v>0</v>
      </c>
      <c r="L24" s="0" t="str">
        <f aca="false">IF(A24&lt;=Settings!$B$4,IFERROR(xlookup(A24,LevelRange,ManualCloseRange),""),"")</f>
        <v/>
      </c>
      <c r="M24" s="0" t="n">
        <f aca="false">MIN(G24,AA24/Settings!$B$2*100)</f>
        <v>0</v>
      </c>
      <c r="N24" s="0" t="n">
        <f aca="false">G24-M24</f>
        <v>10</v>
      </c>
      <c r="O24" s="0" t="n">
        <f aca="false">SUM($C$3:C24)</f>
        <v>155</v>
      </c>
      <c r="P24" s="0" t="n">
        <f aca="false">SUM($E$3:E24)</f>
        <v>75</v>
      </c>
      <c r="Q24" s="0" t="n">
        <f aca="false">N24+O24</f>
        <v>165</v>
      </c>
      <c r="R24" s="0" t="n">
        <f aca="false">100+P24</f>
        <v>175</v>
      </c>
      <c r="S24" s="0" t="n">
        <f aca="false">R24-Q24</f>
        <v>10</v>
      </c>
      <c r="T24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Direction",IF(OR(C24&lt;0,E24&lt;0,J24&lt;0,AND(LEN(L24)&gt;0,L24&lt;0)),"ERROR: Negative input",IF(C24&lt;E24,"ERROR: Big BUY must be &gt;= Small SELL",IF(AND(LEN(L24)&gt;0,L24&gt;G24),"ERROR: ManualClose exceeds remaining Start position",IF(OR(N24&lt;0,Q24&lt;0,R24&lt;0),"ERROR: Negative totals",IF(Q24&gt;R24,"ERROR: Rounding broke protection balance",IF(S24&gt;Settings!$B$8,"WARNING: Skew exceeds recommended limit","OK")))))))))))</f>
        <v>OK</v>
      </c>
      <c r="U24" s="0" t="str">
        <f aca="false">IF(LEFT(T24,5)="ERROR","Check input/risk","")</f>
        <v/>
      </c>
      <c r="V24" s="0" t="n">
        <f aca="false">Settings!$B$2*C24/100</f>
        <v>0</v>
      </c>
      <c r="W24" s="0" t="n">
        <f aca="false">IF(Settings!$B$9,FLOOR(V24,Settings!$B$5),V24)</f>
        <v>0</v>
      </c>
      <c r="X24" s="0" t="n">
        <f aca="false">Settings!$B$2*E24/100</f>
        <v>0</v>
      </c>
      <c r="Y24" s="0" t="n">
        <f aca="false">IF(Settings!$B$9,CEILING(X24,Settings!$B$5),X24)</f>
        <v>0</v>
      </c>
      <c r="Z24" s="0" t="n">
        <f aca="false">Settings!$B$2*M24/100</f>
        <v>0</v>
      </c>
      <c r="AA24" s="0" t="n">
        <f aca="false">IF(Settings!$B$17,MIN(Settings!$B$2*G24/100,IF(Settings!$B$9,CEILING(MAX(0,Settings!$B$2*(H24-I24+J24)/100),Settings!$B$5),MAX(0,Settings!$B$2*(H24-I24+J24)/100))),IF(Settings!$B$9,MROUND(Z24,Settings!$B$5),Z24))</f>
        <v>0</v>
      </c>
      <c r="AB24" s="3" t="str">
        <f aca="false">IF(LEFT(T24,5)="ERROR","ERROR",IF(AND(Settings!$B$17,ABS(AA24-Z24)&gt;0.000000001),"FIXED",IF(ABS(S24)&lt;=Settings!$B$7,"SAFE","WARNING")))</f>
        <v>WARNING</v>
      </c>
      <c r="AC24" s="0" t="str">
        <f aca="false">IF(AB24="FIXED","Close adjusted by SAFE mode",IF(AB24="SAFE","BUY/SELL balance preserved",IF(AB24="WARNING","Near protection boundary","Protection broken")))</f>
        <v>Near protection boundary</v>
      </c>
      <c r="AD24" s="0" t="n">
        <f aca="false">MAX(0,Settings!$B$2*G24/100-AA24)</f>
        <v>0.1</v>
      </c>
      <c r="AE24" s="0" t="n">
        <f aca="false">SUM($W$3:W24)</f>
        <v>1.55</v>
      </c>
      <c r="AF24" s="0" t="n">
        <f aca="false">SUM($Y$3:Y24)</f>
        <v>0.75</v>
      </c>
      <c r="AG24" s="0" t="n">
        <f aca="false">AD24+AE24</f>
        <v>1.65</v>
      </c>
      <c r="AH24" s="0" t="n">
        <f aca="false">Settings!$B$2+AF24</f>
        <v>1.75</v>
      </c>
      <c r="AI24" s="0" t="n">
        <f aca="false">AH24-AG24</f>
        <v>0.0999999999999999</v>
      </c>
      <c r="AJ24" s="0" t="str">
        <f aca="false">IF(OR(AND(C24&gt;0,W24=0),AND(E24&gt;0,Y24=0),Settings!$B$2&lt;Settings!$B$5),"ERROR: LotStep too coarse",IF(AG24&gt;AH24,"ERROR: Rounded balance broken",IF(AND(J24&gt;0,AI24&lt;Settings!$B$2*J24/100),"WARNING","OK")))</f>
        <v>OK</v>
      </c>
    </row>
    <row r="25" customFormat="false" ht="14.9" hidden="false" customHeight="false" outlineLevel="0" collapsed="false">
      <c r="A25" s="0" t="n">
        <v>23</v>
      </c>
      <c r="B25" s="0" t="n">
        <f aca="false">A25*Settings!$B$3</f>
        <v>2300</v>
      </c>
      <c r="C25" s="0" t="n">
        <f aca="false">IF(A25&lt;=Settings!$B$4,IFERROR(xlookup(A25,LevelRange,BigPercentRange),0),0)</f>
        <v>0</v>
      </c>
      <c r="D25" s="0" t="n">
        <f aca="false">W25</f>
        <v>0</v>
      </c>
      <c r="E25" s="0" t="n">
        <f aca="false">IF(A25&lt;=Settings!$B$4,IFERROR(xlookup(A25,LevelRange,SmallPercentRange),0),0)</f>
        <v>0</v>
      </c>
      <c r="F25" s="0" t="n">
        <f aca="false">Y25</f>
        <v>0</v>
      </c>
      <c r="G25" s="0" t="n">
        <f aca="false">N24</f>
        <v>10</v>
      </c>
      <c r="H25" s="0" t="n">
        <f aca="false">G25+SUM($C$3:C25)</f>
        <v>165</v>
      </c>
      <c r="I25" s="0" t="n">
        <f aca="false">100+SUM($E$3:E25)</f>
        <v>175</v>
      </c>
      <c r="J25" s="0" t="n">
        <f aca="false">IF(A25&lt;=Settings!$B$4,IFERROR(xlookup(A25,LevelRange,TargetSkewRange),0),0)</f>
        <v>0</v>
      </c>
      <c r="K25" s="0" t="n">
        <f aca="false">MIN(G25,MAX(0,H25-I25+J25))</f>
        <v>0</v>
      </c>
      <c r="L25" s="0" t="str">
        <f aca="false">IF(A25&lt;=Settings!$B$4,IFERROR(xlookup(A25,LevelRange,ManualCloseRange),""),"")</f>
        <v/>
      </c>
      <c r="M25" s="0" t="n">
        <f aca="false">MIN(G25,AA25/Settings!$B$2*100)</f>
        <v>0</v>
      </c>
      <c r="N25" s="0" t="n">
        <f aca="false">G25-M25</f>
        <v>10</v>
      </c>
      <c r="O25" s="0" t="n">
        <f aca="false">SUM($C$3:C25)</f>
        <v>155</v>
      </c>
      <c r="P25" s="0" t="n">
        <f aca="false">SUM($E$3:E25)</f>
        <v>75</v>
      </c>
      <c r="Q25" s="0" t="n">
        <f aca="false">N25+O25</f>
        <v>165</v>
      </c>
      <c r="R25" s="0" t="n">
        <f aca="false">100+P25</f>
        <v>175</v>
      </c>
      <c r="S25" s="0" t="n">
        <f aca="false">R25-Q25</f>
        <v>10</v>
      </c>
      <c r="T25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Direction",IF(OR(C25&lt;0,E25&lt;0,J25&lt;0,AND(LEN(L25)&gt;0,L25&lt;0)),"ERROR: Negative input",IF(C25&lt;E25,"ERROR: Big BUY must be &gt;= Small SELL",IF(AND(LEN(L25)&gt;0,L25&gt;G25),"ERROR: ManualClose exceeds remaining Start position",IF(OR(N25&lt;0,Q25&lt;0,R25&lt;0),"ERROR: Negative totals",IF(Q25&gt;R25,"ERROR: Rounding broke protection balance",IF(S25&gt;Settings!$B$8,"WARNING: Skew exceeds recommended limit","OK")))))))))))</f>
        <v>OK</v>
      </c>
      <c r="U25" s="0" t="str">
        <f aca="false">IF(LEFT(T25,5)="ERROR","Check input/risk","")</f>
        <v/>
      </c>
      <c r="V25" s="0" t="n">
        <f aca="false">Settings!$B$2*C25/100</f>
        <v>0</v>
      </c>
      <c r="W25" s="0" t="n">
        <f aca="false">IF(Settings!$B$9,FLOOR(V25,Settings!$B$5),V25)</f>
        <v>0</v>
      </c>
      <c r="X25" s="0" t="n">
        <f aca="false">Settings!$B$2*E25/100</f>
        <v>0</v>
      </c>
      <c r="Y25" s="0" t="n">
        <f aca="false">IF(Settings!$B$9,CEILING(X25,Settings!$B$5),X25)</f>
        <v>0</v>
      </c>
      <c r="Z25" s="0" t="n">
        <f aca="false">Settings!$B$2*M25/100</f>
        <v>0</v>
      </c>
      <c r="AA25" s="0" t="n">
        <f aca="false">IF(Settings!$B$17,MIN(Settings!$B$2*G25/100,IF(Settings!$B$9,CEILING(MAX(0,Settings!$B$2*(H25-I25+J25)/100),Settings!$B$5),MAX(0,Settings!$B$2*(H25-I25+J25)/100))),IF(Settings!$B$9,MROUND(Z25,Settings!$B$5),Z25))</f>
        <v>0</v>
      </c>
      <c r="AB25" s="3" t="str">
        <f aca="false">IF(LEFT(T25,5)="ERROR","ERROR",IF(AND(Settings!$B$17,ABS(AA25-Z25)&gt;0.000000001),"FIXED",IF(ABS(S25)&lt;=Settings!$B$7,"SAFE","WARNING")))</f>
        <v>WARNING</v>
      </c>
      <c r="AC25" s="0" t="str">
        <f aca="false">IF(AB25="FIXED","Close adjusted by SAFE mode",IF(AB25="SAFE","BUY/SELL balance preserved",IF(AB25="WARNING","Near protection boundary","Protection broken")))</f>
        <v>Near protection boundary</v>
      </c>
      <c r="AD25" s="0" t="n">
        <f aca="false">MAX(0,Settings!$B$2*G25/100-AA25)</f>
        <v>0.1</v>
      </c>
      <c r="AE25" s="0" t="n">
        <f aca="false">SUM($W$3:W25)</f>
        <v>1.55</v>
      </c>
      <c r="AF25" s="0" t="n">
        <f aca="false">SUM($Y$3:Y25)</f>
        <v>0.75</v>
      </c>
      <c r="AG25" s="0" t="n">
        <f aca="false">AD25+AE25</f>
        <v>1.65</v>
      </c>
      <c r="AH25" s="0" t="n">
        <f aca="false">Settings!$B$2+AF25</f>
        <v>1.75</v>
      </c>
      <c r="AI25" s="0" t="n">
        <f aca="false">AH25-AG25</f>
        <v>0.0999999999999999</v>
      </c>
      <c r="AJ25" s="0" t="str">
        <f aca="false">IF(OR(AND(C25&gt;0,W25=0),AND(E25&gt;0,Y25=0),Settings!$B$2&lt;Settings!$B$5),"ERROR: LotStep too coarse",IF(AG25&gt;AH25,"ERROR: Rounded balance broken",IF(AND(J25&gt;0,AI25&lt;Settings!$B$2*J25/100),"WARNING","OK")))</f>
        <v>OK</v>
      </c>
    </row>
    <row r="26" customFormat="false" ht="14.9" hidden="false" customHeight="false" outlineLevel="0" collapsed="false">
      <c r="A26" s="0" t="n">
        <v>24</v>
      </c>
      <c r="B26" s="0" t="n">
        <f aca="false">A26*Settings!$B$3</f>
        <v>2400</v>
      </c>
      <c r="C26" s="0" t="n">
        <f aca="false">IF(A26&lt;=Settings!$B$4,IFERROR(xlookup(A26,LevelRange,BigPercentRange),0),0)</f>
        <v>0</v>
      </c>
      <c r="D26" s="0" t="n">
        <f aca="false">W26</f>
        <v>0</v>
      </c>
      <c r="E26" s="0" t="n">
        <f aca="false">IF(A26&lt;=Settings!$B$4,IFERROR(xlookup(A26,LevelRange,SmallPercentRange),0),0)</f>
        <v>0</v>
      </c>
      <c r="F26" s="0" t="n">
        <f aca="false">Y26</f>
        <v>0</v>
      </c>
      <c r="G26" s="0" t="n">
        <f aca="false">N25</f>
        <v>10</v>
      </c>
      <c r="H26" s="0" t="n">
        <f aca="false">G26+SUM($C$3:C26)</f>
        <v>165</v>
      </c>
      <c r="I26" s="0" t="n">
        <f aca="false">100+SUM($E$3:E26)</f>
        <v>175</v>
      </c>
      <c r="J26" s="0" t="n">
        <f aca="false">IF(A26&lt;=Settings!$B$4,IFERROR(xlookup(A26,LevelRange,TargetSkewRange),0),0)</f>
        <v>0</v>
      </c>
      <c r="K26" s="0" t="n">
        <f aca="false">MIN(G26,MAX(0,H26-I26+J26))</f>
        <v>0</v>
      </c>
      <c r="L26" s="0" t="str">
        <f aca="false">IF(A26&lt;=Settings!$B$4,IFERROR(xlookup(A26,LevelRange,ManualCloseRange),""),"")</f>
        <v/>
      </c>
      <c r="M26" s="0" t="n">
        <f aca="false">MIN(G26,AA26/Settings!$B$2*100)</f>
        <v>0</v>
      </c>
      <c r="N26" s="0" t="n">
        <f aca="false">G26-M26</f>
        <v>10</v>
      </c>
      <c r="O26" s="0" t="n">
        <f aca="false">SUM($C$3:C26)</f>
        <v>155</v>
      </c>
      <c r="P26" s="0" t="n">
        <f aca="false">SUM($E$3:E26)</f>
        <v>75</v>
      </c>
      <c r="Q26" s="0" t="n">
        <f aca="false">N26+O26</f>
        <v>165</v>
      </c>
      <c r="R26" s="0" t="n">
        <f aca="false">100+P26</f>
        <v>175</v>
      </c>
      <c r="S26" s="0" t="n">
        <f aca="false">R26-Q26</f>
        <v>10</v>
      </c>
      <c r="T26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Direction",IF(OR(C26&lt;0,E26&lt;0,J26&lt;0,AND(LEN(L26)&gt;0,L26&lt;0)),"ERROR: Negative input",IF(C26&lt;E26,"ERROR: Big BUY must be &gt;= Small SELL",IF(AND(LEN(L26)&gt;0,L26&gt;G26),"ERROR: ManualClose exceeds remaining Start position",IF(OR(N26&lt;0,Q26&lt;0,R26&lt;0),"ERROR: Negative totals",IF(Q26&gt;R26,"ERROR: Rounding broke protection balance",IF(S26&gt;Settings!$B$8,"WARNING: Skew exceeds recommended limit","OK")))))))))))</f>
        <v>OK</v>
      </c>
      <c r="U26" s="0" t="str">
        <f aca="false">IF(LEFT(T26,5)="ERROR","Check input/risk","")</f>
        <v/>
      </c>
      <c r="V26" s="0" t="n">
        <f aca="false">Settings!$B$2*C26/100</f>
        <v>0</v>
      </c>
      <c r="W26" s="0" t="n">
        <f aca="false">IF(Settings!$B$9,FLOOR(V26,Settings!$B$5),V26)</f>
        <v>0</v>
      </c>
      <c r="X26" s="0" t="n">
        <f aca="false">Settings!$B$2*E26/100</f>
        <v>0</v>
      </c>
      <c r="Y26" s="0" t="n">
        <f aca="false">IF(Settings!$B$9,CEILING(X26,Settings!$B$5),X26)</f>
        <v>0</v>
      </c>
      <c r="Z26" s="0" t="n">
        <f aca="false">Settings!$B$2*M26/100</f>
        <v>0</v>
      </c>
      <c r="AA26" s="0" t="n">
        <f aca="false">IF(Settings!$B$17,MIN(Settings!$B$2*G26/100,IF(Settings!$B$9,CEILING(MAX(0,Settings!$B$2*(H26-I26+J26)/100),Settings!$B$5),MAX(0,Settings!$B$2*(H26-I26+J26)/100))),IF(Settings!$B$9,MROUND(Z26,Settings!$B$5),Z26))</f>
        <v>0</v>
      </c>
      <c r="AB26" s="3" t="str">
        <f aca="false">IF(LEFT(T26,5)="ERROR","ERROR",IF(AND(Settings!$B$17,ABS(AA26-Z26)&gt;0.000000001),"FIXED",IF(ABS(S26)&lt;=Settings!$B$7,"SAFE","WARNING")))</f>
        <v>WARNING</v>
      </c>
      <c r="AC26" s="0" t="str">
        <f aca="false">IF(AB26="FIXED","Close adjusted by SAFE mode",IF(AB26="SAFE","BUY/SELL balance preserved",IF(AB26="WARNING","Near protection boundary","Protection broken")))</f>
        <v>Near protection boundary</v>
      </c>
      <c r="AD26" s="0" t="n">
        <f aca="false">MAX(0,Settings!$B$2*G26/100-AA26)</f>
        <v>0.1</v>
      </c>
      <c r="AE26" s="0" t="n">
        <f aca="false">SUM($W$3:W26)</f>
        <v>1.55</v>
      </c>
      <c r="AF26" s="0" t="n">
        <f aca="false">SUM($Y$3:Y26)</f>
        <v>0.75</v>
      </c>
      <c r="AG26" s="0" t="n">
        <f aca="false">AD26+AE26</f>
        <v>1.65</v>
      </c>
      <c r="AH26" s="0" t="n">
        <f aca="false">Settings!$B$2+AF26</f>
        <v>1.75</v>
      </c>
      <c r="AI26" s="0" t="n">
        <f aca="false">AH26-AG26</f>
        <v>0.0999999999999999</v>
      </c>
      <c r="AJ26" s="0" t="str">
        <f aca="false">IF(OR(AND(C26&gt;0,W26=0),AND(E26&gt;0,Y26=0),Settings!$B$2&lt;Settings!$B$5),"ERROR: LotStep too coarse",IF(AG26&gt;AH26,"ERROR: Rounded balance broken",IF(AND(J26&gt;0,AI26&lt;Settings!$B$2*J26/100),"WARNING","OK")))</f>
        <v>OK</v>
      </c>
    </row>
    <row r="27" customFormat="false" ht="14.9" hidden="false" customHeight="false" outlineLevel="0" collapsed="false">
      <c r="A27" s="0" t="n">
        <v>25</v>
      </c>
      <c r="B27" s="0" t="n">
        <f aca="false">A27*Settings!$B$3</f>
        <v>2500</v>
      </c>
      <c r="C27" s="0" t="n">
        <f aca="false">IF(A27&lt;=Settings!$B$4,IFERROR(xlookup(A27,LevelRange,BigPercentRange),0),0)</f>
        <v>0</v>
      </c>
      <c r="D27" s="0" t="n">
        <f aca="false">W27</f>
        <v>0</v>
      </c>
      <c r="E27" s="0" t="n">
        <f aca="false">IF(A27&lt;=Settings!$B$4,IFERROR(xlookup(A27,LevelRange,SmallPercentRange),0),0)</f>
        <v>0</v>
      </c>
      <c r="F27" s="0" t="n">
        <f aca="false">Y27</f>
        <v>0</v>
      </c>
      <c r="G27" s="0" t="n">
        <f aca="false">N26</f>
        <v>10</v>
      </c>
      <c r="H27" s="0" t="n">
        <f aca="false">G27+SUM($C$3:C27)</f>
        <v>165</v>
      </c>
      <c r="I27" s="0" t="n">
        <f aca="false">100+SUM($E$3:E27)</f>
        <v>175</v>
      </c>
      <c r="J27" s="0" t="n">
        <f aca="false">IF(A27&lt;=Settings!$B$4,IFERROR(xlookup(A27,LevelRange,TargetSkewRange),0),0)</f>
        <v>0</v>
      </c>
      <c r="K27" s="0" t="n">
        <f aca="false">MIN(G27,MAX(0,H27-I27+J27))</f>
        <v>0</v>
      </c>
      <c r="L27" s="0" t="str">
        <f aca="false">IF(A27&lt;=Settings!$B$4,IFERROR(xlookup(A27,LevelRange,ManualCloseRange),""),"")</f>
        <v/>
      </c>
      <c r="M27" s="0" t="n">
        <f aca="false">MIN(G27,AA27/Settings!$B$2*100)</f>
        <v>0</v>
      </c>
      <c r="N27" s="0" t="n">
        <f aca="false">G27-M27</f>
        <v>10</v>
      </c>
      <c r="O27" s="0" t="n">
        <f aca="false">SUM($C$3:C27)</f>
        <v>155</v>
      </c>
      <c r="P27" s="0" t="n">
        <f aca="false">SUM($E$3:E27)</f>
        <v>75</v>
      </c>
      <c r="Q27" s="0" t="n">
        <f aca="false">N27+O27</f>
        <v>165</v>
      </c>
      <c r="R27" s="0" t="n">
        <f aca="false">100+P27</f>
        <v>175</v>
      </c>
      <c r="S27" s="0" t="n">
        <f aca="false">R27-Q27</f>
        <v>10</v>
      </c>
      <c r="T27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Direction",IF(OR(C27&lt;0,E27&lt;0,J27&lt;0,AND(LEN(L27)&gt;0,L27&lt;0)),"ERROR: Negative input",IF(C27&lt;E27,"ERROR: Big BUY must be &gt;= Small SELL",IF(AND(LEN(L27)&gt;0,L27&gt;G27),"ERROR: ManualClose exceeds remaining Start position",IF(OR(N27&lt;0,Q27&lt;0,R27&lt;0),"ERROR: Negative totals",IF(Q27&gt;R27,"ERROR: Rounding broke protection balance",IF(S27&gt;Settings!$B$8,"WARNING: Skew exceeds recommended limit","OK")))))))))))</f>
        <v>OK</v>
      </c>
      <c r="U27" s="0" t="str">
        <f aca="false">IF(LEFT(T27,5)="ERROR","Check input/risk","")</f>
        <v/>
      </c>
      <c r="V27" s="0" t="n">
        <f aca="false">Settings!$B$2*C27/100</f>
        <v>0</v>
      </c>
      <c r="W27" s="0" t="n">
        <f aca="false">IF(Settings!$B$9,FLOOR(V27,Settings!$B$5),V27)</f>
        <v>0</v>
      </c>
      <c r="X27" s="0" t="n">
        <f aca="false">Settings!$B$2*E27/100</f>
        <v>0</v>
      </c>
      <c r="Y27" s="0" t="n">
        <f aca="false">IF(Settings!$B$9,CEILING(X27,Settings!$B$5),X27)</f>
        <v>0</v>
      </c>
      <c r="Z27" s="0" t="n">
        <f aca="false">Settings!$B$2*M27/100</f>
        <v>0</v>
      </c>
      <c r="AA27" s="0" t="n">
        <f aca="false">IF(Settings!$B$17,MIN(Settings!$B$2*G27/100,IF(Settings!$B$9,CEILING(MAX(0,Settings!$B$2*(H27-I27+J27)/100),Settings!$B$5),MAX(0,Settings!$B$2*(H27-I27+J27)/100))),IF(Settings!$B$9,MROUND(Z27,Settings!$B$5),Z27))</f>
        <v>0</v>
      </c>
      <c r="AB27" s="3" t="str">
        <f aca="false">IF(LEFT(T27,5)="ERROR","ERROR",IF(AND(Settings!$B$17,ABS(AA27-Z27)&gt;0.000000001),"FIXED",IF(ABS(S27)&lt;=Settings!$B$7,"SAFE","WARNING")))</f>
        <v>WARNING</v>
      </c>
      <c r="AC27" s="0" t="str">
        <f aca="false">IF(AB27="FIXED","Close adjusted by SAFE mode",IF(AB27="SAFE","BUY/SELL balance preserved",IF(AB27="WARNING","Near protection boundary","Protection broken")))</f>
        <v>Near protection boundary</v>
      </c>
      <c r="AD27" s="0" t="n">
        <f aca="false">MAX(0,Settings!$B$2*G27/100-AA27)</f>
        <v>0.1</v>
      </c>
      <c r="AE27" s="0" t="n">
        <f aca="false">SUM($W$3:W27)</f>
        <v>1.55</v>
      </c>
      <c r="AF27" s="0" t="n">
        <f aca="false">SUM($Y$3:Y27)</f>
        <v>0.75</v>
      </c>
      <c r="AG27" s="0" t="n">
        <f aca="false">AD27+AE27</f>
        <v>1.65</v>
      </c>
      <c r="AH27" s="0" t="n">
        <f aca="false">Settings!$B$2+AF27</f>
        <v>1.75</v>
      </c>
      <c r="AI27" s="0" t="n">
        <f aca="false">AH27-AG27</f>
        <v>0.0999999999999999</v>
      </c>
      <c r="AJ27" s="0" t="str">
        <f aca="false">IF(OR(AND(C27&gt;0,W27=0),AND(E27&gt;0,Y27=0),Settings!$B$2&lt;Settings!$B$5),"ERROR: LotStep too coarse",IF(AG27&gt;AH27,"ERROR: Rounded balance broken",IF(AND(J27&gt;0,AI27&lt;Settings!$B$2*J27/100),"WARNING","OK")))</f>
        <v>OK</v>
      </c>
    </row>
    <row r="28" customFormat="false" ht="14.9" hidden="false" customHeight="false" outlineLevel="0" collapsed="false">
      <c r="A28" s="0" t="n">
        <v>26</v>
      </c>
      <c r="B28" s="0" t="n">
        <f aca="false">A28*Settings!$B$3</f>
        <v>2600</v>
      </c>
      <c r="C28" s="0" t="n">
        <f aca="false">IF(A28&lt;=Settings!$B$4,IFERROR(xlookup(A28,LevelRange,BigPercentRange),0),0)</f>
        <v>0</v>
      </c>
      <c r="D28" s="0" t="n">
        <f aca="false">W28</f>
        <v>0</v>
      </c>
      <c r="E28" s="0" t="n">
        <f aca="false">IF(A28&lt;=Settings!$B$4,IFERROR(xlookup(A28,LevelRange,SmallPercentRange),0),0)</f>
        <v>0</v>
      </c>
      <c r="F28" s="0" t="n">
        <f aca="false">Y28</f>
        <v>0</v>
      </c>
      <c r="G28" s="0" t="n">
        <f aca="false">N27</f>
        <v>10</v>
      </c>
      <c r="H28" s="0" t="n">
        <f aca="false">G28+SUM($C$3:C28)</f>
        <v>165</v>
      </c>
      <c r="I28" s="0" t="n">
        <f aca="false">100+SUM($E$3:E28)</f>
        <v>175</v>
      </c>
      <c r="J28" s="0" t="n">
        <f aca="false">IF(A28&lt;=Settings!$B$4,IFERROR(xlookup(A28,LevelRange,TargetSkewRange),0),0)</f>
        <v>0</v>
      </c>
      <c r="K28" s="0" t="n">
        <f aca="false">MIN(G28,MAX(0,H28-I28+J28))</f>
        <v>0</v>
      </c>
      <c r="L28" s="0" t="str">
        <f aca="false">IF(A28&lt;=Settings!$B$4,IFERROR(xlookup(A28,LevelRange,ManualCloseRange),""),"")</f>
        <v/>
      </c>
      <c r="M28" s="0" t="n">
        <f aca="false">MIN(G28,AA28/Settings!$B$2*100)</f>
        <v>0</v>
      </c>
      <c r="N28" s="0" t="n">
        <f aca="false">G28-M28</f>
        <v>10</v>
      </c>
      <c r="O28" s="0" t="n">
        <f aca="false">SUM($C$3:C28)</f>
        <v>155</v>
      </c>
      <c r="P28" s="0" t="n">
        <f aca="false">SUM($E$3:E28)</f>
        <v>75</v>
      </c>
      <c r="Q28" s="0" t="n">
        <f aca="false">N28+O28</f>
        <v>165</v>
      </c>
      <c r="R28" s="0" t="n">
        <f aca="false">100+P28</f>
        <v>175</v>
      </c>
      <c r="S28" s="0" t="n">
        <f aca="false">R28-Q28</f>
        <v>10</v>
      </c>
      <c r="T28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Direction",IF(OR(C28&lt;0,E28&lt;0,J28&lt;0,AND(LEN(L28)&gt;0,L28&lt;0)),"ERROR: Negative input",IF(C28&lt;E28,"ERROR: Big BUY must be &gt;= Small SELL",IF(AND(LEN(L28)&gt;0,L28&gt;G28),"ERROR: ManualClose exceeds remaining Start position",IF(OR(N28&lt;0,Q28&lt;0,R28&lt;0),"ERROR: Negative totals",IF(Q28&gt;R28,"ERROR: Rounding broke protection balance",IF(S28&gt;Settings!$B$8,"WARNING: Skew exceeds recommended limit","OK")))))))))))</f>
        <v>OK</v>
      </c>
      <c r="U28" s="0" t="str">
        <f aca="false">IF(LEFT(T28,5)="ERROR","Check input/risk","")</f>
        <v/>
      </c>
      <c r="V28" s="0" t="n">
        <f aca="false">Settings!$B$2*C28/100</f>
        <v>0</v>
      </c>
      <c r="W28" s="0" t="n">
        <f aca="false">IF(Settings!$B$9,FLOOR(V28,Settings!$B$5),V28)</f>
        <v>0</v>
      </c>
      <c r="X28" s="0" t="n">
        <f aca="false">Settings!$B$2*E28/100</f>
        <v>0</v>
      </c>
      <c r="Y28" s="0" t="n">
        <f aca="false">IF(Settings!$B$9,CEILING(X28,Settings!$B$5),X28)</f>
        <v>0</v>
      </c>
      <c r="Z28" s="0" t="n">
        <f aca="false">Settings!$B$2*M28/100</f>
        <v>0</v>
      </c>
      <c r="AA28" s="0" t="n">
        <f aca="false">IF(Settings!$B$17,MIN(Settings!$B$2*G28/100,IF(Settings!$B$9,CEILING(MAX(0,Settings!$B$2*(H28-I28+J28)/100),Settings!$B$5),MAX(0,Settings!$B$2*(H28-I28+J28)/100))),IF(Settings!$B$9,MROUND(Z28,Settings!$B$5),Z28))</f>
        <v>0</v>
      </c>
      <c r="AB28" s="3" t="str">
        <f aca="false">IF(LEFT(T28,5)="ERROR","ERROR",IF(AND(Settings!$B$17,ABS(AA28-Z28)&gt;0.000000001),"FIXED",IF(ABS(S28)&lt;=Settings!$B$7,"SAFE","WARNING")))</f>
        <v>WARNING</v>
      </c>
      <c r="AC28" s="0" t="str">
        <f aca="false">IF(AB28="FIXED","Close adjusted by SAFE mode",IF(AB28="SAFE","BUY/SELL balance preserved",IF(AB28="WARNING","Near protection boundary","Protection broken")))</f>
        <v>Near protection boundary</v>
      </c>
      <c r="AD28" s="0" t="n">
        <f aca="false">MAX(0,Settings!$B$2*G28/100-AA28)</f>
        <v>0.1</v>
      </c>
      <c r="AE28" s="0" t="n">
        <f aca="false">SUM($W$3:W28)</f>
        <v>1.55</v>
      </c>
      <c r="AF28" s="0" t="n">
        <f aca="false">SUM($Y$3:Y28)</f>
        <v>0.75</v>
      </c>
      <c r="AG28" s="0" t="n">
        <f aca="false">AD28+AE28</f>
        <v>1.65</v>
      </c>
      <c r="AH28" s="0" t="n">
        <f aca="false">Settings!$B$2+AF28</f>
        <v>1.75</v>
      </c>
      <c r="AI28" s="0" t="n">
        <f aca="false">AH28-AG28</f>
        <v>0.0999999999999999</v>
      </c>
      <c r="AJ28" s="0" t="str">
        <f aca="false">IF(OR(AND(C28&gt;0,W28=0),AND(E28&gt;0,Y28=0),Settings!$B$2&lt;Settings!$B$5),"ERROR: LotStep too coarse",IF(AG28&gt;AH28,"ERROR: Rounded balance broken",IF(AND(J28&gt;0,AI28&lt;Settings!$B$2*J28/100),"WARNING","OK")))</f>
        <v>OK</v>
      </c>
    </row>
    <row r="29" customFormat="false" ht="14.9" hidden="false" customHeight="false" outlineLevel="0" collapsed="false">
      <c r="A29" s="0" t="n">
        <v>27</v>
      </c>
      <c r="B29" s="0" t="n">
        <f aca="false">A29*Settings!$B$3</f>
        <v>2700</v>
      </c>
      <c r="C29" s="0" t="n">
        <f aca="false">IF(A29&lt;=Settings!$B$4,IFERROR(xlookup(A29,LevelRange,BigPercentRange),0),0)</f>
        <v>0</v>
      </c>
      <c r="D29" s="0" t="n">
        <f aca="false">W29</f>
        <v>0</v>
      </c>
      <c r="E29" s="0" t="n">
        <f aca="false">IF(A29&lt;=Settings!$B$4,IFERROR(xlookup(A29,LevelRange,SmallPercentRange),0),0)</f>
        <v>0</v>
      </c>
      <c r="F29" s="0" t="n">
        <f aca="false">Y29</f>
        <v>0</v>
      </c>
      <c r="G29" s="0" t="n">
        <f aca="false">N28</f>
        <v>10</v>
      </c>
      <c r="H29" s="0" t="n">
        <f aca="false">G29+SUM($C$3:C29)</f>
        <v>165</v>
      </c>
      <c r="I29" s="0" t="n">
        <f aca="false">100+SUM($E$3:E29)</f>
        <v>175</v>
      </c>
      <c r="J29" s="0" t="n">
        <f aca="false">IF(A29&lt;=Settings!$B$4,IFERROR(xlookup(A29,LevelRange,TargetSkewRange),0),0)</f>
        <v>0</v>
      </c>
      <c r="K29" s="0" t="n">
        <f aca="false">MIN(G29,MAX(0,H29-I29+J29))</f>
        <v>0</v>
      </c>
      <c r="L29" s="0" t="str">
        <f aca="false">IF(A29&lt;=Settings!$B$4,IFERROR(xlookup(A29,LevelRange,ManualCloseRange),""),"")</f>
        <v/>
      </c>
      <c r="M29" s="0" t="n">
        <f aca="false">MIN(G29,AA29/Settings!$B$2*100)</f>
        <v>0</v>
      </c>
      <c r="N29" s="0" t="n">
        <f aca="false">G29-M29</f>
        <v>10</v>
      </c>
      <c r="O29" s="0" t="n">
        <f aca="false">SUM($C$3:C29)</f>
        <v>155</v>
      </c>
      <c r="P29" s="0" t="n">
        <f aca="false">SUM($E$3:E29)</f>
        <v>75</v>
      </c>
      <c r="Q29" s="0" t="n">
        <f aca="false">N29+O29</f>
        <v>165</v>
      </c>
      <c r="R29" s="0" t="n">
        <f aca="false">100+P29</f>
        <v>175</v>
      </c>
      <c r="S29" s="0" t="n">
        <f aca="false">R29-Q29</f>
        <v>10</v>
      </c>
      <c r="T29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Direction",IF(OR(C29&lt;0,E29&lt;0,J29&lt;0,AND(LEN(L29)&gt;0,L29&lt;0)),"ERROR: Negative input",IF(C29&lt;E29,"ERROR: Big BUY must be &gt;= Small SELL",IF(AND(LEN(L29)&gt;0,L29&gt;G29),"ERROR: ManualClose exceeds remaining Start position",IF(OR(N29&lt;0,Q29&lt;0,R29&lt;0),"ERROR: Negative totals",IF(Q29&gt;R29,"ERROR: Rounding broke protection balance",IF(S29&gt;Settings!$B$8,"WARNING: Skew exceeds recommended limit","OK")))))))))))</f>
        <v>OK</v>
      </c>
      <c r="U29" s="0" t="str">
        <f aca="false">IF(LEFT(T29,5)="ERROR","Check input/risk","")</f>
        <v/>
      </c>
      <c r="V29" s="0" t="n">
        <f aca="false">Settings!$B$2*C29/100</f>
        <v>0</v>
      </c>
      <c r="W29" s="0" t="n">
        <f aca="false">IF(Settings!$B$9,FLOOR(V29,Settings!$B$5),V29)</f>
        <v>0</v>
      </c>
      <c r="X29" s="0" t="n">
        <f aca="false">Settings!$B$2*E29/100</f>
        <v>0</v>
      </c>
      <c r="Y29" s="0" t="n">
        <f aca="false">IF(Settings!$B$9,CEILING(X29,Settings!$B$5),X29)</f>
        <v>0</v>
      </c>
      <c r="Z29" s="0" t="n">
        <f aca="false">Settings!$B$2*M29/100</f>
        <v>0</v>
      </c>
      <c r="AA29" s="0" t="n">
        <f aca="false">IF(Settings!$B$17,MIN(Settings!$B$2*G29/100,IF(Settings!$B$9,CEILING(MAX(0,Settings!$B$2*(H29-I29+J29)/100),Settings!$B$5),MAX(0,Settings!$B$2*(H29-I29+J29)/100))),IF(Settings!$B$9,MROUND(Z29,Settings!$B$5),Z29))</f>
        <v>0</v>
      </c>
      <c r="AB29" s="3" t="str">
        <f aca="false">IF(LEFT(T29,5)="ERROR","ERROR",IF(AND(Settings!$B$17,ABS(AA29-Z29)&gt;0.000000001),"FIXED",IF(ABS(S29)&lt;=Settings!$B$7,"SAFE","WARNING")))</f>
        <v>WARNING</v>
      </c>
      <c r="AC29" s="0" t="str">
        <f aca="false">IF(AB29="FIXED","Close adjusted by SAFE mode",IF(AB29="SAFE","BUY/SELL balance preserved",IF(AB29="WARNING","Near protection boundary","Protection broken")))</f>
        <v>Near protection boundary</v>
      </c>
      <c r="AD29" s="0" t="n">
        <f aca="false">MAX(0,Settings!$B$2*G29/100-AA29)</f>
        <v>0.1</v>
      </c>
      <c r="AE29" s="0" t="n">
        <f aca="false">SUM($W$3:W29)</f>
        <v>1.55</v>
      </c>
      <c r="AF29" s="0" t="n">
        <f aca="false">SUM($Y$3:Y29)</f>
        <v>0.75</v>
      </c>
      <c r="AG29" s="0" t="n">
        <f aca="false">AD29+AE29</f>
        <v>1.65</v>
      </c>
      <c r="AH29" s="0" t="n">
        <f aca="false">Settings!$B$2+AF29</f>
        <v>1.75</v>
      </c>
      <c r="AI29" s="0" t="n">
        <f aca="false">AH29-AG29</f>
        <v>0.0999999999999999</v>
      </c>
      <c r="AJ29" s="0" t="str">
        <f aca="false">IF(OR(AND(C29&gt;0,W29=0),AND(E29&gt;0,Y29=0),Settings!$B$2&lt;Settings!$B$5),"ERROR: LotStep too coarse",IF(AG29&gt;AH29,"ERROR: Rounded balance broken",IF(AND(J29&gt;0,AI29&lt;Settings!$B$2*J29/100),"WARNING","OK")))</f>
        <v>OK</v>
      </c>
    </row>
    <row r="30" customFormat="false" ht="14.9" hidden="false" customHeight="false" outlineLevel="0" collapsed="false">
      <c r="A30" s="0" t="n">
        <v>28</v>
      </c>
      <c r="B30" s="0" t="n">
        <f aca="false">A30*Settings!$B$3</f>
        <v>2800</v>
      </c>
      <c r="C30" s="0" t="n">
        <f aca="false">IF(A30&lt;=Settings!$B$4,IFERROR(xlookup(A30,LevelRange,BigPercentRange),0),0)</f>
        <v>0</v>
      </c>
      <c r="D30" s="0" t="n">
        <f aca="false">W30</f>
        <v>0</v>
      </c>
      <c r="E30" s="0" t="n">
        <f aca="false">IF(A30&lt;=Settings!$B$4,IFERROR(xlookup(A30,LevelRange,SmallPercentRange),0),0)</f>
        <v>0</v>
      </c>
      <c r="F30" s="0" t="n">
        <f aca="false">Y30</f>
        <v>0</v>
      </c>
      <c r="G30" s="0" t="n">
        <f aca="false">N29</f>
        <v>10</v>
      </c>
      <c r="H30" s="0" t="n">
        <f aca="false">G30+SUM($C$3:C30)</f>
        <v>165</v>
      </c>
      <c r="I30" s="0" t="n">
        <f aca="false">100+SUM($E$3:E30)</f>
        <v>175</v>
      </c>
      <c r="J30" s="0" t="n">
        <f aca="false">IF(A30&lt;=Settings!$B$4,IFERROR(xlookup(A30,LevelRange,TargetSkewRange),0),0)</f>
        <v>0</v>
      </c>
      <c r="K30" s="0" t="n">
        <f aca="false">MIN(G30,MAX(0,H30-I30+J30))</f>
        <v>0</v>
      </c>
      <c r="L30" s="0" t="str">
        <f aca="false">IF(A30&lt;=Settings!$B$4,IFERROR(xlookup(A30,LevelRange,ManualCloseRange),""),"")</f>
        <v/>
      </c>
      <c r="M30" s="0" t="n">
        <f aca="false">MIN(G30,AA30/Settings!$B$2*100)</f>
        <v>0</v>
      </c>
      <c r="N30" s="0" t="n">
        <f aca="false">G30-M30</f>
        <v>10</v>
      </c>
      <c r="O30" s="0" t="n">
        <f aca="false">SUM($C$3:C30)</f>
        <v>155</v>
      </c>
      <c r="P30" s="0" t="n">
        <f aca="false">SUM($E$3:E30)</f>
        <v>75</v>
      </c>
      <c r="Q30" s="0" t="n">
        <f aca="false">N30+O30</f>
        <v>165</v>
      </c>
      <c r="R30" s="0" t="n">
        <f aca="false">100+P30</f>
        <v>175</v>
      </c>
      <c r="S30" s="0" t="n">
        <f aca="false">R30-Q30</f>
        <v>10</v>
      </c>
      <c r="T30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Direction",IF(OR(C30&lt;0,E30&lt;0,J30&lt;0,AND(LEN(L30)&gt;0,L30&lt;0)),"ERROR: Negative input",IF(C30&lt;E30,"ERROR: Big BUY must be &gt;= Small SELL",IF(AND(LEN(L30)&gt;0,L30&gt;G30),"ERROR: ManualClose exceeds remaining Start position",IF(OR(N30&lt;0,Q30&lt;0,R30&lt;0),"ERROR: Negative totals",IF(Q30&gt;R30,"ERROR: Rounding broke protection balance",IF(S30&gt;Settings!$B$8,"WARNING: Skew exceeds recommended limit","OK")))))))))))</f>
        <v>OK</v>
      </c>
      <c r="U30" s="0" t="str">
        <f aca="false">IF(LEFT(T30,5)="ERROR","Check input/risk","")</f>
        <v/>
      </c>
      <c r="V30" s="0" t="n">
        <f aca="false">Settings!$B$2*C30/100</f>
        <v>0</v>
      </c>
      <c r="W30" s="0" t="n">
        <f aca="false">IF(Settings!$B$9,FLOOR(V30,Settings!$B$5),V30)</f>
        <v>0</v>
      </c>
      <c r="X30" s="0" t="n">
        <f aca="false">Settings!$B$2*E30/100</f>
        <v>0</v>
      </c>
      <c r="Y30" s="0" t="n">
        <f aca="false">IF(Settings!$B$9,CEILING(X30,Settings!$B$5),X30)</f>
        <v>0</v>
      </c>
      <c r="Z30" s="0" t="n">
        <f aca="false">Settings!$B$2*M30/100</f>
        <v>0</v>
      </c>
      <c r="AA30" s="0" t="n">
        <f aca="false">IF(Settings!$B$17,MIN(Settings!$B$2*G30/100,IF(Settings!$B$9,CEILING(MAX(0,Settings!$B$2*(H30-I30+J30)/100),Settings!$B$5),MAX(0,Settings!$B$2*(H30-I30+J30)/100))),IF(Settings!$B$9,MROUND(Z30,Settings!$B$5),Z30))</f>
        <v>0</v>
      </c>
      <c r="AB30" s="3" t="str">
        <f aca="false">IF(LEFT(T30,5)="ERROR","ERROR",IF(AND(Settings!$B$17,ABS(AA30-Z30)&gt;0.000000001),"FIXED",IF(ABS(S30)&lt;=Settings!$B$7,"SAFE","WARNING")))</f>
        <v>WARNING</v>
      </c>
      <c r="AC30" s="0" t="str">
        <f aca="false">IF(AB30="FIXED","Close adjusted by SAFE mode",IF(AB30="SAFE","BUY/SELL balance preserved",IF(AB30="WARNING","Near protection boundary","Protection broken")))</f>
        <v>Near protection boundary</v>
      </c>
      <c r="AD30" s="0" t="n">
        <f aca="false">MAX(0,Settings!$B$2*G30/100-AA30)</f>
        <v>0.1</v>
      </c>
      <c r="AE30" s="0" t="n">
        <f aca="false">SUM($W$3:W30)</f>
        <v>1.55</v>
      </c>
      <c r="AF30" s="0" t="n">
        <f aca="false">SUM($Y$3:Y30)</f>
        <v>0.75</v>
      </c>
      <c r="AG30" s="0" t="n">
        <f aca="false">AD30+AE30</f>
        <v>1.65</v>
      </c>
      <c r="AH30" s="0" t="n">
        <f aca="false">Settings!$B$2+AF30</f>
        <v>1.75</v>
      </c>
      <c r="AI30" s="0" t="n">
        <f aca="false">AH30-AG30</f>
        <v>0.0999999999999999</v>
      </c>
      <c r="AJ30" s="0" t="str">
        <f aca="false">IF(OR(AND(C30&gt;0,W30=0),AND(E30&gt;0,Y30=0),Settings!$B$2&lt;Settings!$B$5),"ERROR: LotStep too coarse",IF(AG30&gt;AH30,"ERROR: Rounded balance broken",IF(AND(J30&gt;0,AI30&lt;Settings!$B$2*J30/100),"WARNING","OK")))</f>
        <v>OK</v>
      </c>
    </row>
    <row r="31" customFormat="false" ht="14.9" hidden="false" customHeight="false" outlineLevel="0" collapsed="false">
      <c r="A31" s="0" t="n">
        <v>29</v>
      </c>
      <c r="B31" s="0" t="n">
        <f aca="false">A31*Settings!$B$3</f>
        <v>2900</v>
      </c>
      <c r="C31" s="0" t="n">
        <f aca="false">IF(A31&lt;=Settings!$B$4,IFERROR(xlookup(A31,LevelRange,BigPercentRange),0),0)</f>
        <v>0</v>
      </c>
      <c r="D31" s="0" t="n">
        <f aca="false">W31</f>
        <v>0</v>
      </c>
      <c r="E31" s="0" t="n">
        <f aca="false">IF(A31&lt;=Settings!$B$4,IFERROR(xlookup(A31,LevelRange,SmallPercentRange),0),0)</f>
        <v>0</v>
      </c>
      <c r="F31" s="0" t="n">
        <f aca="false">Y31</f>
        <v>0</v>
      </c>
      <c r="G31" s="0" t="n">
        <f aca="false">N30</f>
        <v>10</v>
      </c>
      <c r="H31" s="0" t="n">
        <f aca="false">G31+SUM($C$3:C31)</f>
        <v>165</v>
      </c>
      <c r="I31" s="0" t="n">
        <f aca="false">100+SUM($E$3:E31)</f>
        <v>175</v>
      </c>
      <c r="J31" s="0" t="n">
        <f aca="false">IF(A31&lt;=Settings!$B$4,IFERROR(xlookup(A31,LevelRange,TargetSkewRange),0),0)</f>
        <v>0</v>
      </c>
      <c r="K31" s="0" t="n">
        <f aca="false">MIN(G31,MAX(0,H31-I31+J31))</f>
        <v>0</v>
      </c>
      <c r="L31" s="0" t="str">
        <f aca="false">IF(A31&lt;=Settings!$B$4,IFERROR(xlookup(A31,LevelRange,ManualCloseRange),""),"")</f>
        <v/>
      </c>
      <c r="M31" s="0" t="n">
        <f aca="false">MIN(G31,AA31/Settings!$B$2*100)</f>
        <v>0</v>
      </c>
      <c r="N31" s="0" t="n">
        <f aca="false">G31-M31</f>
        <v>10</v>
      </c>
      <c r="O31" s="0" t="n">
        <f aca="false">SUM($C$3:C31)</f>
        <v>155</v>
      </c>
      <c r="P31" s="0" t="n">
        <f aca="false">SUM($E$3:E31)</f>
        <v>75</v>
      </c>
      <c r="Q31" s="0" t="n">
        <f aca="false">N31+O31</f>
        <v>165</v>
      </c>
      <c r="R31" s="0" t="n">
        <f aca="false">100+P31</f>
        <v>175</v>
      </c>
      <c r="S31" s="0" t="n">
        <f aca="false">R31-Q31</f>
        <v>10</v>
      </c>
      <c r="T31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Direction",IF(OR(C31&lt;0,E31&lt;0,J31&lt;0,AND(LEN(L31)&gt;0,L31&lt;0)),"ERROR: Negative input",IF(C31&lt;E31,"ERROR: Big BUY must be &gt;= Small SELL",IF(AND(LEN(L31)&gt;0,L31&gt;G31),"ERROR: ManualClose exceeds remaining Start position",IF(OR(N31&lt;0,Q31&lt;0,R31&lt;0),"ERROR: Negative totals",IF(Q31&gt;R31,"ERROR: Rounding broke protection balance",IF(S31&gt;Settings!$B$8,"WARNING: Skew exceeds recommended limit","OK")))))))))))</f>
        <v>OK</v>
      </c>
      <c r="U31" s="0" t="str">
        <f aca="false">IF(LEFT(T31,5)="ERROR","Check input/risk","")</f>
        <v/>
      </c>
      <c r="V31" s="0" t="n">
        <f aca="false">Settings!$B$2*C31/100</f>
        <v>0</v>
      </c>
      <c r="W31" s="0" t="n">
        <f aca="false">IF(Settings!$B$9,FLOOR(V31,Settings!$B$5),V31)</f>
        <v>0</v>
      </c>
      <c r="X31" s="0" t="n">
        <f aca="false">Settings!$B$2*E31/100</f>
        <v>0</v>
      </c>
      <c r="Y31" s="0" t="n">
        <f aca="false">IF(Settings!$B$9,CEILING(X31,Settings!$B$5),X31)</f>
        <v>0</v>
      </c>
      <c r="Z31" s="0" t="n">
        <f aca="false">Settings!$B$2*M31/100</f>
        <v>0</v>
      </c>
      <c r="AA31" s="0" t="n">
        <f aca="false">IF(Settings!$B$17,MIN(Settings!$B$2*G31/100,IF(Settings!$B$9,CEILING(MAX(0,Settings!$B$2*(H31-I31+J31)/100),Settings!$B$5),MAX(0,Settings!$B$2*(H31-I31+J31)/100))),IF(Settings!$B$9,MROUND(Z31,Settings!$B$5),Z31))</f>
        <v>0</v>
      </c>
      <c r="AB31" s="3" t="str">
        <f aca="false">IF(LEFT(T31,5)="ERROR","ERROR",IF(AND(Settings!$B$17,ABS(AA31-Z31)&gt;0.000000001),"FIXED",IF(ABS(S31)&lt;=Settings!$B$7,"SAFE","WARNING")))</f>
        <v>WARNING</v>
      </c>
      <c r="AC31" s="0" t="str">
        <f aca="false">IF(AB31="FIXED","Close adjusted by SAFE mode",IF(AB31="SAFE","BUY/SELL balance preserved",IF(AB31="WARNING","Near protection boundary","Protection broken")))</f>
        <v>Near protection boundary</v>
      </c>
      <c r="AD31" s="0" t="n">
        <f aca="false">MAX(0,Settings!$B$2*G31/100-AA31)</f>
        <v>0.1</v>
      </c>
      <c r="AE31" s="0" t="n">
        <f aca="false">SUM($W$3:W31)</f>
        <v>1.55</v>
      </c>
      <c r="AF31" s="0" t="n">
        <f aca="false">SUM($Y$3:Y31)</f>
        <v>0.75</v>
      </c>
      <c r="AG31" s="0" t="n">
        <f aca="false">AD31+AE31</f>
        <v>1.65</v>
      </c>
      <c r="AH31" s="0" t="n">
        <f aca="false">Settings!$B$2+AF31</f>
        <v>1.75</v>
      </c>
      <c r="AI31" s="0" t="n">
        <f aca="false">AH31-AG31</f>
        <v>0.0999999999999999</v>
      </c>
      <c r="AJ31" s="0" t="str">
        <f aca="false">IF(OR(AND(C31&gt;0,W31=0),AND(E31&gt;0,Y31=0),Settings!$B$2&lt;Settings!$B$5),"ERROR: LotStep too coarse",IF(AG31&gt;AH31,"ERROR: Rounded balance broken",IF(AND(J31&gt;0,AI31&lt;Settings!$B$2*J31/100),"WARNING","OK")))</f>
        <v>OK</v>
      </c>
    </row>
    <row r="32" customFormat="false" ht="14.9" hidden="false" customHeight="false" outlineLevel="0" collapsed="false">
      <c r="A32" s="0" t="n">
        <v>30</v>
      </c>
      <c r="B32" s="0" t="n">
        <f aca="false">A32*Settings!$B$3</f>
        <v>3000</v>
      </c>
      <c r="C32" s="0" t="n">
        <f aca="false">IF(A32&lt;=Settings!$B$4,IFERROR(xlookup(A32,LevelRange,BigPercentRange),0),0)</f>
        <v>0</v>
      </c>
      <c r="D32" s="0" t="n">
        <f aca="false">W32</f>
        <v>0</v>
      </c>
      <c r="E32" s="0" t="n">
        <f aca="false">IF(A32&lt;=Settings!$B$4,IFERROR(xlookup(A32,LevelRange,SmallPercentRange),0),0)</f>
        <v>0</v>
      </c>
      <c r="F32" s="0" t="n">
        <f aca="false">Y32</f>
        <v>0</v>
      </c>
      <c r="G32" s="0" t="n">
        <f aca="false">N31</f>
        <v>10</v>
      </c>
      <c r="H32" s="0" t="n">
        <f aca="false">G32+SUM($C$3:C32)</f>
        <v>165</v>
      </c>
      <c r="I32" s="0" t="n">
        <f aca="false">100+SUM($E$3:E32)</f>
        <v>175</v>
      </c>
      <c r="J32" s="0" t="n">
        <f aca="false">IF(A32&lt;=Settings!$B$4,IFERROR(xlookup(A32,LevelRange,TargetSkewRange),0),0)</f>
        <v>0</v>
      </c>
      <c r="K32" s="0" t="n">
        <f aca="false">MIN(G32,MAX(0,H32-I32+J32))</f>
        <v>0</v>
      </c>
      <c r="L32" s="0" t="str">
        <f aca="false">IF(A32&lt;=Settings!$B$4,IFERROR(xlookup(A32,LevelRange,ManualCloseRange),""),"")</f>
        <v/>
      </c>
      <c r="M32" s="0" t="n">
        <f aca="false">MIN(G32,AA32/Settings!$B$2*100)</f>
        <v>0</v>
      </c>
      <c r="N32" s="0" t="n">
        <f aca="false">G32-M32</f>
        <v>10</v>
      </c>
      <c r="O32" s="0" t="n">
        <f aca="false">SUM($C$3:C32)</f>
        <v>155</v>
      </c>
      <c r="P32" s="0" t="n">
        <f aca="false">SUM($E$3:E32)</f>
        <v>75</v>
      </c>
      <c r="Q32" s="0" t="n">
        <f aca="false">N32+O32</f>
        <v>165</v>
      </c>
      <c r="R32" s="0" t="n">
        <f aca="false">100+P32</f>
        <v>175</v>
      </c>
      <c r="S32" s="0" t="n">
        <f aca="false">R32-Q32</f>
        <v>10</v>
      </c>
      <c r="T32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Direction",IF(OR(C32&lt;0,E32&lt;0,J32&lt;0,AND(LEN(L32)&gt;0,L32&lt;0)),"ERROR: Negative input",IF(C32&lt;E32,"ERROR: Big BUY must be &gt;= Small SELL",IF(AND(LEN(L32)&gt;0,L32&gt;G32),"ERROR: ManualClose exceeds remaining Start position",IF(OR(N32&lt;0,Q32&lt;0,R32&lt;0),"ERROR: Negative totals",IF(Q32&gt;R32,"ERROR: Rounding broke protection balance",IF(S32&gt;Settings!$B$8,"WARNING: Skew exceeds recommended limit","OK")))))))))))</f>
        <v>OK</v>
      </c>
      <c r="U32" s="0" t="str">
        <f aca="false">IF(LEFT(T32,5)="ERROR","Check input/risk","")</f>
        <v/>
      </c>
      <c r="V32" s="0" t="n">
        <f aca="false">Settings!$B$2*C32/100</f>
        <v>0</v>
      </c>
      <c r="W32" s="0" t="n">
        <f aca="false">IF(Settings!$B$9,FLOOR(V32,Settings!$B$5),V32)</f>
        <v>0</v>
      </c>
      <c r="X32" s="0" t="n">
        <f aca="false">Settings!$B$2*E32/100</f>
        <v>0</v>
      </c>
      <c r="Y32" s="0" t="n">
        <f aca="false">IF(Settings!$B$9,CEILING(X32,Settings!$B$5),X32)</f>
        <v>0</v>
      </c>
      <c r="Z32" s="0" t="n">
        <f aca="false">Settings!$B$2*M32/100</f>
        <v>0</v>
      </c>
      <c r="AA32" s="0" t="n">
        <f aca="false">IF(Settings!$B$17,MIN(Settings!$B$2*G32/100,IF(Settings!$B$9,CEILING(MAX(0,Settings!$B$2*(H32-I32+J32)/100),Settings!$B$5),MAX(0,Settings!$B$2*(H32-I32+J32)/100))),IF(Settings!$B$9,MROUND(Z32,Settings!$B$5),Z32))</f>
        <v>0</v>
      </c>
      <c r="AB32" s="3" t="str">
        <f aca="false">IF(LEFT(T32,5)="ERROR","ERROR",IF(AND(Settings!$B$17,ABS(AA32-Z32)&gt;0.000000001),"FIXED",IF(ABS(S32)&lt;=Settings!$B$7,"SAFE","WARNING")))</f>
        <v>WARNING</v>
      </c>
      <c r="AC32" s="0" t="str">
        <f aca="false">IF(AB32="FIXED","Close adjusted by SAFE mode",IF(AB32="SAFE","BUY/SELL balance preserved",IF(AB32="WARNING","Near protection boundary","Protection broken")))</f>
        <v>Near protection boundary</v>
      </c>
      <c r="AD32" s="0" t="n">
        <f aca="false">MAX(0,Settings!$B$2*G32/100-AA32)</f>
        <v>0.1</v>
      </c>
      <c r="AE32" s="0" t="n">
        <f aca="false">SUM($W$3:W32)</f>
        <v>1.55</v>
      </c>
      <c r="AF32" s="0" t="n">
        <f aca="false">SUM($Y$3:Y32)</f>
        <v>0.75</v>
      </c>
      <c r="AG32" s="0" t="n">
        <f aca="false">AD32+AE32</f>
        <v>1.65</v>
      </c>
      <c r="AH32" s="0" t="n">
        <f aca="false">Settings!$B$2+AF32</f>
        <v>1.75</v>
      </c>
      <c r="AI32" s="0" t="n">
        <f aca="false">AH32-AG32</f>
        <v>0.0999999999999999</v>
      </c>
      <c r="AJ32" s="0" t="str">
        <f aca="false">IF(OR(AND(C32&gt;0,W32=0),AND(E32&gt;0,Y32=0),Settings!$B$2&lt;Settings!$B$5),"ERROR: LotStep too coarse",IF(AG32&gt;AH32,"ERROR: Rounded balance broken",IF(AND(J32&gt;0,AI32&lt;Settings!$B$2*J32/100),"WARNING","OK")))</f>
        <v>OK</v>
      </c>
    </row>
    <row r="33" customFormat="false" ht="14.9" hidden="false" customHeight="false" outlineLevel="0" collapsed="false">
      <c r="A33" s="0" t="n">
        <v>31</v>
      </c>
      <c r="B33" s="0" t="n">
        <f aca="false">A33*Settings!$B$3</f>
        <v>3100</v>
      </c>
      <c r="C33" s="0" t="n">
        <f aca="false">IF(A33&lt;=Settings!$B$4,IFERROR(xlookup(A33,LevelRange,BigPercentRange),0),0)</f>
        <v>0</v>
      </c>
      <c r="D33" s="0" t="n">
        <f aca="false">W33</f>
        <v>0</v>
      </c>
      <c r="E33" s="0" t="n">
        <f aca="false">IF(A33&lt;=Settings!$B$4,IFERROR(xlookup(A33,LevelRange,SmallPercentRange),0),0)</f>
        <v>0</v>
      </c>
      <c r="F33" s="0" t="n">
        <f aca="false">Y33</f>
        <v>0</v>
      </c>
      <c r="G33" s="0" t="n">
        <f aca="false">N32</f>
        <v>10</v>
      </c>
      <c r="H33" s="0" t="n">
        <f aca="false">G33+SUM($C$3:C33)</f>
        <v>165</v>
      </c>
      <c r="I33" s="0" t="n">
        <f aca="false">100+SUM($E$3:E33)</f>
        <v>175</v>
      </c>
      <c r="J33" s="0" t="n">
        <f aca="false">IF(A33&lt;=Settings!$B$4,IFERROR(xlookup(A33,LevelRange,TargetSkewRange),0),0)</f>
        <v>0</v>
      </c>
      <c r="K33" s="0" t="n">
        <f aca="false">MIN(G33,MAX(0,H33-I33+J33))</f>
        <v>0</v>
      </c>
      <c r="L33" s="0" t="str">
        <f aca="false">IF(A33&lt;=Settings!$B$4,IFERROR(xlookup(A33,LevelRange,ManualCloseRange),""),"")</f>
        <v/>
      </c>
      <c r="M33" s="0" t="n">
        <f aca="false">MIN(G33,AA33/Settings!$B$2*100)</f>
        <v>0</v>
      </c>
      <c r="N33" s="0" t="n">
        <f aca="false">G33-M33</f>
        <v>10</v>
      </c>
      <c r="O33" s="0" t="n">
        <f aca="false">SUM($C$3:C33)</f>
        <v>155</v>
      </c>
      <c r="P33" s="0" t="n">
        <f aca="false">SUM($E$3:E33)</f>
        <v>75</v>
      </c>
      <c r="Q33" s="0" t="n">
        <f aca="false">N33+O33</f>
        <v>165</v>
      </c>
      <c r="R33" s="0" t="n">
        <f aca="false">100+P33</f>
        <v>175</v>
      </c>
      <c r="S33" s="0" t="n">
        <f aca="false">R33-Q33</f>
        <v>10</v>
      </c>
      <c r="T33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Direction",IF(OR(C33&lt;0,E33&lt;0,J33&lt;0,AND(LEN(L33)&gt;0,L33&lt;0)),"ERROR: Negative input",IF(C33&lt;E33,"ERROR: Big BUY must be &gt;= Small SELL",IF(AND(LEN(L33)&gt;0,L33&gt;G33),"ERROR: ManualClose exceeds remaining Start position",IF(OR(N33&lt;0,Q33&lt;0,R33&lt;0),"ERROR: Negative totals",IF(Q33&gt;R33,"ERROR: Rounding broke protection balance",IF(S33&gt;Settings!$B$8,"WARNING: Skew exceeds recommended limit","OK")))))))))))</f>
        <v>OK</v>
      </c>
      <c r="U33" s="0" t="str">
        <f aca="false">IF(LEFT(T33,5)="ERROR","Check input/risk","")</f>
        <v/>
      </c>
      <c r="V33" s="0" t="n">
        <f aca="false">Settings!$B$2*C33/100</f>
        <v>0</v>
      </c>
      <c r="W33" s="0" t="n">
        <f aca="false">IF(Settings!$B$9,FLOOR(V33,Settings!$B$5),V33)</f>
        <v>0</v>
      </c>
      <c r="X33" s="0" t="n">
        <f aca="false">Settings!$B$2*E33/100</f>
        <v>0</v>
      </c>
      <c r="Y33" s="0" t="n">
        <f aca="false">IF(Settings!$B$9,CEILING(X33,Settings!$B$5),X33)</f>
        <v>0</v>
      </c>
      <c r="Z33" s="0" t="n">
        <f aca="false">Settings!$B$2*M33/100</f>
        <v>0</v>
      </c>
      <c r="AA33" s="0" t="n">
        <f aca="false">IF(Settings!$B$17,MIN(Settings!$B$2*G33/100,IF(Settings!$B$9,CEILING(MAX(0,Settings!$B$2*(H33-I33+J33)/100),Settings!$B$5),MAX(0,Settings!$B$2*(H33-I33+J33)/100))),IF(Settings!$B$9,MROUND(Z33,Settings!$B$5),Z33))</f>
        <v>0</v>
      </c>
      <c r="AB33" s="3" t="str">
        <f aca="false">IF(LEFT(T33,5)="ERROR","ERROR",IF(AND(Settings!$B$17,ABS(AA33-Z33)&gt;0.000000001),"FIXED",IF(ABS(S33)&lt;=Settings!$B$7,"SAFE","WARNING")))</f>
        <v>WARNING</v>
      </c>
      <c r="AC33" s="0" t="str">
        <f aca="false">IF(AB33="FIXED","Close adjusted by SAFE mode",IF(AB33="SAFE","BUY/SELL balance preserved",IF(AB33="WARNING","Near protection boundary","Protection broken")))</f>
        <v>Near protection boundary</v>
      </c>
      <c r="AD33" s="0" t="n">
        <f aca="false">MAX(0,Settings!$B$2*G33/100-AA33)</f>
        <v>0.1</v>
      </c>
      <c r="AE33" s="0" t="n">
        <f aca="false">SUM($W$3:W33)</f>
        <v>1.55</v>
      </c>
      <c r="AF33" s="0" t="n">
        <f aca="false">SUM($Y$3:Y33)</f>
        <v>0.75</v>
      </c>
      <c r="AG33" s="0" t="n">
        <f aca="false">AD33+AE33</f>
        <v>1.65</v>
      </c>
      <c r="AH33" s="0" t="n">
        <f aca="false">Settings!$B$2+AF33</f>
        <v>1.75</v>
      </c>
      <c r="AI33" s="0" t="n">
        <f aca="false">AH33-AG33</f>
        <v>0.0999999999999999</v>
      </c>
      <c r="AJ33" s="0" t="str">
        <f aca="false">IF(OR(AND(C33&gt;0,W33=0),AND(E33&gt;0,Y33=0),Settings!$B$2&lt;Settings!$B$5),"ERROR: LotStep too coarse",IF(AG33&gt;AH33,"ERROR: Rounded balance broken",IF(AND(J33&gt;0,AI33&lt;Settings!$B$2*J33/100),"WARNING","OK")))</f>
        <v>OK</v>
      </c>
    </row>
    <row r="34" customFormat="false" ht="14.9" hidden="false" customHeight="false" outlineLevel="0" collapsed="false">
      <c r="A34" s="0" t="n">
        <v>32</v>
      </c>
      <c r="B34" s="0" t="n">
        <f aca="false">A34*Settings!$B$3</f>
        <v>3200</v>
      </c>
      <c r="C34" s="0" t="n">
        <f aca="false">IF(A34&lt;=Settings!$B$4,IFERROR(xlookup(A34,LevelRange,BigPercentRange),0),0)</f>
        <v>0</v>
      </c>
      <c r="D34" s="0" t="n">
        <f aca="false">W34</f>
        <v>0</v>
      </c>
      <c r="E34" s="0" t="n">
        <f aca="false">IF(A34&lt;=Settings!$B$4,IFERROR(xlookup(A34,LevelRange,SmallPercentRange),0),0)</f>
        <v>0</v>
      </c>
      <c r="F34" s="0" t="n">
        <f aca="false">Y34</f>
        <v>0</v>
      </c>
      <c r="G34" s="0" t="n">
        <f aca="false">N33</f>
        <v>10</v>
      </c>
      <c r="H34" s="0" t="n">
        <f aca="false">G34+SUM($C$3:C34)</f>
        <v>165</v>
      </c>
      <c r="I34" s="0" t="n">
        <f aca="false">100+SUM($E$3:E34)</f>
        <v>175</v>
      </c>
      <c r="J34" s="0" t="n">
        <f aca="false">IF(A34&lt;=Settings!$B$4,IFERROR(xlookup(A34,LevelRange,TargetSkewRange),0),0)</f>
        <v>0</v>
      </c>
      <c r="K34" s="0" t="n">
        <f aca="false">MIN(G34,MAX(0,H34-I34+J34))</f>
        <v>0</v>
      </c>
      <c r="L34" s="0" t="str">
        <f aca="false">IF(A34&lt;=Settings!$B$4,IFERROR(xlookup(A34,LevelRange,ManualCloseRange),""),"")</f>
        <v/>
      </c>
      <c r="M34" s="0" t="n">
        <f aca="false">MIN(G34,AA34/Settings!$B$2*100)</f>
        <v>0</v>
      </c>
      <c r="N34" s="0" t="n">
        <f aca="false">G34-M34</f>
        <v>10</v>
      </c>
      <c r="O34" s="0" t="n">
        <f aca="false">SUM($C$3:C34)</f>
        <v>155</v>
      </c>
      <c r="P34" s="0" t="n">
        <f aca="false">SUM($E$3:E34)</f>
        <v>75</v>
      </c>
      <c r="Q34" s="0" t="n">
        <f aca="false">N34+O34</f>
        <v>165</v>
      </c>
      <c r="R34" s="0" t="n">
        <f aca="false">100+P34</f>
        <v>175</v>
      </c>
      <c r="S34" s="0" t="n">
        <f aca="false">R34-Q34</f>
        <v>10</v>
      </c>
      <c r="T34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Direction",IF(OR(C34&lt;0,E34&lt;0,J34&lt;0,AND(LEN(L34)&gt;0,L34&lt;0)),"ERROR: Negative input",IF(C34&lt;E34,"ERROR: Big BUY must be &gt;= Small SELL",IF(AND(LEN(L34)&gt;0,L34&gt;G34),"ERROR: ManualClose exceeds remaining Start position",IF(OR(N34&lt;0,Q34&lt;0,R34&lt;0),"ERROR: Negative totals",IF(Q34&gt;R34,"ERROR: Rounding broke protection balance",IF(S34&gt;Settings!$B$8,"WARNING: Skew exceeds recommended limit","OK")))))))))))</f>
        <v>OK</v>
      </c>
      <c r="U34" s="0" t="str">
        <f aca="false">IF(LEFT(T34,5)="ERROR","Check input/risk","")</f>
        <v/>
      </c>
      <c r="V34" s="0" t="n">
        <f aca="false">Settings!$B$2*C34/100</f>
        <v>0</v>
      </c>
      <c r="W34" s="0" t="n">
        <f aca="false">IF(Settings!$B$9,FLOOR(V34,Settings!$B$5),V34)</f>
        <v>0</v>
      </c>
      <c r="X34" s="0" t="n">
        <f aca="false">Settings!$B$2*E34/100</f>
        <v>0</v>
      </c>
      <c r="Y34" s="0" t="n">
        <f aca="false">IF(Settings!$B$9,CEILING(X34,Settings!$B$5),X34)</f>
        <v>0</v>
      </c>
      <c r="Z34" s="0" t="n">
        <f aca="false">Settings!$B$2*M34/100</f>
        <v>0</v>
      </c>
      <c r="AA34" s="0" t="n">
        <f aca="false">IF(Settings!$B$17,MIN(Settings!$B$2*G34/100,IF(Settings!$B$9,CEILING(MAX(0,Settings!$B$2*(H34-I34+J34)/100),Settings!$B$5),MAX(0,Settings!$B$2*(H34-I34+J34)/100))),IF(Settings!$B$9,MROUND(Z34,Settings!$B$5),Z34))</f>
        <v>0</v>
      </c>
      <c r="AB34" s="3" t="str">
        <f aca="false">IF(LEFT(T34,5)="ERROR","ERROR",IF(AND(Settings!$B$17,ABS(AA34-Z34)&gt;0.000000001),"FIXED",IF(ABS(S34)&lt;=Settings!$B$7,"SAFE","WARNING")))</f>
        <v>WARNING</v>
      </c>
      <c r="AC34" s="0" t="str">
        <f aca="false">IF(AB34="FIXED","Close adjusted by SAFE mode",IF(AB34="SAFE","BUY/SELL balance preserved",IF(AB34="WARNING","Near protection boundary","Protection broken")))</f>
        <v>Near protection boundary</v>
      </c>
      <c r="AD34" s="0" t="n">
        <f aca="false">MAX(0,Settings!$B$2*G34/100-AA34)</f>
        <v>0.1</v>
      </c>
      <c r="AE34" s="0" t="n">
        <f aca="false">SUM($W$3:W34)</f>
        <v>1.55</v>
      </c>
      <c r="AF34" s="0" t="n">
        <f aca="false">SUM($Y$3:Y34)</f>
        <v>0.75</v>
      </c>
      <c r="AG34" s="0" t="n">
        <f aca="false">AD34+AE34</f>
        <v>1.65</v>
      </c>
      <c r="AH34" s="0" t="n">
        <f aca="false">Settings!$B$2+AF34</f>
        <v>1.75</v>
      </c>
      <c r="AI34" s="0" t="n">
        <f aca="false">AH34-AG34</f>
        <v>0.0999999999999999</v>
      </c>
      <c r="AJ34" s="0" t="str">
        <f aca="false">IF(OR(AND(C34&gt;0,W34=0),AND(E34&gt;0,Y34=0),Settings!$B$2&lt;Settings!$B$5),"ERROR: LotStep too coarse",IF(AG34&gt;AH34,"ERROR: Rounded balance broken",IF(AND(J34&gt;0,AI34&lt;Settings!$B$2*J34/100),"WARNING","OK")))</f>
        <v>OK</v>
      </c>
    </row>
    <row r="35" customFormat="false" ht="14.9" hidden="false" customHeight="false" outlineLevel="0" collapsed="false">
      <c r="A35" s="0" t="n">
        <v>33</v>
      </c>
      <c r="B35" s="0" t="n">
        <f aca="false">A35*Settings!$B$3</f>
        <v>3300</v>
      </c>
      <c r="C35" s="0" t="n">
        <f aca="false">IF(A35&lt;=Settings!$B$4,IFERROR(xlookup(A35,LevelRange,BigPercentRange),0),0)</f>
        <v>0</v>
      </c>
      <c r="D35" s="0" t="n">
        <f aca="false">W35</f>
        <v>0</v>
      </c>
      <c r="E35" s="0" t="n">
        <f aca="false">IF(A35&lt;=Settings!$B$4,IFERROR(xlookup(A35,LevelRange,SmallPercentRange),0),0)</f>
        <v>0</v>
      </c>
      <c r="F35" s="0" t="n">
        <f aca="false">Y35</f>
        <v>0</v>
      </c>
      <c r="G35" s="0" t="n">
        <f aca="false">N34</f>
        <v>10</v>
      </c>
      <c r="H35" s="0" t="n">
        <f aca="false">G35+SUM($C$3:C35)</f>
        <v>165</v>
      </c>
      <c r="I35" s="0" t="n">
        <f aca="false">100+SUM($E$3:E35)</f>
        <v>175</v>
      </c>
      <c r="J35" s="0" t="n">
        <f aca="false">IF(A35&lt;=Settings!$B$4,IFERROR(xlookup(A35,LevelRange,TargetSkewRange),0),0)</f>
        <v>0</v>
      </c>
      <c r="K35" s="0" t="n">
        <f aca="false">MIN(G35,MAX(0,H35-I35+J35))</f>
        <v>0</v>
      </c>
      <c r="L35" s="0" t="str">
        <f aca="false">IF(A35&lt;=Settings!$B$4,IFERROR(xlookup(A35,LevelRange,ManualCloseRange),""),"")</f>
        <v/>
      </c>
      <c r="M35" s="0" t="n">
        <f aca="false">MIN(G35,AA35/Settings!$B$2*100)</f>
        <v>0</v>
      </c>
      <c r="N35" s="0" t="n">
        <f aca="false">G35-M35</f>
        <v>10</v>
      </c>
      <c r="O35" s="0" t="n">
        <f aca="false">SUM($C$3:C35)</f>
        <v>155</v>
      </c>
      <c r="P35" s="0" t="n">
        <f aca="false">SUM($E$3:E35)</f>
        <v>75</v>
      </c>
      <c r="Q35" s="0" t="n">
        <f aca="false">N35+O35</f>
        <v>165</v>
      </c>
      <c r="R35" s="0" t="n">
        <f aca="false">100+P35</f>
        <v>175</v>
      </c>
      <c r="S35" s="0" t="n">
        <f aca="false">R35-Q35</f>
        <v>10</v>
      </c>
      <c r="T35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Direction",IF(OR(C35&lt;0,E35&lt;0,J35&lt;0,AND(LEN(L35)&gt;0,L35&lt;0)),"ERROR: Negative input",IF(C35&lt;E35,"ERROR: Big BUY must be &gt;= Small SELL",IF(AND(LEN(L35)&gt;0,L35&gt;G35),"ERROR: ManualClose exceeds remaining Start position",IF(OR(N35&lt;0,Q35&lt;0,R35&lt;0),"ERROR: Negative totals",IF(Q35&gt;R35,"ERROR: Rounding broke protection balance",IF(S35&gt;Settings!$B$8,"WARNING: Skew exceeds recommended limit","OK")))))))))))</f>
        <v>OK</v>
      </c>
      <c r="U35" s="0" t="str">
        <f aca="false">IF(LEFT(T35,5)="ERROR","Check input/risk","")</f>
        <v/>
      </c>
      <c r="V35" s="0" t="n">
        <f aca="false">Settings!$B$2*C35/100</f>
        <v>0</v>
      </c>
      <c r="W35" s="0" t="n">
        <f aca="false">IF(Settings!$B$9,FLOOR(V35,Settings!$B$5),V35)</f>
        <v>0</v>
      </c>
      <c r="X35" s="0" t="n">
        <f aca="false">Settings!$B$2*E35/100</f>
        <v>0</v>
      </c>
      <c r="Y35" s="0" t="n">
        <f aca="false">IF(Settings!$B$9,CEILING(X35,Settings!$B$5),X35)</f>
        <v>0</v>
      </c>
      <c r="Z35" s="0" t="n">
        <f aca="false">Settings!$B$2*M35/100</f>
        <v>0</v>
      </c>
      <c r="AA35" s="0" t="n">
        <f aca="false">IF(Settings!$B$17,MIN(Settings!$B$2*G35/100,IF(Settings!$B$9,CEILING(MAX(0,Settings!$B$2*(H35-I35+J35)/100),Settings!$B$5),MAX(0,Settings!$B$2*(H35-I35+J35)/100))),IF(Settings!$B$9,MROUND(Z35,Settings!$B$5),Z35))</f>
        <v>0</v>
      </c>
      <c r="AB35" s="3" t="str">
        <f aca="false">IF(LEFT(T35,5)="ERROR","ERROR",IF(AND(Settings!$B$17,ABS(AA35-Z35)&gt;0.000000001),"FIXED",IF(ABS(S35)&lt;=Settings!$B$7,"SAFE","WARNING")))</f>
        <v>WARNING</v>
      </c>
      <c r="AC35" s="0" t="str">
        <f aca="false">IF(AB35="FIXED","Close adjusted by SAFE mode",IF(AB35="SAFE","BUY/SELL balance preserved",IF(AB35="WARNING","Near protection boundary","Protection broken")))</f>
        <v>Near protection boundary</v>
      </c>
      <c r="AD35" s="0" t="n">
        <f aca="false">MAX(0,Settings!$B$2*G35/100-AA35)</f>
        <v>0.1</v>
      </c>
      <c r="AE35" s="0" t="n">
        <f aca="false">SUM($W$3:W35)</f>
        <v>1.55</v>
      </c>
      <c r="AF35" s="0" t="n">
        <f aca="false">SUM($Y$3:Y35)</f>
        <v>0.75</v>
      </c>
      <c r="AG35" s="0" t="n">
        <f aca="false">AD35+AE35</f>
        <v>1.65</v>
      </c>
      <c r="AH35" s="0" t="n">
        <f aca="false">Settings!$B$2+AF35</f>
        <v>1.75</v>
      </c>
      <c r="AI35" s="0" t="n">
        <f aca="false">AH35-AG35</f>
        <v>0.0999999999999999</v>
      </c>
      <c r="AJ35" s="0" t="str">
        <f aca="false">IF(OR(AND(C35&gt;0,W35=0),AND(E35&gt;0,Y35=0),Settings!$B$2&lt;Settings!$B$5),"ERROR: LotStep too coarse",IF(AG35&gt;AH35,"ERROR: Rounded balance broken",IF(AND(J35&gt;0,AI35&lt;Settings!$B$2*J35/100),"WARNING","OK")))</f>
        <v>OK</v>
      </c>
    </row>
    <row r="36" customFormat="false" ht="14.9" hidden="false" customHeight="false" outlineLevel="0" collapsed="false">
      <c r="A36" s="0" t="n">
        <v>34</v>
      </c>
      <c r="B36" s="0" t="n">
        <f aca="false">A36*Settings!$B$3</f>
        <v>3400</v>
      </c>
      <c r="C36" s="0" t="n">
        <f aca="false">IF(A36&lt;=Settings!$B$4,IFERROR(xlookup(A36,LevelRange,BigPercentRange),0),0)</f>
        <v>0</v>
      </c>
      <c r="D36" s="0" t="n">
        <f aca="false">W36</f>
        <v>0</v>
      </c>
      <c r="E36" s="0" t="n">
        <f aca="false">IF(A36&lt;=Settings!$B$4,IFERROR(xlookup(A36,LevelRange,SmallPercentRange),0),0)</f>
        <v>0</v>
      </c>
      <c r="F36" s="0" t="n">
        <f aca="false">Y36</f>
        <v>0</v>
      </c>
      <c r="G36" s="0" t="n">
        <f aca="false">N35</f>
        <v>10</v>
      </c>
      <c r="H36" s="0" t="n">
        <f aca="false">G36+SUM($C$3:C36)</f>
        <v>165</v>
      </c>
      <c r="I36" s="0" t="n">
        <f aca="false">100+SUM($E$3:E36)</f>
        <v>175</v>
      </c>
      <c r="J36" s="0" t="n">
        <f aca="false">IF(A36&lt;=Settings!$B$4,IFERROR(xlookup(A36,LevelRange,TargetSkewRange),0),0)</f>
        <v>0</v>
      </c>
      <c r="K36" s="0" t="n">
        <f aca="false">MIN(G36,MAX(0,H36-I36+J36))</f>
        <v>0</v>
      </c>
      <c r="L36" s="0" t="str">
        <f aca="false">IF(A36&lt;=Settings!$B$4,IFERROR(xlookup(A36,LevelRange,ManualCloseRange),""),"")</f>
        <v/>
      </c>
      <c r="M36" s="0" t="n">
        <f aca="false">MIN(G36,AA36/Settings!$B$2*100)</f>
        <v>0</v>
      </c>
      <c r="N36" s="0" t="n">
        <f aca="false">G36-M36</f>
        <v>10</v>
      </c>
      <c r="O36" s="0" t="n">
        <f aca="false">SUM($C$3:C36)</f>
        <v>155</v>
      </c>
      <c r="P36" s="0" t="n">
        <f aca="false">SUM($E$3:E36)</f>
        <v>75</v>
      </c>
      <c r="Q36" s="0" t="n">
        <f aca="false">N36+O36</f>
        <v>165</v>
      </c>
      <c r="R36" s="0" t="n">
        <f aca="false">100+P36</f>
        <v>175</v>
      </c>
      <c r="S36" s="0" t="n">
        <f aca="false">R36-Q36</f>
        <v>10</v>
      </c>
      <c r="T36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Direction",IF(OR(C36&lt;0,E36&lt;0,J36&lt;0,AND(LEN(L36)&gt;0,L36&lt;0)),"ERROR: Negative input",IF(C36&lt;E36,"ERROR: Big BUY must be &gt;= Small SELL",IF(AND(LEN(L36)&gt;0,L36&gt;G36),"ERROR: ManualClose exceeds remaining Start position",IF(OR(N36&lt;0,Q36&lt;0,R36&lt;0),"ERROR: Negative totals",IF(Q36&gt;R36,"ERROR: Rounding broke protection balance",IF(S36&gt;Settings!$B$8,"WARNING: Skew exceeds recommended limit","OK")))))))))))</f>
        <v>OK</v>
      </c>
      <c r="U36" s="0" t="str">
        <f aca="false">IF(LEFT(T36,5)="ERROR","Check input/risk","")</f>
        <v/>
      </c>
      <c r="V36" s="0" t="n">
        <f aca="false">Settings!$B$2*C36/100</f>
        <v>0</v>
      </c>
      <c r="W36" s="0" t="n">
        <f aca="false">IF(Settings!$B$9,FLOOR(V36,Settings!$B$5),V36)</f>
        <v>0</v>
      </c>
      <c r="X36" s="0" t="n">
        <f aca="false">Settings!$B$2*E36/100</f>
        <v>0</v>
      </c>
      <c r="Y36" s="0" t="n">
        <f aca="false">IF(Settings!$B$9,CEILING(X36,Settings!$B$5),X36)</f>
        <v>0</v>
      </c>
      <c r="Z36" s="0" t="n">
        <f aca="false">Settings!$B$2*M36/100</f>
        <v>0</v>
      </c>
      <c r="AA36" s="0" t="n">
        <f aca="false">IF(Settings!$B$17,MIN(Settings!$B$2*G36/100,IF(Settings!$B$9,CEILING(MAX(0,Settings!$B$2*(H36-I36+J36)/100),Settings!$B$5),MAX(0,Settings!$B$2*(H36-I36+J36)/100))),IF(Settings!$B$9,MROUND(Z36,Settings!$B$5),Z36))</f>
        <v>0</v>
      </c>
      <c r="AB36" s="3" t="str">
        <f aca="false">IF(LEFT(T36,5)="ERROR","ERROR",IF(AND(Settings!$B$17,ABS(AA36-Z36)&gt;0.000000001),"FIXED",IF(ABS(S36)&lt;=Settings!$B$7,"SAFE","WARNING")))</f>
        <v>WARNING</v>
      </c>
      <c r="AC36" s="0" t="str">
        <f aca="false">IF(AB36="FIXED","Close adjusted by SAFE mode",IF(AB36="SAFE","BUY/SELL balance preserved",IF(AB36="WARNING","Near protection boundary","Protection broken")))</f>
        <v>Near protection boundary</v>
      </c>
      <c r="AD36" s="0" t="n">
        <f aca="false">MAX(0,Settings!$B$2*G36/100-AA36)</f>
        <v>0.1</v>
      </c>
      <c r="AE36" s="0" t="n">
        <f aca="false">SUM($W$3:W36)</f>
        <v>1.55</v>
      </c>
      <c r="AF36" s="0" t="n">
        <f aca="false">SUM($Y$3:Y36)</f>
        <v>0.75</v>
      </c>
      <c r="AG36" s="0" t="n">
        <f aca="false">AD36+AE36</f>
        <v>1.65</v>
      </c>
      <c r="AH36" s="0" t="n">
        <f aca="false">Settings!$B$2+AF36</f>
        <v>1.75</v>
      </c>
      <c r="AI36" s="0" t="n">
        <f aca="false">AH36-AG36</f>
        <v>0.0999999999999999</v>
      </c>
      <c r="AJ36" s="0" t="str">
        <f aca="false">IF(OR(AND(C36&gt;0,W36=0),AND(E36&gt;0,Y36=0),Settings!$B$2&lt;Settings!$B$5),"ERROR: LotStep too coarse",IF(AG36&gt;AH36,"ERROR: Rounded balance broken",IF(AND(J36&gt;0,AI36&lt;Settings!$B$2*J36/100),"WARNING","OK")))</f>
        <v>OK</v>
      </c>
    </row>
    <row r="37" customFormat="false" ht="14.9" hidden="false" customHeight="false" outlineLevel="0" collapsed="false">
      <c r="A37" s="0" t="n">
        <v>35</v>
      </c>
      <c r="B37" s="0" t="n">
        <f aca="false">A37*Settings!$B$3</f>
        <v>3500</v>
      </c>
      <c r="C37" s="0" t="n">
        <f aca="false">IF(A37&lt;=Settings!$B$4,IFERROR(xlookup(A37,LevelRange,BigPercentRange),0),0)</f>
        <v>0</v>
      </c>
      <c r="D37" s="0" t="n">
        <f aca="false">W37</f>
        <v>0</v>
      </c>
      <c r="E37" s="0" t="n">
        <f aca="false">IF(A37&lt;=Settings!$B$4,IFERROR(xlookup(A37,LevelRange,SmallPercentRange),0),0)</f>
        <v>0</v>
      </c>
      <c r="F37" s="0" t="n">
        <f aca="false">Y37</f>
        <v>0</v>
      </c>
      <c r="G37" s="0" t="n">
        <f aca="false">N36</f>
        <v>10</v>
      </c>
      <c r="H37" s="0" t="n">
        <f aca="false">G37+SUM($C$3:C37)</f>
        <v>165</v>
      </c>
      <c r="I37" s="0" t="n">
        <f aca="false">100+SUM($E$3:E37)</f>
        <v>175</v>
      </c>
      <c r="J37" s="0" t="n">
        <f aca="false">IF(A37&lt;=Settings!$B$4,IFERROR(xlookup(A37,LevelRange,TargetSkewRange),0),0)</f>
        <v>0</v>
      </c>
      <c r="K37" s="0" t="n">
        <f aca="false">MIN(G37,MAX(0,H37-I37+J37))</f>
        <v>0</v>
      </c>
      <c r="L37" s="0" t="str">
        <f aca="false">IF(A37&lt;=Settings!$B$4,IFERROR(xlookup(A37,LevelRange,ManualCloseRange),""),"")</f>
        <v/>
      </c>
      <c r="M37" s="0" t="n">
        <f aca="false">MIN(G37,AA37/Settings!$B$2*100)</f>
        <v>0</v>
      </c>
      <c r="N37" s="0" t="n">
        <f aca="false">G37-M37</f>
        <v>10</v>
      </c>
      <c r="O37" s="0" t="n">
        <f aca="false">SUM($C$3:C37)</f>
        <v>155</v>
      </c>
      <c r="P37" s="0" t="n">
        <f aca="false">SUM($E$3:E37)</f>
        <v>75</v>
      </c>
      <c r="Q37" s="0" t="n">
        <f aca="false">N37+O37</f>
        <v>165</v>
      </c>
      <c r="R37" s="0" t="n">
        <f aca="false">100+P37</f>
        <v>175</v>
      </c>
      <c r="S37" s="0" t="n">
        <f aca="false">R37-Q37</f>
        <v>10</v>
      </c>
      <c r="T37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Direction",IF(OR(C37&lt;0,E37&lt;0,J37&lt;0,AND(LEN(L37)&gt;0,L37&lt;0)),"ERROR: Negative input",IF(C37&lt;E37,"ERROR: Big BUY must be &gt;= Small SELL",IF(AND(LEN(L37)&gt;0,L37&gt;G37),"ERROR: ManualClose exceeds remaining Start position",IF(OR(N37&lt;0,Q37&lt;0,R37&lt;0),"ERROR: Negative totals",IF(Q37&gt;R37,"ERROR: Rounding broke protection balance",IF(S37&gt;Settings!$B$8,"WARNING: Skew exceeds recommended limit","OK")))))))))))</f>
        <v>OK</v>
      </c>
      <c r="U37" s="0" t="str">
        <f aca="false">IF(LEFT(T37,5)="ERROR","Check input/risk","")</f>
        <v/>
      </c>
      <c r="V37" s="0" t="n">
        <f aca="false">Settings!$B$2*C37/100</f>
        <v>0</v>
      </c>
      <c r="W37" s="0" t="n">
        <f aca="false">IF(Settings!$B$9,FLOOR(V37,Settings!$B$5),V37)</f>
        <v>0</v>
      </c>
      <c r="X37" s="0" t="n">
        <f aca="false">Settings!$B$2*E37/100</f>
        <v>0</v>
      </c>
      <c r="Y37" s="0" t="n">
        <f aca="false">IF(Settings!$B$9,CEILING(X37,Settings!$B$5),X37)</f>
        <v>0</v>
      </c>
      <c r="Z37" s="0" t="n">
        <f aca="false">Settings!$B$2*M37/100</f>
        <v>0</v>
      </c>
      <c r="AA37" s="0" t="n">
        <f aca="false">IF(Settings!$B$17,MIN(Settings!$B$2*G37/100,IF(Settings!$B$9,CEILING(MAX(0,Settings!$B$2*(H37-I37+J37)/100),Settings!$B$5),MAX(0,Settings!$B$2*(H37-I37+J37)/100))),IF(Settings!$B$9,MROUND(Z37,Settings!$B$5),Z37))</f>
        <v>0</v>
      </c>
      <c r="AB37" s="3" t="str">
        <f aca="false">IF(LEFT(T37,5)="ERROR","ERROR",IF(AND(Settings!$B$17,ABS(AA37-Z37)&gt;0.000000001),"FIXED",IF(ABS(S37)&lt;=Settings!$B$7,"SAFE","WARNING")))</f>
        <v>WARNING</v>
      </c>
      <c r="AC37" s="0" t="str">
        <f aca="false">IF(AB37="FIXED","Close adjusted by SAFE mode",IF(AB37="SAFE","BUY/SELL balance preserved",IF(AB37="WARNING","Near protection boundary","Protection broken")))</f>
        <v>Near protection boundary</v>
      </c>
      <c r="AD37" s="0" t="n">
        <f aca="false">MAX(0,Settings!$B$2*G37/100-AA37)</f>
        <v>0.1</v>
      </c>
      <c r="AE37" s="0" t="n">
        <f aca="false">SUM($W$3:W37)</f>
        <v>1.55</v>
      </c>
      <c r="AF37" s="0" t="n">
        <f aca="false">SUM($Y$3:Y37)</f>
        <v>0.75</v>
      </c>
      <c r="AG37" s="0" t="n">
        <f aca="false">AD37+AE37</f>
        <v>1.65</v>
      </c>
      <c r="AH37" s="0" t="n">
        <f aca="false">Settings!$B$2+AF37</f>
        <v>1.75</v>
      </c>
      <c r="AI37" s="0" t="n">
        <f aca="false">AH37-AG37</f>
        <v>0.0999999999999999</v>
      </c>
      <c r="AJ37" s="0" t="str">
        <f aca="false">IF(OR(AND(C37&gt;0,W37=0),AND(E37&gt;0,Y37=0),Settings!$B$2&lt;Settings!$B$5),"ERROR: LotStep too coarse",IF(AG37&gt;AH37,"ERROR: Rounded balance broken",IF(AND(J37&gt;0,AI37&lt;Settings!$B$2*J37/100),"WARNING","OK")))</f>
        <v>OK</v>
      </c>
    </row>
    <row r="38" customFormat="false" ht="14.9" hidden="false" customHeight="false" outlineLevel="0" collapsed="false">
      <c r="A38" s="0" t="n">
        <v>36</v>
      </c>
      <c r="B38" s="0" t="n">
        <f aca="false">A38*Settings!$B$3</f>
        <v>3600</v>
      </c>
      <c r="C38" s="0" t="n">
        <f aca="false">IF(A38&lt;=Settings!$B$4,IFERROR(xlookup(A38,LevelRange,BigPercentRange),0),0)</f>
        <v>0</v>
      </c>
      <c r="D38" s="0" t="n">
        <f aca="false">W38</f>
        <v>0</v>
      </c>
      <c r="E38" s="0" t="n">
        <f aca="false">IF(A38&lt;=Settings!$B$4,IFERROR(xlookup(A38,LevelRange,SmallPercentRange),0),0)</f>
        <v>0</v>
      </c>
      <c r="F38" s="0" t="n">
        <f aca="false">Y38</f>
        <v>0</v>
      </c>
      <c r="G38" s="0" t="n">
        <f aca="false">N37</f>
        <v>10</v>
      </c>
      <c r="H38" s="0" t="n">
        <f aca="false">G38+SUM($C$3:C38)</f>
        <v>165</v>
      </c>
      <c r="I38" s="0" t="n">
        <f aca="false">100+SUM($E$3:E38)</f>
        <v>175</v>
      </c>
      <c r="J38" s="0" t="n">
        <f aca="false">IF(A38&lt;=Settings!$B$4,IFERROR(xlookup(A38,LevelRange,TargetSkewRange),0),0)</f>
        <v>0</v>
      </c>
      <c r="K38" s="0" t="n">
        <f aca="false">MIN(G38,MAX(0,H38-I38+J38))</f>
        <v>0</v>
      </c>
      <c r="L38" s="0" t="str">
        <f aca="false">IF(A38&lt;=Settings!$B$4,IFERROR(xlookup(A38,LevelRange,ManualCloseRange),""),"")</f>
        <v/>
      </c>
      <c r="M38" s="0" t="n">
        <f aca="false">MIN(G38,AA38/Settings!$B$2*100)</f>
        <v>0</v>
      </c>
      <c r="N38" s="0" t="n">
        <f aca="false">G38-M38</f>
        <v>10</v>
      </c>
      <c r="O38" s="0" t="n">
        <f aca="false">SUM($C$3:C38)</f>
        <v>155</v>
      </c>
      <c r="P38" s="0" t="n">
        <f aca="false">SUM($E$3:E38)</f>
        <v>75</v>
      </c>
      <c r="Q38" s="0" t="n">
        <f aca="false">N38+O38</f>
        <v>165</v>
      </c>
      <c r="R38" s="0" t="n">
        <f aca="false">100+P38</f>
        <v>175</v>
      </c>
      <c r="S38" s="0" t="n">
        <f aca="false">R38-Q38</f>
        <v>10</v>
      </c>
      <c r="T38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Direction",IF(OR(C38&lt;0,E38&lt;0,J38&lt;0,AND(LEN(L38)&gt;0,L38&lt;0)),"ERROR: Negative input",IF(C38&lt;E38,"ERROR: Big BUY must be &gt;= Small SELL",IF(AND(LEN(L38)&gt;0,L38&gt;G38),"ERROR: ManualClose exceeds remaining Start position",IF(OR(N38&lt;0,Q38&lt;0,R38&lt;0),"ERROR: Negative totals",IF(Q38&gt;R38,"ERROR: Rounding broke protection balance",IF(S38&gt;Settings!$B$8,"WARNING: Skew exceeds recommended limit","OK")))))))))))</f>
        <v>OK</v>
      </c>
      <c r="U38" s="0" t="str">
        <f aca="false">IF(LEFT(T38,5)="ERROR","Check input/risk","")</f>
        <v/>
      </c>
      <c r="V38" s="0" t="n">
        <f aca="false">Settings!$B$2*C38/100</f>
        <v>0</v>
      </c>
      <c r="W38" s="0" t="n">
        <f aca="false">IF(Settings!$B$9,FLOOR(V38,Settings!$B$5),V38)</f>
        <v>0</v>
      </c>
      <c r="X38" s="0" t="n">
        <f aca="false">Settings!$B$2*E38/100</f>
        <v>0</v>
      </c>
      <c r="Y38" s="0" t="n">
        <f aca="false">IF(Settings!$B$9,CEILING(X38,Settings!$B$5),X38)</f>
        <v>0</v>
      </c>
      <c r="Z38" s="0" t="n">
        <f aca="false">Settings!$B$2*M38/100</f>
        <v>0</v>
      </c>
      <c r="AA38" s="0" t="n">
        <f aca="false">IF(Settings!$B$17,MIN(Settings!$B$2*G38/100,IF(Settings!$B$9,CEILING(MAX(0,Settings!$B$2*(H38-I38+J38)/100),Settings!$B$5),MAX(0,Settings!$B$2*(H38-I38+J38)/100))),IF(Settings!$B$9,MROUND(Z38,Settings!$B$5),Z38))</f>
        <v>0</v>
      </c>
      <c r="AB38" s="3" t="str">
        <f aca="false">IF(LEFT(T38,5)="ERROR","ERROR",IF(AND(Settings!$B$17,ABS(AA38-Z38)&gt;0.000000001),"FIXED",IF(ABS(S38)&lt;=Settings!$B$7,"SAFE","WARNING")))</f>
        <v>WARNING</v>
      </c>
      <c r="AC38" s="0" t="str">
        <f aca="false">IF(AB38="FIXED","Close adjusted by SAFE mode",IF(AB38="SAFE","BUY/SELL balance preserved",IF(AB38="WARNING","Near protection boundary","Protection broken")))</f>
        <v>Near protection boundary</v>
      </c>
      <c r="AD38" s="0" t="n">
        <f aca="false">MAX(0,Settings!$B$2*G38/100-AA38)</f>
        <v>0.1</v>
      </c>
      <c r="AE38" s="0" t="n">
        <f aca="false">SUM($W$3:W38)</f>
        <v>1.55</v>
      </c>
      <c r="AF38" s="0" t="n">
        <f aca="false">SUM($Y$3:Y38)</f>
        <v>0.75</v>
      </c>
      <c r="AG38" s="0" t="n">
        <f aca="false">AD38+AE38</f>
        <v>1.65</v>
      </c>
      <c r="AH38" s="0" t="n">
        <f aca="false">Settings!$B$2+AF38</f>
        <v>1.75</v>
      </c>
      <c r="AI38" s="0" t="n">
        <f aca="false">AH38-AG38</f>
        <v>0.0999999999999999</v>
      </c>
      <c r="AJ38" s="0" t="str">
        <f aca="false">IF(OR(AND(C38&gt;0,W38=0),AND(E38&gt;0,Y38=0),Settings!$B$2&lt;Settings!$B$5),"ERROR: LotStep too coarse",IF(AG38&gt;AH38,"ERROR: Rounded balance broken",IF(AND(J38&gt;0,AI38&lt;Settings!$B$2*J38/100),"WARNING","OK")))</f>
        <v>OK</v>
      </c>
    </row>
    <row r="39" customFormat="false" ht="14.9" hidden="false" customHeight="false" outlineLevel="0" collapsed="false">
      <c r="A39" s="0" t="n">
        <v>37</v>
      </c>
      <c r="B39" s="0" t="n">
        <f aca="false">A39*Settings!$B$3</f>
        <v>3700</v>
      </c>
      <c r="C39" s="0" t="n">
        <f aca="false">IF(A39&lt;=Settings!$B$4,IFERROR(xlookup(A39,LevelRange,BigPercentRange),0),0)</f>
        <v>0</v>
      </c>
      <c r="D39" s="0" t="n">
        <f aca="false">W39</f>
        <v>0</v>
      </c>
      <c r="E39" s="0" t="n">
        <f aca="false">IF(A39&lt;=Settings!$B$4,IFERROR(xlookup(A39,LevelRange,SmallPercentRange),0),0)</f>
        <v>0</v>
      </c>
      <c r="F39" s="0" t="n">
        <f aca="false">Y39</f>
        <v>0</v>
      </c>
      <c r="G39" s="0" t="n">
        <f aca="false">N38</f>
        <v>10</v>
      </c>
      <c r="H39" s="0" t="n">
        <f aca="false">G39+SUM($C$3:C39)</f>
        <v>165</v>
      </c>
      <c r="I39" s="0" t="n">
        <f aca="false">100+SUM($E$3:E39)</f>
        <v>175</v>
      </c>
      <c r="J39" s="0" t="n">
        <f aca="false">IF(A39&lt;=Settings!$B$4,IFERROR(xlookup(A39,LevelRange,TargetSkewRange),0),0)</f>
        <v>0</v>
      </c>
      <c r="K39" s="0" t="n">
        <f aca="false">MIN(G39,MAX(0,H39-I39+J39))</f>
        <v>0</v>
      </c>
      <c r="L39" s="0" t="str">
        <f aca="false">IF(A39&lt;=Settings!$B$4,IFERROR(xlookup(A39,LevelRange,ManualCloseRange),""),"")</f>
        <v/>
      </c>
      <c r="M39" s="0" t="n">
        <f aca="false">MIN(G39,AA39/Settings!$B$2*100)</f>
        <v>0</v>
      </c>
      <c r="N39" s="0" t="n">
        <f aca="false">G39-M39</f>
        <v>10</v>
      </c>
      <c r="O39" s="0" t="n">
        <f aca="false">SUM($C$3:C39)</f>
        <v>155</v>
      </c>
      <c r="P39" s="0" t="n">
        <f aca="false">SUM($E$3:E39)</f>
        <v>75</v>
      </c>
      <c r="Q39" s="0" t="n">
        <f aca="false">N39+O39</f>
        <v>165</v>
      </c>
      <c r="R39" s="0" t="n">
        <f aca="false">100+P39</f>
        <v>175</v>
      </c>
      <c r="S39" s="0" t="n">
        <f aca="false">R39-Q39</f>
        <v>10</v>
      </c>
      <c r="T39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Direction",IF(OR(C39&lt;0,E39&lt;0,J39&lt;0,AND(LEN(L39)&gt;0,L39&lt;0)),"ERROR: Negative input",IF(C39&lt;E39,"ERROR: Big BUY must be &gt;= Small SELL",IF(AND(LEN(L39)&gt;0,L39&gt;G39),"ERROR: ManualClose exceeds remaining Start position",IF(OR(N39&lt;0,Q39&lt;0,R39&lt;0),"ERROR: Negative totals",IF(Q39&gt;R39,"ERROR: Rounding broke protection balance",IF(S39&gt;Settings!$B$8,"WARNING: Skew exceeds recommended limit","OK")))))))))))</f>
        <v>OK</v>
      </c>
      <c r="U39" s="0" t="str">
        <f aca="false">IF(LEFT(T39,5)="ERROR","Check input/risk","")</f>
        <v/>
      </c>
      <c r="V39" s="0" t="n">
        <f aca="false">Settings!$B$2*C39/100</f>
        <v>0</v>
      </c>
      <c r="W39" s="0" t="n">
        <f aca="false">IF(Settings!$B$9,FLOOR(V39,Settings!$B$5),V39)</f>
        <v>0</v>
      </c>
      <c r="X39" s="0" t="n">
        <f aca="false">Settings!$B$2*E39/100</f>
        <v>0</v>
      </c>
      <c r="Y39" s="0" t="n">
        <f aca="false">IF(Settings!$B$9,CEILING(X39,Settings!$B$5),X39)</f>
        <v>0</v>
      </c>
      <c r="Z39" s="0" t="n">
        <f aca="false">Settings!$B$2*M39/100</f>
        <v>0</v>
      </c>
      <c r="AA39" s="0" t="n">
        <f aca="false">IF(Settings!$B$17,MIN(Settings!$B$2*G39/100,IF(Settings!$B$9,CEILING(MAX(0,Settings!$B$2*(H39-I39+J39)/100),Settings!$B$5),MAX(0,Settings!$B$2*(H39-I39+J39)/100))),IF(Settings!$B$9,MROUND(Z39,Settings!$B$5),Z39))</f>
        <v>0</v>
      </c>
      <c r="AB39" s="3" t="str">
        <f aca="false">IF(LEFT(T39,5)="ERROR","ERROR",IF(AND(Settings!$B$17,ABS(AA39-Z39)&gt;0.000000001),"FIXED",IF(ABS(S39)&lt;=Settings!$B$7,"SAFE","WARNING")))</f>
        <v>WARNING</v>
      </c>
      <c r="AC39" s="0" t="str">
        <f aca="false">IF(AB39="FIXED","Close adjusted by SAFE mode",IF(AB39="SAFE","BUY/SELL balance preserved",IF(AB39="WARNING","Near protection boundary","Protection broken")))</f>
        <v>Near protection boundary</v>
      </c>
      <c r="AD39" s="0" t="n">
        <f aca="false">MAX(0,Settings!$B$2*G39/100-AA39)</f>
        <v>0.1</v>
      </c>
      <c r="AE39" s="0" t="n">
        <f aca="false">SUM($W$3:W39)</f>
        <v>1.55</v>
      </c>
      <c r="AF39" s="0" t="n">
        <f aca="false">SUM($Y$3:Y39)</f>
        <v>0.75</v>
      </c>
      <c r="AG39" s="0" t="n">
        <f aca="false">AD39+AE39</f>
        <v>1.65</v>
      </c>
      <c r="AH39" s="0" t="n">
        <f aca="false">Settings!$B$2+AF39</f>
        <v>1.75</v>
      </c>
      <c r="AI39" s="0" t="n">
        <f aca="false">AH39-AG39</f>
        <v>0.0999999999999999</v>
      </c>
      <c r="AJ39" s="0" t="str">
        <f aca="false">IF(OR(AND(C39&gt;0,W39=0),AND(E39&gt;0,Y39=0),Settings!$B$2&lt;Settings!$B$5),"ERROR: LotStep too coarse",IF(AG39&gt;AH39,"ERROR: Rounded balance broken",IF(AND(J39&gt;0,AI39&lt;Settings!$B$2*J39/100),"WARNING","OK")))</f>
        <v>OK</v>
      </c>
    </row>
    <row r="40" customFormat="false" ht="14.9" hidden="false" customHeight="false" outlineLevel="0" collapsed="false">
      <c r="A40" s="0" t="n">
        <v>38</v>
      </c>
      <c r="B40" s="0" t="n">
        <f aca="false">A40*Settings!$B$3</f>
        <v>3800</v>
      </c>
      <c r="C40" s="0" t="n">
        <f aca="false">IF(A40&lt;=Settings!$B$4,IFERROR(xlookup(A40,LevelRange,BigPercentRange),0),0)</f>
        <v>0</v>
      </c>
      <c r="D40" s="0" t="n">
        <f aca="false">W40</f>
        <v>0</v>
      </c>
      <c r="E40" s="0" t="n">
        <f aca="false">IF(A40&lt;=Settings!$B$4,IFERROR(xlookup(A40,LevelRange,SmallPercentRange),0),0)</f>
        <v>0</v>
      </c>
      <c r="F40" s="0" t="n">
        <f aca="false">Y40</f>
        <v>0</v>
      </c>
      <c r="G40" s="0" t="n">
        <f aca="false">N39</f>
        <v>10</v>
      </c>
      <c r="H40" s="0" t="n">
        <f aca="false">G40+SUM($C$3:C40)</f>
        <v>165</v>
      </c>
      <c r="I40" s="0" t="n">
        <f aca="false">100+SUM($E$3:E40)</f>
        <v>175</v>
      </c>
      <c r="J40" s="0" t="n">
        <f aca="false">IF(A40&lt;=Settings!$B$4,IFERROR(xlookup(A40,LevelRange,TargetSkewRange),0),0)</f>
        <v>0</v>
      </c>
      <c r="K40" s="0" t="n">
        <f aca="false">MIN(G40,MAX(0,H40-I40+J40))</f>
        <v>0</v>
      </c>
      <c r="L40" s="0" t="str">
        <f aca="false">IF(A40&lt;=Settings!$B$4,IFERROR(xlookup(A40,LevelRange,ManualCloseRange),""),"")</f>
        <v/>
      </c>
      <c r="M40" s="0" t="n">
        <f aca="false">MIN(G40,AA40/Settings!$B$2*100)</f>
        <v>0</v>
      </c>
      <c r="N40" s="0" t="n">
        <f aca="false">G40-M40</f>
        <v>10</v>
      </c>
      <c r="O40" s="0" t="n">
        <f aca="false">SUM($C$3:C40)</f>
        <v>155</v>
      </c>
      <c r="P40" s="0" t="n">
        <f aca="false">SUM($E$3:E40)</f>
        <v>75</v>
      </c>
      <c r="Q40" s="0" t="n">
        <f aca="false">N40+O40</f>
        <v>165</v>
      </c>
      <c r="R40" s="0" t="n">
        <f aca="false">100+P40</f>
        <v>175</v>
      </c>
      <c r="S40" s="0" t="n">
        <f aca="false">R40-Q40</f>
        <v>10</v>
      </c>
      <c r="T40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Direction",IF(OR(C40&lt;0,E40&lt;0,J40&lt;0,AND(LEN(L40)&gt;0,L40&lt;0)),"ERROR: Negative input",IF(C40&lt;E40,"ERROR: Big BUY must be &gt;= Small SELL",IF(AND(LEN(L40)&gt;0,L40&gt;G40),"ERROR: ManualClose exceeds remaining Start position",IF(OR(N40&lt;0,Q40&lt;0,R40&lt;0),"ERROR: Negative totals",IF(Q40&gt;R40,"ERROR: Rounding broke protection balance",IF(S40&gt;Settings!$B$8,"WARNING: Skew exceeds recommended limit","OK")))))))))))</f>
        <v>OK</v>
      </c>
      <c r="U40" s="0" t="str">
        <f aca="false">IF(LEFT(T40,5)="ERROR","Check input/risk","")</f>
        <v/>
      </c>
      <c r="V40" s="0" t="n">
        <f aca="false">Settings!$B$2*C40/100</f>
        <v>0</v>
      </c>
      <c r="W40" s="0" t="n">
        <f aca="false">IF(Settings!$B$9,FLOOR(V40,Settings!$B$5),V40)</f>
        <v>0</v>
      </c>
      <c r="X40" s="0" t="n">
        <f aca="false">Settings!$B$2*E40/100</f>
        <v>0</v>
      </c>
      <c r="Y40" s="0" t="n">
        <f aca="false">IF(Settings!$B$9,CEILING(X40,Settings!$B$5),X40)</f>
        <v>0</v>
      </c>
      <c r="Z40" s="0" t="n">
        <f aca="false">Settings!$B$2*M40/100</f>
        <v>0</v>
      </c>
      <c r="AA40" s="0" t="n">
        <f aca="false">IF(Settings!$B$17,MIN(Settings!$B$2*G40/100,IF(Settings!$B$9,CEILING(MAX(0,Settings!$B$2*(H40-I40+J40)/100),Settings!$B$5),MAX(0,Settings!$B$2*(H40-I40+J40)/100))),IF(Settings!$B$9,MROUND(Z40,Settings!$B$5),Z40))</f>
        <v>0</v>
      </c>
      <c r="AB40" s="3" t="str">
        <f aca="false">IF(LEFT(T40,5)="ERROR","ERROR",IF(AND(Settings!$B$17,ABS(AA40-Z40)&gt;0.000000001),"FIXED",IF(ABS(S40)&lt;=Settings!$B$7,"SAFE","WARNING")))</f>
        <v>WARNING</v>
      </c>
      <c r="AC40" s="0" t="str">
        <f aca="false">IF(AB40="FIXED","Close adjusted by SAFE mode",IF(AB40="SAFE","BUY/SELL balance preserved",IF(AB40="WARNING","Near protection boundary","Protection broken")))</f>
        <v>Near protection boundary</v>
      </c>
      <c r="AD40" s="0" t="n">
        <f aca="false">MAX(0,Settings!$B$2*G40/100-AA40)</f>
        <v>0.1</v>
      </c>
      <c r="AE40" s="0" t="n">
        <f aca="false">SUM($W$3:W40)</f>
        <v>1.55</v>
      </c>
      <c r="AF40" s="0" t="n">
        <f aca="false">SUM($Y$3:Y40)</f>
        <v>0.75</v>
      </c>
      <c r="AG40" s="0" t="n">
        <f aca="false">AD40+AE40</f>
        <v>1.65</v>
      </c>
      <c r="AH40" s="0" t="n">
        <f aca="false">Settings!$B$2+AF40</f>
        <v>1.75</v>
      </c>
      <c r="AI40" s="0" t="n">
        <f aca="false">AH40-AG40</f>
        <v>0.0999999999999999</v>
      </c>
      <c r="AJ40" s="0" t="str">
        <f aca="false">IF(OR(AND(C40&gt;0,W40=0),AND(E40&gt;0,Y40=0),Settings!$B$2&lt;Settings!$B$5),"ERROR: LotStep too coarse",IF(AG40&gt;AH40,"ERROR: Rounded balance broken",IF(AND(J40&gt;0,AI40&lt;Settings!$B$2*J40/100),"WARNING","OK")))</f>
        <v>OK</v>
      </c>
    </row>
    <row r="41" customFormat="false" ht="14.9" hidden="false" customHeight="false" outlineLevel="0" collapsed="false">
      <c r="A41" s="0" t="n">
        <v>39</v>
      </c>
      <c r="B41" s="0" t="n">
        <f aca="false">A41*Settings!$B$3</f>
        <v>3900</v>
      </c>
      <c r="C41" s="0" t="n">
        <f aca="false">IF(A41&lt;=Settings!$B$4,IFERROR(xlookup(A41,LevelRange,BigPercentRange),0),0)</f>
        <v>0</v>
      </c>
      <c r="D41" s="0" t="n">
        <f aca="false">W41</f>
        <v>0</v>
      </c>
      <c r="E41" s="0" t="n">
        <f aca="false">IF(A41&lt;=Settings!$B$4,IFERROR(xlookup(A41,LevelRange,SmallPercentRange),0),0)</f>
        <v>0</v>
      </c>
      <c r="F41" s="0" t="n">
        <f aca="false">Y41</f>
        <v>0</v>
      </c>
      <c r="G41" s="0" t="n">
        <f aca="false">N40</f>
        <v>10</v>
      </c>
      <c r="H41" s="0" t="n">
        <f aca="false">G41+SUM($C$3:C41)</f>
        <v>165</v>
      </c>
      <c r="I41" s="0" t="n">
        <f aca="false">100+SUM($E$3:E41)</f>
        <v>175</v>
      </c>
      <c r="J41" s="0" t="n">
        <f aca="false">IF(A41&lt;=Settings!$B$4,IFERROR(xlookup(A41,LevelRange,TargetSkewRange),0),0)</f>
        <v>0</v>
      </c>
      <c r="K41" s="0" t="n">
        <f aca="false">MIN(G41,MAX(0,H41-I41+J41))</f>
        <v>0</v>
      </c>
      <c r="L41" s="0" t="str">
        <f aca="false">IF(A41&lt;=Settings!$B$4,IFERROR(xlookup(A41,LevelRange,ManualCloseRange),""),"")</f>
        <v/>
      </c>
      <c r="M41" s="0" t="n">
        <f aca="false">MIN(G41,AA41/Settings!$B$2*100)</f>
        <v>0</v>
      </c>
      <c r="N41" s="0" t="n">
        <f aca="false">G41-M41</f>
        <v>10</v>
      </c>
      <c r="O41" s="0" t="n">
        <f aca="false">SUM($C$3:C41)</f>
        <v>155</v>
      </c>
      <c r="P41" s="0" t="n">
        <f aca="false">SUM($E$3:E41)</f>
        <v>75</v>
      </c>
      <c r="Q41" s="0" t="n">
        <f aca="false">N41+O41</f>
        <v>165</v>
      </c>
      <c r="R41" s="0" t="n">
        <f aca="false">100+P41</f>
        <v>175</v>
      </c>
      <c r="S41" s="0" t="n">
        <f aca="false">R41-Q41</f>
        <v>10</v>
      </c>
      <c r="T41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Direction",IF(OR(C41&lt;0,E41&lt;0,J41&lt;0,AND(LEN(L41)&gt;0,L41&lt;0)),"ERROR: Negative input",IF(C41&lt;E41,"ERROR: Big BUY must be &gt;= Small SELL",IF(AND(LEN(L41)&gt;0,L41&gt;G41),"ERROR: ManualClose exceeds remaining Start position",IF(OR(N41&lt;0,Q41&lt;0,R41&lt;0),"ERROR: Negative totals",IF(Q41&gt;R41,"ERROR: Rounding broke protection balance",IF(S41&gt;Settings!$B$8,"WARNING: Skew exceeds recommended limit","OK")))))))))))</f>
        <v>OK</v>
      </c>
      <c r="U41" s="0" t="str">
        <f aca="false">IF(LEFT(T41,5)="ERROR","Check input/risk","")</f>
        <v/>
      </c>
      <c r="V41" s="0" t="n">
        <f aca="false">Settings!$B$2*C41/100</f>
        <v>0</v>
      </c>
      <c r="W41" s="0" t="n">
        <f aca="false">IF(Settings!$B$9,FLOOR(V41,Settings!$B$5),V41)</f>
        <v>0</v>
      </c>
      <c r="X41" s="0" t="n">
        <f aca="false">Settings!$B$2*E41/100</f>
        <v>0</v>
      </c>
      <c r="Y41" s="0" t="n">
        <f aca="false">IF(Settings!$B$9,CEILING(X41,Settings!$B$5),X41)</f>
        <v>0</v>
      </c>
      <c r="Z41" s="0" t="n">
        <f aca="false">Settings!$B$2*M41/100</f>
        <v>0</v>
      </c>
      <c r="AA41" s="0" t="n">
        <f aca="false">IF(Settings!$B$17,MIN(Settings!$B$2*G41/100,IF(Settings!$B$9,CEILING(MAX(0,Settings!$B$2*(H41-I41+J41)/100),Settings!$B$5),MAX(0,Settings!$B$2*(H41-I41+J41)/100))),IF(Settings!$B$9,MROUND(Z41,Settings!$B$5),Z41))</f>
        <v>0</v>
      </c>
      <c r="AB41" s="3" t="str">
        <f aca="false">IF(LEFT(T41,5)="ERROR","ERROR",IF(AND(Settings!$B$17,ABS(AA41-Z41)&gt;0.000000001),"FIXED",IF(ABS(S41)&lt;=Settings!$B$7,"SAFE","WARNING")))</f>
        <v>WARNING</v>
      </c>
      <c r="AC41" s="0" t="str">
        <f aca="false">IF(AB41="FIXED","Close adjusted by SAFE mode",IF(AB41="SAFE","BUY/SELL balance preserved",IF(AB41="WARNING","Near protection boundary","Protection broken")))</f>
        <v>Near protection boundary</v>
      </c>
      <c r="AD41" s="0" t="n">
        <f aca="false">MAX(0,Settings!$B$2*G41/100-AA41)</f>
        <v>0.1</v>
      </c>
      <c r="AE41" s="0" t="n">
        <f aca="false">SUM($W$3:W41)</f>
        <v>1.55</v>
      </c>
      <c r="AF41" s="0" t="n">
        <f aca="false">SUM($Y$3:Y41)</f>
        <v>0.75</v>
      </c>
      <c r="AG41" s="0" t="n">
        <f aca="false">AD41+AE41</f>
        <v>1.65</v>
      </c>
      <c r="AH41" s="0" t="n">
        <f aca="false">Settings!$B$2+AF41</f>
        <v>1.75</v>
      </c>
      <c r="AI41" s="0" t="n">
        <f aca="false">AH41-AG41</f>
        <v>0.0999999999999999</v>
      </c>
      <c r="AJ41" s="0" t="str">
        <f aca="false">IF(OR(AND(C41&gt;0,W41=0),AND(E41&gt;0,Y41=0),Settings!$B$2&lt;Settings!$B$5),"ERROR: LotStep too coarse",IF(AG41&gt;AH41,"ERROR: Rounded balance broken",IF(AND(J41&gt;0,AI41&lt;Settings!$B$2*J41/100),"WARNING","OK")))</f>
        <v>OK</v>
      </c>
    </row>
  </sheetData>
  <conditionalFormatting sqref="AB2:AB41">
    <cfRule type="expression" priority="2" aboveAverage="0" equalAverage="0" bottom="0" percent="0" rank="0" text="" dxfId="0">
      <formula>AB2="SAFE"</formula>
    </cfRule>
    <cfRule type="expression" priority="3" aboveAverage="0" equalAverage="0" bottom="0" percent="0" rank="0" text="" dxfId="1">
      <formula>AB2="FIXED"</formula>
    </cfRule>
    <cfRule type="expression" priority="4" aboveAverage="0" equalAverage="0" bottom="0" percent="0" rank="0" text="" dxfId="2">
      <formula>AB2="WARNING"</formula>
    </cfRule>
    <cfRule type="expression" priority="5" aboveAverage="0" equalAverage="0" bottom="0" percent="0" rank="0" text="" dxfId="3">
      <formula>AB2="ERROR"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21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47</v>
      </c>
      <c r="X1" s="1" t="s">
        <v>48</v>
      </c>
      <c r="Y1" s="1" t="s">
        <v>49</v>
      </c>
      <c r="Z1" s="1" t="s">
        <v>50</v>
      </c>
      <c r="AA1" s="1" t="s">
        <v>51</v>
      </c>
      <c r="AB1" s="1" t="s">
        <v>52</v>
      </c>
      <c r="AC1" s="1" t="s">
        <v>53</v>
      </c>
      <c r="AD1" s="1" t="s">
        <v>54</v>
      </c>
      <c r="AE1" s="1" t="s">
        <v>55</v>
      </c>
      <c r="AF1" s="1" t="s">
        <v>56</v>
      </c>
      <c r="AG1" s="1" t="s">
        <v>57</v>
      </c>
      <c r="AH1" s="1" t="s">
        <v>58</v>
      </c>
      <c r="AI1" s="1" t="s">
        <v>59</v>
      </c>
      <c r="AJ1" s="1" t="s">
        <v>60</v>
      </c>
    </row>
    <row r="2" customFormat="false" ht="14.9" hidden="false" customHeight="false" outlineLevel="0" collapsed="false">
      <c r="A2" s="0" t="n">
        <v>0</v>
      </c>
      <c r="B2" s="0" t="n">
        <v>0</v>
      </c>
      <c r="C2" s="0" t="n">
        <v>0</v>
      </c>
      <c r="D2" s="0" t="n">
        <f aca="false">W2</f>
        <v>0</v>
      </c>
      <c r="E2" s="0" t="n">
        <v>0</v>
      </c>
      <c r="F2" s="0" t="n">
        <f aca="false">Y2</f>
        <v>0</v>
      </c>
      <c r="G2" s="0" t="n">
        <v>100</v>
      </c>
      <c r="H2" s="0" t="n">
        <v>100</v>
      </c>
      <c r="I2" s="0" t="n">
        <v>100</v>
      </c>
      <c r="J2" s="0" t="n">
        <v>0</v>
      </c>
      <c r="K2" s="0" t="n">
        <v>0</v>
      </c>
      <c r="M2" s="0" t="n">
        <v>0</v>
      </c>
      <c r="N2" s="0" t="n">
        <v>100</v>
      </c>
      <c r="O2" s="0" t="n">
        <v>0</v>
      </c>
      <c r="P2" s="0" t="n">
        <v>0</v>
      </c>
      <c r="Q2" s="0" t="n">
        <v>100</v>
      </c>
      <c r="R2" s="0" t="n">
        <v>100</v>
      </c>
      <c r="S2" s="0" t="n">
        <v>0</v>
      </c>
      <c r="T2" s="0" t="s">
        <v>61</v>
      </c>
      <c r="U2" s="0" t="str">
        <f aca="false">IF(LEFT(T2,5)="ERROR","Check input/risk","")</f>
        <v/>
      </c>
      <c r="V2" s="0" t="n">
        <v>0</v>
      </c>
      <c r="W2" s="0" t="n">
        <v>0</v>
      </c>
      <c r="X2" s="0" t="n">
        <v>0</v>
      </c>
      <c r="Y2" s="0" t="n">
        <v>0</v>
      </c>
      <c r="Z2" s="0" t="n">
        <v>0</v>
      </c>
      <c r="AA2" s="0" t="n">
        <v>0</v>
      </c>
      <c r="AB2" s="3" t="str">
        <f aca="false">IF(LEFT(T2,5)="ERROR","ERROR",IF(AND(Settings!$B$17,ABS(AA2-Z2)&gt;0.000000001),"FIXED",IF(ABS(S2)&lt;=Settings!$B$7,"SAFE","WARNING")))</f>
        <v>SAFE</v>
      </c>
      <c r="AC2" s="0" t="str">
        <f aca="false">IF(AB2="FIXED","Close adjusted by SAFE mode",IF(AB2="SAFE","BUY/SELL balance preserved",IF(AB2="WARNING","Near protection boundary","Protection broken")))</f>
        <v>BUY/SELL balance preserved</v>
      </c>
      <c r="AD2" s="0" t="n">
        <v>0</v>
      </c>
      <c r="AE2" s="0" t="n">
        <v>0</v>
      </c>
      <c r="AF2" s="0" t="n">
        <v>0</v>
      </c>
      <c r="AG2" s="0" t="n">
        <v>0</v>
      </c>
      <c r="AH2" s="0" t="n">
        <v>0</v>
      </c>
      <c r="AI2" s="0" t="n">
        <v>0</v>
      </c>
      <c r="AJ2" s="0" t="s">
        <v>61</v>
      </c>
    </row>
    <row r="3" customFormat="false" ht="14.9" hidden="false" customHeight="false" outlineLevel="0" collapsed="false">
      <c r="A3" s="0" t="n">
        <v>1</v>
      </c>
      <c r="B3" s="0" t="n">
        <f aca="false">A3*Settings!$B$3</f>
        <v>100</v>
      </c>
      <c r="C3" s="0" t="n">
        <v>90</v>
      </c>
      <c r="D3" s="0" t="n">
        <f aca="false">W3</f>
        <v>0.9</v>
      </c>
      <c r="E3" s="0" t="n">
        <v>30</v>
      </c>
      <c r="F3" s="0" t="n">
        <f aca="false">Y3</f>
        <v>0.3</v>
      </c>
      <c r="G3" s="0" t="n">
        <v>100</v>
      </c>
      <c r="H3" s="0" t="n">
        <f aca="false">G3+SUM($C$3:C3)</f>
        <v>190</v>
      </c>
      <c r="I3" s="0" t="n">
        <f aca="false">100+SUM($E$3:E3)</f>
        <v>130</v>
      </c>
      <c r="J3" s="0" t="n">
        <f aca="false">IF(A3&lt;=Settings!$B$4,IFERROR(xlookup(A3,LevelRange,TargetSkewRange),0),0)</f>
        <v>0</v>
      </c>
      <c r="K3" s="0" t="n">
        <f aca="false">MIN(G3,MAX(0,H3-I3+J3))</f>
        <v>60</v>
      </c>
      <c r="L3" s="0" t="str">
        <f aca="false">IF(A3&lt;=Settings!$B$4,IFERROR(xlookup(A3,LevelRange,ManualCloseRange),""),"")</f>
        <v/>
      </c>
      <c r="M3" s="0" t="n">
        <v>60</v>
      </c>
      <c r="N3" s="0" t="n">
        <v>40</v>
      </c>
      <c r="O3" s="0" t="n">
        <f aca="false">SUM($C$3:C3)</f>
        <v>90</v>
      </c>
      <c r="P3" s="0" t="n">
        <f aca="false">SUM($E$3:E3)</f>
        <v>30</v>
      </c>
      <c r="Q3" s="0" t="n">
        <v>130</v>
      </c>
      <c r="R3" s="0" t="n">
        <v>130</v>
      </c>
      <c r="S3" s="0" t="n">
        <v>0</v>
      </c>
      <c r="T3" s="0" t="s">
        <v>61</v>
      </c>
      <c r="U3" s="0" t="str">
        <f aca="false">IF(LEFT(T3,5)="ERROR","Check input/risk","")</f>
        <v/>
      </c>
      <c r="V3" s="0" t="n">
        <f aca="false">Settings!$B$2*C3/100</f>
        <v>0.9</v>
      </c>
      <c r="W3" s="0" t="n">
        <f aca="false">IF(Settings!$B$9,FLOOR(V3,Settings!$B$5),V3)</f>
        <v>0.9</v>
      </c>
      <c r="X3" s="0" t="n">
        <f aca="false">Settings!$B$2*E3/100</f>
        <v>0.3</v>
      </c>
      <c r="Y3" s="0" t="n">
        <f aca="false">IF(Settings!$B$9,CEILING(X3,Settings!$B$5),X3)</f>
        <v>0.3</v>
      </c>
      <c r="Z3" s="0" t="n">
        <f aca="false">Settings!$B$2*M3/100</f>
        <v>0.6</v>
      </c>
      <c r="AA3" s="0" t="n">
        <f aca="false">IF(Settings!$B$17,MIN(Settings!$B$2*G3/100,IF(Settings!$B$9,CEILING(MAX(0,Settings!$B$2*(H3-I3+J3)/100),Settings!$B$5),MAX(0,Settings!$B$2*(H3-I3+J3)/100))),IF(Settings!$B$9,MROUND(Z3,Settings!$B$5),Z3))</f>
        <v>0.6</v>
      </c>
      <c r="AB3" s="3" t="str">
        <f aca="false">IF(LEFT(T3,5)="ERROR","ERROR",IF(AND(Settings!$B$17,ABS(AA3-Z3)&gt;0.000000001),"FIXED",IF(ABS(S3)&lt;=Settings!$B$7,"SAFE","WARNING")))</f>
        <v>SAFE</v>
      </c>
      <c r="AC3" s="0" t="str">
        <f aca="false">IF(AB3="FIXED","Close adjusted by SAFE mode",IF(AB3="SAFE","BUY/SELL balance preserved",IF(AB3="WARNING","Near protection boundary","Protection broken")))</f>
        <v>BUY/SELL balance preserved</v>
      </c>
      <c r="AD3" s="0" t="n">
        <f aca="false">MAX(0,Settings!$B$2*G3/100-AA3)</f>
        <v>0.4</v>
      </c>
      <c r="AE3" s="0" t="n">
        <f aca="false">SUM($W$3:W3)</f>
        <v>0.9</v>
      </c>
      <c r="AF3" s="0" t="n">
        <f aca="false">SUM($Y$3:Y3)</f>
        <v>0.3</v>
      </c>
      <c r="AG3" s="0" t="n">
        <f aca="false">AD3+AE3</f>
        <v>1.3</v>
      </c>
      <c r="AH3" s="0" t="n">
        <f aca="false">Settings!$B$2+AF3</f>
        <v>1.3</v>
      </c>
      <c r="AI3" s="0" t="n">
        <f aca="false">AH3-AG3</f>
        <v>0</v>
      </c>
      <c r="AJ3" s="0" t="s">
        <v>61</v>
      </c>
    </row>
    <row r="4" customFormat="false" ht="14.9" hidden="false" customHeight="false" outlineLevel="0" collapsed="false">
      <c r="A4" s="0" t="n">
        <v>2</v>
      </c>
      <c r="B4" s="0" t="n">
        <f aca="false">A4*Settings!$B$3</f>
        <v>200</v>
      </c>
      <c r="C4" s="0" t="n">
        <v>30</v>
      </c>
      <c r="D4" s="0" t="n">
        <f aca="false">W4</f>
        <v>0.3</v>
      </c>
      <c r="E4" s="0" t="n">
        <v>15</v>
      </c>
      <c r="F4" s="0" t="n">
        <f aca="false">Y4</f>
        <v>0.15</v>
      </c>
      <c r="G4" s="0" t="n">
        <f aca="false">N3</f>
        <v>40</v>
      </c>
      <c r="H4" s="0" t="n">
        <f aca="false">G4+SUM($C$3:C4)</f>
        <v>160</v>
      </c>
      <c r="I4" s="0" t="n">
        <f aca="false">100+SUM($E$3:E4)</f>
        <v>145</v>
      </c>
      <c r="J4" s="0" t="n">
        <f aca="false">IF(A4&lt;=Settings!$B$4,IFERROR(xlookup(A4,LevelRange,TargetSkewRange),0),0)</f>
        <v>0</v>
      </c>
      <c r="K4" s="0" t="n">
        <f aca="false">MIN(G4,MAX(0,H4-I4+J4))</f>
        <v>15</v>
      </c>
      <c r="L4" s="0" t="str">
        <f aca="false">IF(A4&lt;=Settings!$B$4,IFERROR(xlookup(A4,LevelRange,ManualCloseRange),""),"")</f>
        <v/>
      </c>
      <c r="M4" s="0" t="n">
        <v>30</v>
      </c>
      <c r="N4" s="0" t="n">
        <v>10</v>
      </c>
      <c r="O4" s="0" t="n">
        <f aca="false">SUM($C$3:C4)</f>
        <v>120</v>
      </c>
      <c r="P4" s="0" t="n">
        <f aca="false">SUM($E$3:E4)</f>
        <v>45</v>
      </c>
      <c r="Q4" s="0" t="n">
        <v>130</v>
      </c>
      <c r="R4" s="0" t="n">
        <v>145</v>
      </c>
      <c r="S4" s="0" t="n">
        <v>15</v>
      </c>
      <c r="T4" s="0" t="s">
        <v>61</v>
      </c>
      <c r="U4" s="0" t="str">
        <f aca="false">IF(LEFT(T4,5)="ERROR","Check input/risk","")</f>
        <v/>
      </c>
      <c r="V4" s="0" t="n">
        <f aca="false">Settings!$B$2*C4/100</f>
        <v>0.3</v>
      </c>
      <c r="W4" s="0" t="n">
        <f aca="false">IF(Settings!$B$9,FLOOR(V4,Settings!$B$5),V4)</f>
        <v>0.3</v>
      </c>
      <c r="X4" s="0" t="n">
        <f aca="false">Settings!$B$2*E4/100</f>
        <v>0.15</v>
      </c>
      <c r="Y4" s="0" t="n">
        <f aca="false">IF(Settings!$B$9,CEILING(X4,Settings!$B$5),X4)</f>
        <v>0.15</v>
      </c>
      <c r="Z4" s="0" t="n">
        <f aca="false">Settings!$B$2*M4/100</f>
        <v>0.3</v>
      </c>
      <c r="AA4" s="0" t="n">
        <f aca="false">IF(Settings!$B$17,MIN(Settings!$B$2*G4/100,IF(Settings!$B$9,CEILING(MAX(0,Settings!$B$2*(H4-I4+J4)/100),Settings!$B$5),MAX(0,Settings!$B$2*(H4-I4+J4)/100))),IF(Settings!$B$9,MROUND(Z4,Settings!$B$5),Z4))</f>
        <v>0.15</v>
      </c>
      <c r="AB4" s="3" t="str">
        <f aca="false">IF(LEFT(T4,5)="ERROR","ERROR",IF(AND(Settings!$B$17,ABS(AA4-Z4)&gt;0.000000001),"FIXED",IF(ABS(S4)&lt;=Settings!$B$7,"SAFE","WARNING")))</f>
        <v>FIXED</v>
      </c>
      <c r="AC4" s="0" t="str">
        <f aca="false">IF(AB4="FIXED","Close adjusted by SAFE mode",IF(AB4="SAFE","BUY/SELL balance preserved",IF(AB4="WARNING","Near protection boundary","Protection broken")))</f>
        <v>Close adjusted by SAFE mode</v>
      </c>
      <c r="AD4" s="0" t="n">
        <f aca="false">MAX(0,Settings!$B$2*G4/100-AA4)</f>
        <v>0.25</v>
      </c>
      <c r="AE4" s="0" t="n">
        <f aca="false">SUM($W$3:W4)</f>
        <v>1.2</v>
      </c>
      <c r="AF4" s="0" t="n">
        <f aca="false">SUM($Y$3:Y4)</f>
        <v>0.45</v>
      </c>
      <c r="AG4" s="0" t="n">
        <f aca="false">AD4+AE4</f>
        <v>1.45</v>
      </c>
      <c r="AH4" s="0" t="n">
        <f aca="false">Settings!$B$2+AF4</f>
        <v>1.45</v>
      </c>
      <c r="AI4" s="0" t="n">
        <f aca="false">AH4-AG4</f>
        <v>0</v>
      </c>
      <c r="AJ4" s="0" t="s">
        <v>61</v>
      </c>
    </row>
    <row r="5" customFormat="false" ht="14.9" hidden="false" customHeight="false" outlineLevel="0" collapsed="false">
      <c r="A5" s="0" t="n">
        <v>3</v>
      </c>
      <c r="B5" s="0" t="n">
        <f aca="false">A5*Settings!$B$3</f>
        <v>300</v>
      </c>
      <c r="C5" s="0" t="n">
        <v>20</v>
      </c>
      <c r="D5" s="0" t="n">
        <f aca="false">W5</f>
        <v>0.2</v>
      </c>
      <c r="E5" s="0" t="n">
        <v>15</v>
      </c>
      <c r="F5" s="0" t="n">
        <f aca="false">Y5</f>
        <v>0.15</v>
      </c>
      <c r="G5" s="0" t="n">
        <f aca="false">N4</f>
        <v>10</v>
      </c>
      <c r="H5" s="0" t="n">
        <f aca="false">G5+SUM($C$3:C5)</f>
        <v>150</v>
      </c>
      <c r="I5" s="0" t="n">
        <f aca="false">100+SUM($E$3:E5)</f>
        <v>160</v>
      </c>
      <c r="J5" s="0" t="n">
        <f aca="false">IF(A5&lt;=Settings!$B$4,IFERROR(xlookup(A5,LevelRange,TargetSkewRange),0),0)</f>
        <v>0</v>
      </c>
      <c r="K5" s="0" t="n">
        <f aca="false">MIN(G5,MAX(0,H5-I5+J5))</f>
        <v>0</v>
      </c>
      <c r="L5" s="0" t="str">
        <f aca="false">IF(A5&lt;=Settings!$B$4,IFERROR(xlookup(A5,LevelRange,ManualCloseRange),""),"")</f>
        <v/>
      </c>
      <c r="M5" s="0" t="n">
        <v>0</v>
      </c>
      <c r="N5" s="0" t="n">
        <v>10</v>
      </c>
      <c r="O5" s="0" t="n">
        <f aca="false">SUM($C$3:C5)</f>
        <v>140</v>
      </c>
      <c r="P5" s="0" t="n">
        <f aca="false">SUM($E$3:E5)</f>
        <v>60</v>
      </c>
      <c r="Q5" s="0" t="n">
        <v>150</v>
      </c>
      <c r="R5" s="0" t="n">
        <v>160</v>
      </c>
      <c r="S5" s="0" t="n">
        <v>10</v>
      </c>
      <c r="T5" s="0" t="s">
        <v>61</v>
      </c>
      <c r="U5" s="0" t="str">
        <f aca="false">IF(LEFT(T5,5)="ERROR","Check input/risk","")</f>
        <v/>
      </c>
      <c r="V5" s="0" t="n">
        <f aca="false">Settings!$B$2*C5/100</f>
        <v>0.2</v>
      </c>
      <c r="W5" s="0" t="n">
        <f aca="false">IF(Settings!$B$9,FLOOR(V5,Settings!$B$5),V5)</f>
        <v>0.2</v>
      </c>
      <c r="X5" s="0" t="n">
        <f aca="false">Settings!$B$2*E5/100</f>
        <v>0.15</v>
      </c>
      <c r="Y5" s="0" t="n">
        <f aca="false">IF(Settings!$B$9,CEILING(X5,Settings!$B$5),X5)</f>
        <v>0.15</v>
      </c>
      <c r="Z5" s="0" t="n">
        <f aca="false">Settings!$B$2*M5/100</f>
        <v>0</v>
      </c>
      <c r="AA5" s="0" t="n">
        <f aca="false">IF(Settings!$B$17,MIN(Settings!$B$2*G5/100,IF(Settings!$B$9,CEILING(MAX(0,Settings!$B$2*(H5-I5+J5)/100),Settings!$B$5),MAX(0,Settings!$B$2*(H5-I5+J5)/100))),IF(Settings!$B$9,MROUND(Z5,Settings!$B$5),Z5))</f>
        <v>0</v>
      </c>
      <c r="AB5" s="3" t="str">
        <f aca="false">IF(LEFT(T5,5)="ERROR","ERROR",IF(AND(Settings!$B$17,ABS(AA5-Z5)&gt;0.000000001),"FIXED",IF(ABS(S5)&lt;=Settings!$B$7,"SAFE","WARNING")))</f>
        <v>WARNING</v>
      </c>
      <c r="AC5" s="0" t="str">
        <f aca="false">IF(AB5="FIXED","Close adjusted by SAFE mode",IF(AB5="SAFE","BUY/SELL balance preserved",IF(AB5="WARNING","Near protection boundary","Protection broken")))</f>
        <v>Near protection boundary</v>
      </c>
      <c r="AD5" s="0" t="n">
        <f aca="false">MAX(0,Settings!$B$2*G5/100-AA5)</f>
        <v>0.1</v>
      </c>
      <c r="AE5" s="0" t="n">
        <f aca="false">SUM($W$3:W5)</f>
        <v>1.4</v>
      </c>
      <c r="AF5" s="0" t="n">
        <f aca="false">SUM($Y$3:Y5)</f>
        <v>0.6</v>
      </c>
      <c r="AG5" s="0" t="n">
        <f aca="false">AD5+AE5</f>
        <v>1.5</v>
      </c>
      <c r="AH5" s="0" t="n">
        <f aca="false">Settings!$B$2+AF5</f>
        <v>1.6</v>
      </c>
      <c r="AI5" s="0" t="n">
        <f aca="false">AH5-AG5</f>
        <v>0.1</v>
      </c>
      <c r="AJ5" s="0" t="s">
        <v>61</v>
      </c>
    </row>
    <row r="6" customFormat="false" ht="14.9" hidden="false" customHeight="false" outlineLevel="0" collapsed="false">
      <c r="A6" s="0" t="n">
        <v>4</v>
      </c>
      <c r="B6" s="0" t="n">
        <f aca="false">A6*Settings!$B$3</f>
        <v>400</v>
      </c>
      <c r="C6" s="0" t="n">
        <v>10</v>
      </c>
      <c r="D6" s="0" t="n">
        <f aca="false">W6</f>
        <v>0.1</v>
      </c>
      <c r="E6" s="0" t="n">
        <v>10</v>
      </c>
      <c r="F6" s="0" t="n">
        <f aca="false">Y6</f>
        <v>0.1</v>
      </c>
      <c r="G6" s="0" t="n">
        <f aca="false">N5</f>
        <v>10</v>
      </c>
      <c r="H6" s="0" t="n">
        <f aca="false">G6+SUM($C$3:C6)</f>
        <v>160</v>
      </c>
      <c r="I6" s="0" t="n">
        <f aca="false">100+SUM($E$3:E6)</f>
        <v>170</v>
      </c>
      <c r="J6" s="0" t="n">
        <f aca="false">IF(A6&lt;=Settings!$B$4,IFERROR(xlookup(A6,LevelRange,TargetSkewRange),0),0)</f>
        <v>0</v>
      </c>
      <c r="K6" s="0" t="n">
        <f aca="false">MIN(G6,MAX(0,H6-I6+J6))</f>
        <v>0</v>
      </c>
      <c r="L6" s="0" t="str">
        <f aca="false">IF(A6&lt;=Settings!$B$4,IFERROR(xlookup(A6,LevelRange,ManualCloseRange),""),"")</f>
        <v/>
      </c>
      <c r="M6" s="0" t="n">
        <v>0</v>
      </c>
      <c r="N6" s="0" t="n">
        <v>10</v>
      </c>
      <c r="O6" s="0" t="n">
        <f aca="false">SUM($C$3:C6)</f>
        <v>150</v>
      </c>
      <c r="P6" s="0" t="n">
        <f aca="false">SUM($E$3:E6)</f>
        <v>70</v>
      </c>
      <c r="Q6" s="0" t="n">
        <v>160</v>
      </c>
      <c r="R6" s="0" t="n">
        <v>170</v>
      </c>
      <c r="S6" s="0" t="n">
        <v>10</v>
      </c>
      <c r="T6" s="0" t="s">
        <v>61</v>
      </c>
      <c r="U6" s="0" t="str">
        <f aca="false">IF(LEFT(T6,5)="ERROR","Check input/risk","")</f>
        <v/>
      </c>
      <c r="V6" s="0" t="n">
        <f aca="false">Settings!$B$2*C6/100</f>
        <v>0.1</v>
      </c>
      <c r="W6" s="0" t="n">
        <f aca="false">IF(Settings!$B$9,FLOOR(V6,Settings!$B$5),V6)</f>
        <v>0.1</v>
      </c>
      <c r="X6" s="0" t="n">
        <f aca="false">Settings!$B$2*E6/100</f>
        <v>0.1</v>
      </c>
      <c r="Y6" s="0" t="n">
        <f aca="false">IF(Settings!$B$9,CEILING(X6,Settings!$B$5),X6)</f>
        <v>0.1</v>
      </c>
      <c r="Z6" s="0" t="n">
        <f aca="false">Settings!$B$2*M6/100</f>
        <v>0</v>
      </c>
      <c r="AA6" s="0" t="n">
        <f aca="false">IF(Settings!$B$17,MIN(Settings!$B$2*G6/100,IF(Settings!$B$9,CEILING(MAX(0,Settings!$B$2*(H6-I6+J6)/100),Settings!$B$5),MAX(0,Settings!$B$2*(H6-I6+J6)/100))),IF(Settings!$B$9,MROUND(Z6,Settings!$B$5),Z6))</f>
        <v>0</v>
      </c>
      <c r="AB6" s="3" t="str">
        <f aca="false">IF(LEFT(T6,5)="ERROR","ERROR",IF(AND(Settings!$B$17,ABS(AA6-Z6)&gt;0.000000001),"FIXED",IF(ABS(S6)&lt;=Settings!$B$7,"SAFE","WARNING")))</f>
        <v>WARNING</v>
      </c>
      <c r="AC6" s="0" t="str">
        <f aca="false">IF(AB6="FIXED","Close adjusted by SAFE mode",IF(AB6="SAFE","BUY/SELL balance preserved",IF(AB6="WARNING","Near protection boundary","Protection broken")))</f>
        <v>Near protection boundary</v>
      </c>
      <c r="AD6" s="0" t="n">
        <f aca="false">MAX(0,Settings!$B$2*G6/100-AA6)</f>
        <v>0.1</v>
      </c>
      <c r="AE6" s="0" t="n">
        <f aca="false">SUM($W$3:W6)</f>
        <v>1.5</v>
      </c>
      <c r="AF6" s="0" t="n">
        <f aca="false">SUM($Y$3:Y6)</f>
        <v>0.7</v>
      </c>
      <c r="AG6" s="0" t="n">
        <f aca="false">AD6+AE6</f>
        <v>1.6</v>
      </c>
      <c r="AH6" s="0" t="n">
        <f aca="false">Settings!$B$2+AF6</f>
        <v>1.7</v>
      </c>
      <c r="AI6" s="0" t="n">
        <f aca="false">AH6-AG6</f>
        <v>0.0999999999999999</v>
      </c>
      <c r="AJ6" s="0" t="s">
        <v>61</v>
      </c>
    </row>
    <row r="7" customFormat="false" ht="14.9" hidden="false" customHeight="false" outlineLevel="0" collapsed="false">
      <c r="A7" s="0" t="n">
        <v>5</v>
      </c>
      <c r="B7" s="0" t="n">
        <f aca="false">A7*Settings!$B$3</f>
        <v>500</v>
      </c>
      <c r="C7" s="0" t="n">
        <v>5</v>
      </c>
      <c r="D7" s="0" t="n">
        <f aca="false">W7</f>
        <v>0.05</v>
      </c>
      <c r="E7" s="0" t="n">
        <v>5</v>
      </c>
      <c r="F7" s="0" t="n">
        <f aca="false">Y7</f>
        <v>0.05</v>
      </c>
      <c r="G7" s="0" t="n">
        <f aca="false">N6</f>
        <v>10</v>
      </c>
      <c r="H7" s="0" t="n">
        <f aca="false">G7+SUM($C$3:C7)</f>
        <v>165</v>
      </c>
      <c r="I7" s="0" t="n">
        <f aca="false">100+SUM($E$3:E7)</f>
        <v>175</v>
      </c>
      <c r="J7" s="0" t="n">
        <f aca="false">IF(A7&lt;=Settings!$B$4,IFERROR(xlookup(A7,LevelRange,TargetSkewRange),0),0)</f>
        <v>0</v>
      </c>
      <c r="K7" s="0" t="n">
        <f aca="false">MIN(G7,MAX(0,H7-I7+J7))</f>
        <v>0</v>
      </c>
      <c r="L7" s="0" t="str">
        <f aca="false">IF(A7&lt;=Settings!$B$4,IFERROR(xlookup(A7,LevelRange,ManualCloseRange),""),"")</f>
        <v/>
      </c>
      <c r="M7" s="0" t="n">
        <v>0</v>
      </c>
      <c r="N7" s="0" t="n">
        <v>10</v>
      </c>
      <c r="O7" s="0" t="n">
        <f aca="false">SUM($C$3:C7)</f>
        <v>155</v>
      </c>
      <c r="P7" s="0" t="n">
        <f aca="false">SUM($E$3:E7)</f>
        <v>75</v>
      </c>
      <c r="Q7" s="0" t="n">
        <v>165</v>
      </c>
      <c r="R7" s="0" t="n">
        <v>175</v>
      </c>
      <c r="S7" s="0" t="n">
        <v>10</v>
      </c>
      <c r="T7" s="0" t="s">
        <v>61</v>
      </c>
      <c r="U7" s="0" t="str">
        <f aca="false">IF(LEFT(T7,5)="ERROR","Check input/risk","")</f>
        <v/>
      </c>
      <c r="V7" s="0" t="n">
        <f aca="false">Settings!$B$2*C7/100</f>
        <v>0.05</v>
      </c>
      <c r="W7" s="0" t="n">
        <f aca="false">IF(Settings!$B$9,FLOOR(V7,Settings!$B$5),V7)</f>
        <v>0.05</v>
      </c>
      <c r="X7" s="0" t="n">
        <f aca="false">Settings!$B$2*E7/100</f>
        <v>0.05</v>
      </c>
      <c r="Y7" s="0" t="n">
        <f aca="false">IF(Settings!$B$9,CEILING(X7,Settings!$B$5),X7)</f>
        <v>0.05</v>
      </c>
      <c r="Z7" s="0" t="n">
        <f aca="false">Settings!$B$2*M7/100</f>
        <v>0</v>
      </c>
      <c r="AA7" s="0" t="n">
        <f aca="false">IF(Settings!$B$17,MIN(Settings!$B$2*G7/100,IF(Settings!$B$9,CEILING(MAX(0,Settings!$B$2*(H7-I7+J7)/100),Settings!$B$5),MAX(0,Settings!$B$2*(H7-I7+J7)/100))),IF(Settings!$B$9,MROUND(Z7,Settings!$B$5),Z7))</f>
        <v>0</v>
      </c>
      <c r="AB7" s="3" t="str">
        <f aca="false">IF(LEFT(T7,5)="ERROR","ERROR",IF(AND(Settings!$B$17,ABS(AA7-Z7)&gt;0.000000001),"FIXED",IF(ABS(S7)&lt;=Settings!$B$7,"SAFE","WARNING")))</f>
        <v>WARNING</v>
      </c>
      <c r="AC7" s="0" t="str">
        <f aca="false">IF(AB7="FIXED","Close adjusted by SAFE mode",IF(AB7="SAFE","BUY/SELL balance preserved",IF(AB7="WARNING","Near protection boundary","Protection broken")))</f>
        <v>Near protection boundary</v>
      </c>
      <c r="AD7" s="0" t="n">
        <f aca="false">MAX(0,Settings!$B$2*G7/100-AA7)</f>
        <v>0.1</v>
      </c>
      <c r="AE7" s="0" t="n">
        <f aca="false">SUM($W$3:W7)</f>
        <v>1.55</v>
      </c>
      <c r="AF7" s="0" t="n">
        <f aca="false">SUM($Y$3:Y7)</f>
        <v>0.75</v>
      </c>
      <c r="AG7" s="0" t="n">
        <f aca="false">AD7+AE7</f>
        <v>1.65</v>
      </c>
      <c r="AH7" s="0" t="n">
        <f aca="false">Settings!$B$2+AF7</f>
        <v>1.75</v>
      </c>
      <c r="AI7" s="0" t="n">
        <f aca="false">AH7-AG7</f>
        <v>0.0999999999999999</v>
      </c>
      <c r="AJ7" s="0" t="s">
        <v>61</v>
      </c>
    </row>
    <row r="8" customFormat="false" ht="14.9" hidden="false" customHeight="false" outlineLevel="0" collapsed="false">
      <c r="A8" s="0" t="n">
        <v>6</v>
      </c>
      <c r="B8" s="0" t="n">
        <f aca="false">A8*Settings!$B$3</f>
        <v>600</v>
      </c>
      <c r="C8" s="0" t="n">
        <f aca="false">IF(A8&lt;=Settings!$B$4,IFERROR(xlookup(A8,LevelRange,BigPercentRange),0),0)</f>
        <v>0</v>
      </c>
      <c r="D8" s="0" t="n">
        <f aca="false">W8</f>
        <v>0</v>
      </c>
      <c r="E8" s="0" t="n">
        <f aca="false">IF(A8&lt;=Settings!$B$4,IFERROR(xlookup(A8,LevelRange,SmallPercentRange),0),0)</f>
        <v>0</v>
      </c>
      <c r="F8" s="0" t="n">
        <f aca="false">Y8</f>
        <v>0</v>
      </c>
      <c r="G8" s="0" t="n">
        <f aca="false">N7</f>
        <v>10</v>
      </c>
      <c r="H8" s="0" t="n">
        <f aca="false">G8+SUM($C$3:C8)</f>
        <v>165</v>
      </c>
      <c r="I8" s="0" t="n">
        <f aca="false">100+SUM($E$3:E8)</f>
        <v>175</v>
      </c>
      <c r="J8" s="0" t="n">
        <f aca="false">IF(A8&lt;=Settings!$B$4,IFERROR(xlookup(A8,LevelRange,TargetSkewRange),0),0)</f>
        <v>0</v>
      </c>
      <c r="K8" s="0" t="n">
        <f aca="false">MIN(G8,MAX(0,H8-I8+J8))</f>
        <v>0</v>
      </c>
      <c r="L8" s="0" t="str">
        <f aca="false">IF(A8&lt;=Settings!$B$4,IFERROR(xlookup(A8,LevelRange,ManualCloseRange),""),"")</f>
        <v/>
      </c>
      <c r="M8" s="0" t="n">
        <f aca="false">MIN(G8,AA8/Settings!$B$2*100)</f>
        <v>0</v>
      </c>
      <c r="N8" s="0" t="n">
        <f aca="false">G8-M8</f>
        <v>10</v>
      </c>
      <c r="O8" s="0" t="n">
        <f aca="false">SUM($C$3:C8)</f>
        <v>155</v>
      </c>
      <c r="P8" s="0" t="n">
        <f aca="false">SUM($E$3:E8)</f>
        <v>75</v>
      </c>
      <c r="Q8" s="0" t="n">
        <f aca="false">N8+O8</f>
        <v>165</v>
      </c>
      <c r="R8" s="0" t="n">
        <f aca="false">100+P8</f>
        <v>175</v>
      </c>
      <c r="S8" s="0" t="n">
        <f aca="false">R8-Q8</f>
        <v>10</v>
      </c>
      <c r="T8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Direction",IF(OR(C8&lt;0,E8&lt;0,J8&lt;0,AND(LEN(L8)&gt;0,L8&lt;0)),"ERROR: Negative input",IF(C8&lt;E8,"ERROR: Big SELL must be &gt;= Small BUY",IF(AND(LEN(L8)&gt;0,L8&gt;G8),"ERROR: ManualClose exceeds remaining Start position",IF(OR(N8&lt;0,Q8&lt;0,R8&lt;0),"ERROR: Negative totals",IF(Q8&gt;R8,"ERROR: Rounding broke protection balance",IF(S8&gt;Settings!$B$8,"WARNING: Skew exceeds recommended limit","OK")))))))))))</f>
        <v>OK</v>
      </c>
      <c r="U8" s="0" t="str">
        <f aca="false">IF(LEFT(T8,5)="ERROR","Check input/risk","")</f>
        <v/>
      </c>
      <c r="V8" s="0" t="n">
        <f aca="false">Settings!$B$2*C8/100</f>
        <v>0</v>
      </c>
      <c r="W8" s="0" t="n">
        <f aca="false">IF(Settings!$B$9,FLOOR(V8,Settings!$B$5),V8)</f>
        <v>0</v>
      </c>
      <c r="X8" s="0" t="n">
        <f aca="false">Settings!$B$2*E8/100</f>
        <v>0</v>
      </c>
      <c r="Y8" s="0" t="n">
        <f aca="false">IF(Settings!$B$9,CEILING(X8,Settings!$B$5),X8)</f>
        <v>0</v>
      </c>
      <c r="Z8" s="0" t="n">
        <f aca="false">Settings!$B$2*M8/100</f>
        <v>0</v>
      </c>
      <c r="AA8" s="0" t="n">
        <f aca="false">IF(Settings!$B$17,MIN(Settings!$B$2*G8/100,IF(Settings!$B$9,CEILING(MAX(0,Settings!$B$2*(H8-I8+J8)/100),Settings!$B$5),MAX(0,Settings!$B$2*(H8-I8+J8)/100))),IF(Settings!$B$9,MROUND(Z8,Settings!$B$5),Z8))</f>
        <v>0</v>
      </c>
      <c r="AB8" s="3" t="str">
        <f aca="false">IF(LEFT(T8,5)="ERROR","ERROR",IF(AND(Settings!$B$17,ABS(AA8-Z8)&gt;0.000000001),"FIXED",IF(ABS(S8)&lt;=Settings!$B$7,"SAFE","WARNING")))</f>
        <v>WARNING</v>
      </c>
      <c r="AC8" s="0" t="str">
        <f aca="false">IF(AB8="FIXED","Close adjusted by SAFE mode",IF(AB8="SAFE","BUY/SELL balance preserved",IF(AB8="WARNING","Near protection boundary","Protection broken")))</f>
        <v>Near protection boundary</v>
      </c>
      <c r="AD8" s="0" t="n">
        <f aca="false">MAX(0,Settings!$B$2*G8/100-AA8)</f>
        <v>0.1</v>
      </c>
      <c r="AE8" s="0" t="n">
        <f aca="false">SUM($W$3:W8)</f>
        <v>1.55</v>
      </c>
      <c r="AF8" s="0" t="n">
        <f aca="false">SUM($Y$3:Y8)</f>
        <v>0.75</v>
      </c>
      <c r="AG8" s="0" t="n">
        <f aca="false">AD8+AE8</f>
        <v>1.65</v>
      </c>
      <c r="AH8" s="0" t="n">
        <f aca="false">Settings!$B$2+AF8</f>
        <v>1.75</v>
      </c>
      <c r="AI8" s="0" t="n">
        <f aca="false">AH8-AG8</f>
        <v>0.0999999999999999</v>
      </c>
      <c r="AJ8" s="0" t="str">
        <f aca="false">IF(OR(AND(C8&gt;0,W8=0),AND(E8&gt;0,Y8=0),Settings!$B$2&lt;Settings!$B$5),"ERROR: LotStep too coarse",IF(AG8&gt;AH8,"ERROR: Rounded balance broken",IF(AND(J8&gt;0,AI8&lt;Settings!$B$2*J8/100),"WARNING","OK")))</f>
        <v>OK</v>
      </c>
    </row>
    <row r="9" customFormat="false" ht="14.9" hidden="false" customHeight="false" outlineLevel="0" collapsed="false">
      <c r="A9" s="0" t="n">
        <v>7</v>
      </c>
      <c r="B9" s="0" t="n">
        <f aca="false">A9*Settings!$B$3</f>
        <v>700</v>
      </c>
      <c r="C9" s="0" t="n">
        <f aca="false">IF(A9&lt;=Settings!$B$4,IFERROR(xlookup(A9,LevelRange,BigPercentRange),0),0)</f>
        <v>0</v>
      </c>
      <c r="D9" s="0" t="n">
        <f aca="false">W9</f>
        <v>0</v>
      </c>
      <c r="E9" s="0" t="n">
        <f aca="false">IF(A9&lt;=Settings!$B$4,IFERROR(xlookup(A9,LevelRange,SmallPercentRange),0),0)</f>
        <v>0</v>
      </c>
      <c r="F9" s="0" t="n">
        <f aca="false">Y9</f>
        <v>0</v>
      </c>
      <c r="G9" s="0" t="n">
        <f aca="false">N8</f>
        <v>10</v>
      </c>
      <c r="H9" s="0" t="n">
        <f aca="false">G9+SUM($C$3:C9)</f>
        <v>165</v>
      </c>
      <c r="I9" s="0" t="n">
        <f aca="false">100+SUM($E$3:E9)</f>
        <v>175</v>
      </c>
      <c r="J9" s="0" t="n">
        <f aca="false">IF(A9&lt;=Settings!$B$4,IFERROR(xlookup(A9,LevelRange,TargetSkewRange),0),0)</f>
        <v>0</v>
      </c>
      <c r="K9" s="0" t="n">
        <f aca="false">MIN(G9,MAX(0,H9-I9+J9))</f>
        <v>0</v>
      </c>
      <c r="L9" s="0" t="str">
        <f aca="false">IF(A9&lt;=Settings!$B$4,IFERROR(xlookup(A9,LevelRange,ManualCloseRange),""),"")</f>
        <v/>
      </c>
      <c r="M9" s="0" t="n">
        <f aca="false">MIN(G9,AA9/Settings!$B$2*100)</f>
        <v>0</v>
      </c>
      <c r="N9" s="0" t="n">
        <f aca="false">G9-M9</f>
        <v>10</v>
      </c>
      <c r="O9" s="0" t="n">
        <f aca="false">SUM($C$3:C9)</f>
        <v>155</v>
      </c>
      <c r="P9" s="0" t="n">
        <f aca="false">SUM($E$3:E9)</f>
        <v>75</v>
      </c>
      <c r="Q9" s="0" t="n">
        <f aca="false">N9+O9</f>
        <v>165</v>
      </c>
      <c r="R9" s="0" t="n">
        <f aca="false">100+P9</f>
        <v>175</v>
      </c>
      <c r="S9" s="0" t="n">
        <f aca="false">R9-Q9</f>
        <v>10</v>
      </c>
      <c r="T9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Direction",IF(OR(C9&lt;0,E9&lt;0,J9&lt;0,AND(LEN(L9)&gt;0,L9&lt;0)),"ERROR: Negative input",IF(C9&lt;E9,"ERROR: Big SELL must be &gt;= Small BUY",IF(AND(LEN(L9)&gt;0,L9&gt;G9),"ERROR: ManualClose exceeds remaining Start position",IF(OR(N9&lt;0,Q9&lt;0,R9&lt;0),"ERROR: Negative totals",IF(Q9&gt;R9,"ERROR: Rounding broke protection balance",IF(S9&gt;Settings!$B$8,"WARNING: Skew exceeds recommended limit","OK")))))))))))</f>
        <v>OK</v>
      </c>
      <c r="U9" s="0" t="str">
        <f aca="false">IF(LEFT(T9,5)="ERROR","Check input/risk","")</f>
        <v/>
      </c>
      <c r="V9" s="0" t="n">
        <f aca="false">Settings!$B$2*C9/100</f>
        <v>0</v>
      </c>
      <c r="W9" s="0" t="n">
        <f aca="false">IF(Settings!$B$9,FLOOR(V9,Settings!$B$5),V9)</f>
        <v>0</v>
      </c>
      <c r="X9" s="0" t="n">
        <f aca="false">Settings!$B$2*E9/100</f>
        <v>0</v>
      </c>
      <c r="Y9" s="0" t="n">
        <f aca="false">IF(Settings!$B$9,CEILING(X9,Settings!$B$5),X9)</f>
        <v>0</v>
      </c>
      <c r="Z9" s="0" t="n">
        <f aca="false">Settings!$B$2*M9/100</f>
        <v>0</v>
      </c>
      <c r="AA9" s="0" t="n">
        <f aca="false">IF(Settings!$B$17,MIN(Settings!$B$2*G9/100,IF(Settings!$B$9,CEILING(MAX(0,Settings!$B$2*(H9-I9+J9)/100),Settings!$B$5),MAX(0,Settings!$B$2*(H9-I9+J9)/100))),IF(Settings!$B$9,MROUND(Z9,Settings!$B$5),Z9))</f>
        <v>0</v>
      </c>
      <c r="AB9" s="3" t="str">
        <f aca="false">IF(LEFT(T9,5)="ERROR","ERROR",IF(AND(Settings!$B$17,ABS(AA9-Z9)&gt;0.000000001),"FIXED",IF(ABS(S9)&lt;=Settings!$B$7,"SAFE","WARNING")))</f>
        <v>WARNING</v>
      </c>
      <c r="AC9" s="0" t="str">
        <f aca="false">IF(AB9="FIXED","Close adjusted by SAFE mode",IF(AB9="SAFE","BUY/SELL balance preserved",IF(AB9="WARNING","Near protection boundary","Protection broken")))</f>
        <v>Near protection boundary</v>
      </c>
      <c r="AD9" s="0" t="n">
        <f aca="false">MAX(0,Settings!$B$2*G9/100-AA9)</f>
        <v>0.1</v>
      </c>
      <c r="AE9" s="0" t="n">
        <f aca="false">SUM($W$3:W9)</f>
        <v>1.55</v>
      </c>
      <c r="AF9" s="0" t="n">
        <f aca="false">SUM($Y$3:Y9)</f>
        <v>0.75</v>
      </c>
      <c r="AG9" s="0" t="n">
        <f aca="false">AD9+AE9</f>
        <v>1.65</v>
      </c>
      <c r="AH9" s="0" t="n">
        <f aca="false">Settings!$B$2+AF9</f>
        <v>1.75</v>
      </c>
      <c r="AI9" s="0" t="n">
        <f aca="false">AH9-AG9</f>
        <v>0.0999999999999999</v>
      </c>
      <c r="AJ9" s="0" t="str">
        <f aca="false">IF(OR(AND(C9&gt;0,W9=0),AND(E9&gt;0,Y9=0),Settings!$B$2&lt;Settings!$B$5),"ERROR: LotStep too coarse",IF(AG9&gt;AH9,"ERROR: Rounded balance broken",IF(AND(J9&gt;0,AI9&lt;Settings!$B$2*J9/100),"WARNING","OK")))</f>
        <v>OK</v>
      </c>
    </row>
    <row r="10" customFormat="false" ht="14.9" hidden="false" customHeight="false" outlineLevel="0" collapsed="false">
      <c r="A10" s="0" t="n">
        <v>8</v>
      </c>
      <c r="B10" s="0" t="n">
        <f aca="false">A10*Settings!$B$3</f>
        <v>800</v>
      </c>
      <c r="C10" s="0" t="n">
        <f aca="false">IF(A10&lt;=Settings!$B$4,IFERROR(xlookup(A10,LevelRange,BigPercentRange),0),0)</f>
        <v>0</v>
      </c>
      <c r="D10" s="0" t="n">
        <f aca="false">W10</f>
        <v>0</v>
      </c>
      <c r="E10" s="0" t="n">
        <f aca="false">IF(A10&lt;=Settings!$B$4,IFERROR(xlookup(A10,LevelRange,SmallPercentRange),0),0)</f>
        <v>0</v>
      </c>
      <c r="F10" s="0" t="n">
        <f aca="false">Y10</f>
        <v>0</v>
      </c>
      <c r="G10" s="0" t="n">
        <f aca="false">N9</f>
        <v>10</v>
      </c>
      <c r="H10" s="0" t="n">
        <f aca="false">G10+SUM($C$3:C10)</f>
        <v>165</v>
      </c>
      <c r="I10" s="0" t="n">
        <f aca="false">100+SUM($E$3:E10)</f>
        <v>175</v>
      </c>
      <c r="J10" s="0" t="n">
        <f aca="false">IF(A10&lt;=Settings!$B$4,IFERROR(xlookup(A10,LevelRange,TargetSkewRange),0),0)</f>
        <v>0</v>
      </c>
      <c r="K10" s="0" t="n">
        <f aca="false">MIN(G10,MAX(0,H10-I10+J10))</f>
        <v>0</v>
      </c>
      <c r="L10" s="0" t="str">
        <f aca="false">IF(A10&lt;=Settings!$B$4,IFERROR(xlookup(A10,LevelRange,ManualCloseRange),""),"")</f>
        <v/>
      </c>
      <c r="M10" s="0" t="n">
        <f aca="false">MIN(G10,AA10/Settings!$B$2*100)</f>
        <v>0</v>
      </c>
      <c r="N10" s="0" t="n">
        <f aca="false">G10-M10</f>
        <v>10</v>
      </c>
      <c r="O10" s="0" t="n">
        <f aca="false">SUM($C$3:C10)</f>
        <v>155</v>
      </c>
      <c r="P10" s="0" t="n">
        <f aca="false">SUM($E$3:E10)</f>
        <v>75</v>
      </c>
      <c r="Q10" s="0" t="n">
        <f aca="false">N10+O10</f>
        <v>165</v>
      </c>
      <c r="R10" s="0" t="n">
        <f aca="false">100+P10</f>
        <v>175</v>
      </c>
      <c r="S10" s="0" t="n">
        <f aca="false">R10-Q10</f>
        <v>10</v>
      </c>
      <c r="T10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Direction",IF(OR(C10&lt;0,E10&lt;0,J10&lt;0,AND(LEN(L10)&gt;0,L10&lt;0)),"ERROR: Negative input",IF(C10&lt;E10,"ERROR: Big SELL must be &gt;= Small BUY",IF(AND(LEN(L10)&gt;0,L10&gt;G10),"ERROR: ManualClose exceeds remaining Start position",IF(OR(N10&lt;0,Q10&lt;0,R10&lt;0),"ERROR: Negative totals",IF(Q10&gt;R10,"ERROR: Rounding broke protection balance",IF(S10&gt;Settings!$B$8,"WARNING: Skew exceeds recommended limit","OK")))))))))))</f>
        <v>OK</v>
      </c>
      <c r="U10" s="0" t="str">
        <f aca="false">IF(LEFT(T10,5)="ERROR","Check input/risk","")</f>
        <v/>
      </c>
      <c r="V10" s="0" t="n">
        <f aca="false">Settings!$B$2*C10/100</f>
        <v>0</v>
      </c>
      <c r="W10" s="0" t="n">
        <f aca="false">IF(Settings!$B$9,FLOOR(V10,Settings!$B$5),V10)</f>
        <v>0</v>
      </c>
      <c r="X10" s="0" t="n">
        <f aca="false">Settings!$B$2*E10/100</f>
        <v>0</v>
      </c>
      <c r="Y10" s="0" t="n">
        <f aca="false">IF(Settings!$B$9,CEILING(X10,Settings!$B$5),X10)</f>
        <v>0</v>
      </c>
      <c r="Z10" s="0" t="n">
        <f aca="false">Settings!$B$2*M10/100</f>
        <v>0</v>
      </c>
      <c r="AA10" s="0" t="n">
        <f aca="false">IF(Settings!$B$17,MIN(Settings!$B$2*G10/100,IF(Settings!$B$9,CEILING(MAX(0,Settings!$B$2*(H10-I10+J10)/100),Settings!$B$5),MAX(0,Settings!$B$2*(H10-I10+J10)/100))),IF(Settings!$B$9,MROUND(Z10,Settings!$B$5),Z10))</f>
        <v>0</v>
      </c>
      <c r="AB10" s="3" t="str">
        <f aca="false">IF(LEFT(T10,5)="ERROR","ERROR",IF(AND(Settings!$B$17,ABS(AA10-Z10)&gt;0.000000001),"FIXED",IF(ABS(S10)&lt;=Settings!$B$7,"SAFE","WARNING")))</f>
        <v>WARNING</v>
      </c>
      <c r="AC10" s="0" t="str">
        <f aca="false">IF(AB10="FIXED","Close adjusted by SAFE mode",IF(AB10="SAFE","BUY/SELL balance preserved",IF(AB10="WARNING","Near protection boundary","Protection broken")))</f>
        <v>Near protection boundary</v>
      </c>
      <c r="AD10" s="0" t="n">
        <f aca="false">MAX(0,Settings!$B$2*G10/100-AA10)</f>
        <v>0.1</v>
      </c>
      <c r="AE10" s="0" t="n">
        <f aca="false">SUM($W$3:W10)</f>
        <v>1.55</v>
      </c>
      <c r="AF10" s="0" t="n">
        <f aca="false">SUM($Y$3:Y10)</f>
        <v>0.75</v>
      </c>
      <c r="AG10" s="0" t="n">
        <f aca="false">AD10+AE10</f>
        <v>1.65</v>
      </c>
      <c r="AH10" s="0" t="n">
        <f aca="false">Settings!$B$2+AF10</f>
        <v>1.75</v>
      </c>
      <c r="AI10" s="0" t="n">
        <f aca="false">AH10-AG10</f>
        <v>0.0999999999999999</v>
      </c>
      <c r="AJ10" s="0" t="str">
        <f aca="false">IF(OR(AND(C10&gt;0,W10=0),AND(E10&gt;0,Y10=0),Settings!$B$2&lt;Settings!$B$5),"ERROR: LotStep too coarse",IF(AG10&gt;AH10,"ERROR: Rounded balance broken",IF(AND(J10&gt;0,AI10&lt;Settings!$B$2*J10/100),"WARNING","OK")))</f>
        <v>OK</v>
      </c>
    </row>
    <row r="11" customFormat="false" ht="14.9" hidden="false" customHeight="false" outlineLevel="0" collapsed="false">
      <c r="A11" s="0" t="n">
        <v>9</v>
      </c>
      <c r="B11" s="0" t="n">
        <f aca="false">A11*Settings!$B$3</f>
        <v>900</v>
      </c>
      <c r="C11" s="0" t="n">
        <f aca="false">IF(A11&lt;=Settings!$B$4,IFERROR(xlookup(A11,LevelRange,BigPercentRange),0),0)</f>
        <v>0</v>
      </c>
      <c r="D11" s="0" t="n">
        <f aca="false">W11</f>
        <v>0</v>
      </c>
      <c r="E11" s="0" t="n">
        <f aca="false">IF(A11&lt;=Settings!$B$4,IFERROR(xlookup(A11,LevelRange,SmallPercentRange),0),0)</f>
        <v>0</v>
      </c>
      <c r="F11" s="0" t="n">
        <f aca="false">Y11</f>
        <v>0</v>
      </c>
      <c r="G11" s="0" t="n">
        <f aca="false">N10</f>
        <v>10</v>
      </c>
      <c r="H11" s="0" t="n">
        <f aca="false">G11+SUM($C$3:C11)</f>
        <v>165</v>
      </c>
      <c r="I11" s="0" t="n">
        <f aca="false">100+SUM($E$3:E11)</f>
        <v>175</v>
      </c>
      <c r="J11" s="0" t="n">
        <f aca="false">IF(A11&lt;=Settings!$B$4,IFERROR(xlookup(A11,LevelRange,TargetSkewRange),0),0)</f>
        <v>0</v>
      </c>
      <c r="K11" s="0" t="n">
        <f aca="false">MIN(G11,MAX(0,H11-I11+J11))</f>
        <v>0</v>
      </c>
      <c r="L11" s="0" t="str">
        <f aca="false">IF(A11&lt;=Settings!$B$4,IFERROR(xlookup(A11,LevelRange,ManualCloseRange),""),"")</f>
        <v/>
      </c>
      <c r="M11" s="0" t="n">
        <f aca="false">MIN(G11,AA11/Settings!$B$2*100)</f>
        <v>0</v>
      </c>
      <c r="N11" s="0" t="n">
        <f aca="false">G11-M11</f>
        <v>10</v>
      </c>
      <c r="O11" s="0" t="n">
        <f aca="false">SUM($C$3:C11)</f>
        <v>155</v>
      </c>
      <c r="P11" s="0" t="n">
        <f aca="false">SUM($E$3:E11)</f>
        <v>75</v>
      </c>
      <c r="Q11" s="0" t="n">
        <f aca="false">N11+O11</f>
        <v>165</v>
      </c>
      <c r="R11" s="0" t="n">
        <f aca="false">100+P11</f>
        <v>175</v>
      </c>
      <c r="S11" s="0" t="n">
        <f aca="false">R11-Q11</f>
        <v>10</v>
      </c>
      <c r="T11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Direction",IF(OR(C11&lt;0,E11&lt;0,J11&lt;0,AND(LEN(L11)&gt;0,L11&lt;0)),"ERROR: Negative input",IF(C11&lt;E11,"ERROR: Big SELL must be &gt;= Small BUY",IF(AND(LEN(L11)&gt;0,L11&gt;G11),"ERROR: ManualClose exceeds remaining Start position",IF(OR(N11&lt;0,Q11&lt;0,R11&lt;0),"ERROR: Negative totals",IF(Q11&gt;R11,"ERROR: Rounding broke protection balance",IF(S11&gt;Settings!$B$8,"WARNING: Skew exceeds recommended limit","OK")))))))))))</f>
        <v>OK</v>
      </c>
      <c r="U11" s="0" t="str">
        <f aca="false">IF(LEFT(T11,5)="ERROR","Check input/risk","")</f>
        <v/>
      </c>
      <c r="V11" s="0" t="n">
        <f aca="false">Settings!$B$2*C11/100</f>
        <v>0</v>
      </c>
      <c r="W11" s="0" t="n">
        <f aca="false">IF(Settings!$B$9,FLOOR(V11,Settings!$B$5),V11)</f>
        <v>0</v>
      </c>
      <c r="X11" s="0" t="n">
        <f aca="false">Settings!$B$2*E11/100</f>
        <v>0</v>
      </c>
      <c r="Y11" s="0" t="n">
        <f aca="false">IF(Settings!$B$9,CEILING(X11,Settings!$B$5),X11)</f>
        <v>0</v>
      </c>
      <c r="Z11" s="0" t="n">
        <f aca="false">Settings!$B$2*M11/100</f>
        <v>0</v>
      </c>
      <c r="AA11" s="0" t="n">
        <f aca="false">IF(Settings!$B$17,MIN(Settings!$B$2*G11/100,IF(Settings!$B$9,CEILING(MAX(0,Settings!$B$2*(H11-I11+J11)/100),Settings!$B$5),MAX(0,Settings!$B$2*(H11-I11+J11)/100))),IF(Settings!$B$9,MROUND(Z11,Settings!$B$5),Z11))</f>
        <v>0</v>
      </c>
      <c r="AB11" s="3" t="str">
        <f aca="false">IF(LEFT(T11,5)="ERROR","ERROR",IF(AND(Settings!$B$17,ABS(AA11-Z11)&gt;0.000000001),"FIXED",IF(ABS(S11)&lt;=Settings!$B$7,"SAFE","WARNING")))</f>
        <v>WARNING</v>
      </c>
      <c r="AC11" s="0" t="str">
        <f aca="false">IF(AB11="FIXED","Close adjusted by SAFE mode",IF(AB11="SAFE","BUY/SELL balance preserved",IF(AB11="WARNING","Near protection boundary","Protection broken")))</f>
        <v>Near protection boundary</v>
      </c>
      <c r="AD11" s="0" t="n">
        <f aca="false">MAX(0,Settings!$B$2*G11/100-AA11)</f>
        <v>0.1</v>
      </c>
      <c r="AE11" s="0" t="n">
        <f aca="false">SUM($W$3:W11)</f>
        <v>1.55</v>
      </c>
      <c r="AF11" s="0" t="n">
        <f aca="false">SUM($Y$3:Y11)</f>
        <v>0.75</v>
      </c>
      <c r="AG11" s="0" t="n">
        <f aca="false">AD11+AE11</f>
        <v>1.65</v>
      </c>
      <c r="AH11" s="0" t="n">
        <f aca="false">Settings!$B$2+AF11</f>
        <v>1.75</v>
      </c>
      <c r="AI11" s="0" t="n">
        <f aca="false">AH11-AG11</f>
        <v>0.0999999999999999</v>
      </c>
      <c r="AJ11" s="0" t="str">
        <f aca="false">IF(OR(AND(C11&gt;0,W11=0),AND(E11&gt;0,Y11=0),Settings!$B$2&lt;Settings!$B$5),"ERROR: LotStep too coarse",IF(AG11&gt;AH11,"ERROR: Rounded balance broken",IF(AND(J11&gt;0,AI11&lt;Settings!$B$2*J11/100),"WARNING","OK")))</f>
        <v>OK</v>
      </c>
    </row>
    <row r="12" customFormat="false" ht="14.9" hidden="false" customHeight="false" outlineLevel="0" collapsed="false">
      <c r="A12" s="0" t="n">
        <v>10</v>
      </c>
      <c r="B12" s="0" t="n">
        <f aca="false">A12*Settings!$B$3</f>
        <v>1000</v>
      </c>
      <c r="C12" s="0" t="n">
        <f aca="false">IF(A12&lt;=Settings!$B$4,IFERROR(xlookup(A12,LevelRange,BigPercentRange),0),0)</f>
        <v>0</v>
      </c>
      <c r="D12" s="0" t="n">
        <f aca="false">W12</f>
        <v>0</v>
      </c>
      <c r="E12" s="0" t="n">
        <f aca="false">IF(A12&lt;=Settings!$B$4,IFERROR(xlookup(A12,LevelRange,SmallPercentRange),0),0)</f>
        <v>0</v>
      </c>
      <c r="F12" s="0" t="n">
        <f aca="false">Y12</f>
        <v>0</v>
      </c>
      <c r="G12" s="0" t="n">
        <f aca="false">N11</f>
        <v>10</v>
      </c>
      <c r="H12" s="0" t="n">
        <f aca="false">G12+SUM($C$3:C12)</f>
        <v>165</v>
      </c>
      <c r="I12" s="0" t="n">
        <f aca="false">100+SUM($E$3:E12)</f>
        <v>175</v>
      </c>
      <c r="J12" s="0" t="n">
        <f aca="false">IF(A12&lt;=Settings!$B$4,IFERROR(xlookup(A12,LevelRange,TargetSkewRange),0),0)</f>
        <v>0</v>
      </c>
      <c r="K12" s="0" t="n">
        <f aca="false">MIN(G12,MAX(0,H12-I12+J12))</f>
        <v>0</v>
      </c>
      <c r="L12" s="0" t="str">
        <f aca="false">IF(A12&lt;=Settings!$B$4,IFERROR(xlookup(A12,LevelRange,ManualCloseRange),""),"")</f>
        <v/>
      </c>
      <c r="M12" s="0" t="n">
        <f aca="false">MIN(G12,AA12/Settings!$B$2*100)</f>
        <v>0</v>
      </c>
      <c r="N12" s="0" t="n">
        <f aca="false">G12-M12</f>
        <v>10</v>
      </c>
      <c r="O12" s="0" t="n">
        <f aca="false">SUM($C$3:C12)</f>
        <v>155</v>
      </c>
      <c r="P12" s="0" t="n">
        <f aca="false">SUM($E$3:E12)</f>
        <v>75</v>
      </c>
      <c r="Q12" s="0" t="n">
        <f aca="false">N12+O12</f>
        <v>165</v>
      </c>
      <c r="R12" s="0" t="n">
        <f aca="false">100+P12</f>
        <v>175</v>
      </c>
      <c r="S12" s="0" t="n">
        <f aca="false">R12-Q12</f>
        <v>10</v>
      </c>
      <c r="T12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Direction",IF(OR(C12&lt;0,E12&lt;0,J12&lt;0,AND(LEN(L12)&gt;0,L12&lt;0)),"ERROR: Negative input",IF(C12&lt;E12,"ERROR: Big SELL must be &gt;= Small BUY",IF(AND(LEN(L12)&gt;0,L12&gt;G12),"ERROR: ManualClose exceeds remaining Start position",IF(OR(N12&lt;0,Q12&lt;0,R12&lt;0),"ERROR: Negative totals",IF(Q12&gt;R12,"ERROR: Rounding broke protection balance",IF(S12&gt;Settings!$B$8,"WARNING: Skew exceeds recommended limit","OK")))))))))))</f>
        <v>OK</v>
      </c>
      <c r="U12" s="0" t="str">
        <f aca="false">IF(LEFT(T12,5)="ERROR","Check input/risk","")</f>
        <v/>
      </c>
      <c r="V12" s="0" t="n">
        <f aca="false">Settings!$B$2*C12/100</f>
        <v>0</v>
      </c>
      <c r="W12" s="0" t="n">
        <f aca="false">IF(Settings!$B$9,FLOOR(V12,Settings!$B$5),V12)</f>
        <v>0</v>
      </c>
      <c r="X12" s="0" t="n">
        <f aca="false">Settings!$B$2*E12/100</f>
        <v>0</v>
      </c>
      <c r="Y12" s="0" t="n">
        <f aca="false">IF(Settings!$B$9,CEILING(X12,Settings!$B$5),X12)</f>
        <v>0</v>
      </c>
      <c r="Z12" s="0" t="n">
        <f aca="false">Settings!$B$2*M12/100</f>
        <v>0</v>
      </c>
      <c r="AA12" s="0" t="n">
        <f aca="false">IF(Settings!$B$17,MIN(Settings!$B$2*G12/100,IF(Settings!$B$9,CEILING(MAX(0,Settings!$B$2*(H12-I12+J12)/100),Settings!$B$5),MAX(0,Settings!$B$2*(H12-I12+J12)/100))),IF(Settings!$B$9,MROUND(Z12,Settings!$B$5),Z12))</f>
        <v>0</v>
      </c>
      <c r="AB12" s="3" t="str">
        <f aca="false">IF(LEFT(T12,5)="ERROR","ERROR",IF(AND(Settings!$B$17,ABS(AA12-Z12)&gt;0.000000001),"FIXED",IF(ABS(S12)&lt;=Settings!$B$7,"SAFE","WARNING")))</f>
        <v>WARNING</v>
      </c>
      <c r="AC12" s="0" t="str">
        <f aca="false">IF(AB12="FIXED","Close adjusted by SAFE mode",IF(AB12="SAFE","BUY/SELL balance preserved",IF(AB12="WARNING","Near protection boundary","Protection broken")))</f>
        <v>Near protection boundary</v>
      </c>
      <c r="AD12" s="0" t="n">
        <f aca="false">MAX(0,Settings!$B$2*G12/100-AA12)</f>
        <v>0.1</v>
      </c>
      <c r="AE12" s="0" t="n">
        <f aca="false">SUM($W$3:W12)</f>
        <v>1.55</v>
      </c>
      <c r="AF12" s="0" t="n">
        <f aca="false">SUM($Y$3:Y12)</f>
        <v>0.75</v>
      </c>
      <c r="AG12" s="0" t="n">
        <f aca="false">AD12+AE12</f>
        <v>1.65</v>
      </c>
      <c r="AH12" s="0" t="n">
        <f aca="false">Settings!$B$2+AF12</f>
        <v>1.75</v>
      </c>
      <c r="AI12" s="0" t="n">
        <f aca="false">AH12-AG12</f>
        <v>0.0999999999999999</v>
      </c>
      <c r="AJ12" s="0" t="str">
        <f aca="false">IF(OR(AND(C12&gt;0,W12=0),AND(E12&gt;0,Y12=0),Settings!$B$2&lt;Settings!$B$5),"ERROR: LotStep too coarse",IF(AG12&gt;AH12,"ERROR: Rounded balance broken",IF(AND(J12&gt;0,AI12&lt;Settings!$B$2*J12/100),"WARNING","OK")))</f>
        <v>OK</v>
      </c>
    </row>
    <row r="13" customFormat="false" ht="14.9" hidden="false" customHeight="false" outlineLevel="0" collapsed="false">
      <c r="A13" s="0" t="n">
        <v>11</v>
      </c>
      <c r="B13" s="0" t="n">
        <f aca="false">A13*Settings!$B$3</f>
        <v>1100</v>
      </c>
      <c r="C13" s="0" t="n">
        <f aca="false">IF(A13&lt;=Settings!$B$4,IFERROR(xlookup(A13,LevelRange,BigPercentRange),0),0)</f>
        <v>0</v>
      </c>
      <c r="D13" s="0" t="n">
        <f aca="false">W13</f>
        <v>0</v>
      </c>
      <c r="E13" s="0" t="n">
        <f aca="false">IF(A13&lt;=Settings!$B$4,IFERROR(xlookup(A13,LevelRange,SmallPercentRange),0),0)</f>
        <v>0</v>
      </c>
      <c r="F13" s="0" t="n">
        <f aca="false">Y13</f>
        <v>0</v>
      </c>
      <c r="G13" s="0" t="n">
        <f aca="false">N12</f>
        <v>10</v>
      </c>
      <c r="H13" s="0" t="n">
        <f aca="false">G13+SUM($C$3:C13)</f>
        <v>165</v>
      </c>
      <c r="I13" s="0" t="n">
        <f aca="false">100+SUM($E$3:E13)</f>
        <v>175</v>
      </c>
      <c r="J13" s="0" t="n">
        <f aca="false">IF(A13&lt;=Settings!$B$4,IFERROR(xlookup(A13,LevelRange,TargetSkewRange),0),0)</f>
        <v>0</v>
      </c>
      <c r="K13" s="0" t="n">
        <f aca="false">MIN(G13,MAX(0,H13-I13+J13))</f>
        <v>0</v>
      </c>
      <c r="L13" s="0" t="str">
        <f aca="false">IF(A13&lt;=Settings!$B$4,IFERROR(xlookup(A13,LevelRange,ManualCloseRange),""),"")</f>
        <v/>
      </c>
      <c r="M13" s="0" t="n">
        <f aca="false">MIN(G13,AA13/Settings!$B$2*100)</f>
        <v>0</v>
      </c>
      <c r="N13" s="0" t="n">
        <f aca="false">G13-M13</f>
        <v>10</v>
      </c>
      <c r="O13" s="0" t="n">
        <f aca="false">SUM($C$3:C13)</f>
        <v>155</v>
      </c>
      <c r="P13" s="0" t="n">
        <f aca="false">SUM($E$3:E13)</f>
        <v>75</v>
      </c>
      <c r="Q13" s="0" t="n">
        <f aca="false">N13+O13</f>
        <v>165</v>
      </c>
      <c r="R13" s="0" t="n">
        <f aca="false">100+P13</f>
        <v>175</v>
      </c>
      <c r="S13" s="0" t="n">
        <f aca="false">R13-Q13</f>
        <v>10</v>
      </c>
      <c r="T13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Direction",IF(OR(C13&lt;0,E13&lt;0,J13&lt;0,AND(LEN(L13)&gt;0,L13&lt;0)),"ERROR: Negative input",IF(C13&lt;E13,"ERROR: Big SELL must be &gt;= Small BUY",IF(AND(LEN(L13)&gt;0,L13&gt;G13),"ERROR: ManualClose exceeds remaining Start position",IF(OR(N13&lt;0,Q13&lt;0,R13&lt;0),"ERROR: Negative totals",IF(Q13&gt;R13,"ERROR: Rounding broke protection balance",IF(S13&gt;Settings!$B$8,"WARNING: Skew exceeds recommended limit","OK")))))))))))</f>
        <v>OK</v>
      </c>
      <c r="U13" s="0" t="str">
        <f aca="false">IF(LEFT(T13,5)="ERROR","Check input/risk","")</f>
        <v/>
      </c>
      <c r="V13" s="0" t="n">
        <f aca="false">Settings!$B$2*C13/100</f>
        <v>0</v>
      </c>
      <c r="W13" s="0" t="n">
        <f aca="false">IF(Settings!$B$9,FLOOR(V13,Settings!$B$5),V13)</f>
        <v>0</v>
      </c>
      <c r="X13" s="0" t="n">
        <f aca="false">Settings!$B$2*E13/100</f>
        <v>0</v>
      </c>
      <c r="Y13" s="0" t="n">
        <f aca="false">IF(Settings!$B$9,CEILING(X13,Settings!$B$5),X13)</f>
        <v>0</v>
      </c>
      <c r="Z13" s="0" t="n">
        <f aca="false">Settings!$B$2*M13/100</f>
        <v>0</v>
      </c>
      <c r="AA13" s="0" t="n">
        <f aca="false">IF(Settings!$B$17,MIN(Settings!$B$2*G13/100,IF(Settings!$B$9,CEILING(MAX(0,Settings!$B$2*(H13-I13+J13)/100),Settings!$B$5),MAX(0,Settings!$B$2*(H13-I13+J13)/100))),IF(Settings!$B$9,MROUND(Z13,Settings!$B$5),Z13))</f>
        <v>0</v>
      </c>
      <c r="AB13" s="3" t="str">
        <f aca="false">IF(LEFT(T13,5)="ERROR","ERROR",IF(AND(Settings!$B$17,ABS(AA13-Z13)&gt;0.000000001),"FIXED",IF(ABS(S13)&lt;=Settings!$B$7,"SAFE","WARNING")))</f>
        <v>WARNING</v>
      </c>
      <c r="AC13" s="0" t="str">
        <f aca="false">IF(AB13="FIXED","Close adjusted by SAFE mode",IF(AB13="SAFE","BUY/SELL balance preserved",IF(AB13="WARNING","Near protection boundary","Protection broken")))</f>
        <v>Near protection boundary</v>
      </c>
      <c r="AD13" s="0" t="n">
        <f aca="false">MAX(0,Settings!$B$2*G13/100-AA13)</f>
        <v>0.1</v>
      </c>
      <c r="AE13" s="0" t="n">
        <f aca="false">SUM($W$3:W13)</f>
        <v>1.55</v>
      </c>
      <c r="AF13" s="0" t="n">
        <f aca="false">SUM($Y$3:Y13)</f>
        <v>0.75</v>
      </c>
      <c r="AG13" s="0" t="n">
        <f aca="false">AD13+AE13</f>
        <v>1.65</v>
      </c>
      <c r="AH13" s="0" t="n">
        <f aca="false">Settings!$B$2+AF13</f>
        <v>1.75</v>
      </c>
      <c r="AI13" s="0" t="n">
        <f aca="false">AH13-AG13</f>
        <v>0.0999999999999999</v>
      </c>
      <c r="AJ13" s="0" t="str">
        <f aca="false">IF(OR(AND(C13&gt;0,W13=0),AND(E13&gt;0,Y13=0),Settings!$B$2&lt;Settings!$B$5),"ERROR: LotStep too coarse",IF(AG13&gt;AH13,"ERROR: Rounded balance broken",IF(AND(J13&gt;0,AI13&lt;Settings!$B$2*J13/100),"WARNING","OK")))</f>
        <v>OK</v>
      </c>
    </row>
    <row r="14" customFormat="false" ht="14.9" hidden="false" customHeight="false" outlineLevel="0" collapsed="false">
      <c r="A14" s="0" t="n">
        <v>12</v>
      </c>
      <c r="B14" s="0" t="n">
        <f aca="false">A14*Settings!$B$3</f>
        <v>1200</v>
      </c>
      <c r="C14" s="0" t="n">
        <f aca="false">IF(A14&lt;=Settings!$B$4,IFERROR(xlookup(A14,LevelRange,BigPercentRange),0),0)</f>
        <v>0</v>
      </c>
      <c r="D14" s="0" t="n">
        <f aca="false">W14</f>
        <v>0</v>
      </c>
      <c r="E14" s="0" t="n">
        <f aca="false">IF(A14&lt;=Settings!$B$4,IFERROR(xlookup(A14,LevelRange,SmallPercentRange),0),0)</f>
        <v>0</v>
      </c>
      <c r="F14" s="0" t="n">
        <f aca="false">Y14</f>
        <v>0</v>
      </c>
      <c r="G14" s="0" t="n">
        <f aca="false">N13</f>
        <v>10</v>
      </c>
      <c r="H14" s="0" t="n">
        <f aca="false">G14+SUM($C$3:C14)</f>
        <v>165</v>
      </c>
      <c r="I14" s="0" t="n">
        <f aca="false">100+SUM($E$3:E14)</f>
        <v>175</v>
      </c>
      <c r="J14" s="0" t="n">
        <f aca="false">IF(A14&lt;=Settings!$B$4,IFERROR(xlookup(A14,LevelRange,TargetSkewRange),0),0)</f>
        <v>0</v>
      </c>
      <c r="K14" s="0" t="n">
        <f aca="false">MIN(G14,MAX(0,H14-I14+J14))</f>
        <v>0</v>
      </c>
      <c r="L14" s="0" t="str">
        <f aca="false">IF(A14&lt;=Settings!$B$4,IFERROR(xlookup(A14,LevelRange,ManualCloseRange),""),"")</f>
        <v/>
      </c>
      <c r="M14" s="0" t="n">
        <f aca="false">MIN(G14,AA14/Settings!$B$2*100)</f>
        <v>0</v>
      </c>
      <c r="N14" s="0" t="n">
        <f aca="false">G14-M14</f>
        <v>10</v>
      </c>
      <c r="O14" s="0" t="n">
        <f aca="false">SUM($C$3:C14)</f>
        <v>155</v>
      </c>
      <c r="P14" s="0" t="n">
        <f aca="false">SUM($E$3:E14)</f>
        <v>75</v>
      </c>
      <c r="Q14" s="0" t="n">
        <f aca="false">N14+O14</f>
        <v>165</v>
      </c>
      <c r="R14" s="0" t="n">
        <f aca="false">100+P14</f>
        <v>175</v>
      </c>
      <c r="S14" s="0" t="n">
        <f aca="false">R14-Q14</f>
        <v>10</v>
      </c>
      <c r="T14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Direction",IF(OR(C14&lt;0,E14&lt;0,J14&lt;0,AND(LEN(L14)&gt;0,L14&lt;0)),"ERROR: Negative input",IF(C14&lt;E14,"ERROR: Big SELL must be &gt;= Small BUY",IF(AND(LEN(L14)&gt;0,L14&gt;G14),"ERROR: ManualClose exceeds remaining Start position",IF(OR(N14&lt;0,Q14&lt;0,R14&lt;0),"ERROR: Negative totals",IF(Q14&gt;R14,"ERROR: Rounding broke protection balance",IF(S14&gt;Settings!$B$8,"WARNING: Skew exceeds recommended limit","OK")))))))))))</f>
        <v>OK</v>
      </c>
      <c r="U14" s="0" t="str">
        <f aca="false">IF(LEFT(T14,5)="ERROR","Check input/risk","")</f>
        <v/>
      </c>
      <c r="V14" s="0" t="n">
        <f aca="false">Settings!$B$2*C14/100</f>
        <v>0</v>
      </c>
      <c r="W14" s="0" t="n">
        <f aca="false">IF(Settings!$B$9,FLOOR(V14,Settings!$B$5),V14)</f>
        <v>0</v>
      </c>
      <c r="X14" s="0" t="n">
        <f aca="false">Settings!$B$2*E14/100</f>
        <v>0</v>
      </c>
      <c r="Y14" s="0" t="n">
        <f aca="false">IF(Settings!$B$9,CEILING(X14,Settings!$B$5),X14)</f>
        <v>0</v>
      </c>
      <c r="Z14" s="0" t="n">
        <f aca="false">Settings!$B$2*M14/100</f>
        <v>0</v>
      </c>
      <c r="AA14" s="0" t="n">
        <f aca="false">IF(Settings!$B$17,MIN(Settings!$B$2*G14/100,IF(Settings!$B$9,CEILING(MAX(0,Settings!$B$2*(H14-I14+J14)/100),Settings!$B$5),MAX(0,Settings!$B$2*(H14-I14+J14)/100))),IF(Settings!$B$9,MROUND(Z14,Settings!$B$5),Z14))</f>
        <v>0</v>
      </c>
      <c r="AB14" s="3" t="str">
        <f aca="false">IF(LEFT(T14,5)="ERROR","ERROR",IF(AND(Settings!$B$17,ABS(AA14-Z14)&gt;0.000000001),"FIXED",IF(ABS(S14)&lt;=Settings!$B$7,"SAFE","WARNING")))</f>
        <v>WARNING</v>
      </c>
      <c r="AC14" s="0" t="str">
        <f aca="false">IF(AB14="FIXED","Close adjusted by SAFE mode",IF(AB14="SAFE","BUY/SELL balance preserved",IF(AB14="WARNING","Near protection boundary","Protection broken")))</f>
        <v>Near protection boundary</v>
      </c>
      <c r="AD14" s="0" t="n">
        <f aca="false">MAX(0,Settings!$B$2*G14/100-AA14)</f>
        <v>0.1</v>
      </c>
      <c r="AE14" s="0" t="n">
        <f aca="false">SUM($W$3:W14)</f>
        <v>1.55</v>
      </c>
      <c r="AF14" s="0" t="n">
        <f aca="false">SUM($Y$3:Y14)</f>
        <v>0.75</v>
      </c>
      <c r="AG14" s="0" t="n">
        <f aca="false">AD14+AE14</f>
        <v>1.65</v>
      </c>
      <c r="AH14" s="0" t="n">
        <f aca="false">Settings!$B$2+AF14</f>
        <v>1.75</v>
      </c>
      <c r="AI14" s="0" t="n">
        <f aca="false">AH14-AG14</f>
        <v>0.0999999999999999</v>
      </c>
      <c r="AJ14" s="0" t="str">
        <f aca="false">IF(OR(AND(C14&gt;0,W14=0),AND(E14&gt;0,Y14=0),Settings!$B$2&lt;Settings!$B$5),"ERROR: LotStep too coarse",IF(AG14&gt;AH14,"ERROR: Rounded balance broken",IF(AND(J14&gt;0,AI14&lt;Settings!$B$2*J14/100),"WARNING","OK")))</f>
        <v>OK</v>
      </c>
    </row>
    <row r="15" customFormat="false" ht="14.9" hidden="false" customHeight="false" outlineLevel="0" collapsed="false">
      <c r="A15" s="0" t="n">
        <v>13</v>
      </c>
      <c r="B15" s="0" t="n">
        <f aca="false">A15*Settings!$B$3</f>
        <v>1300</v>
      </c>
      <c r="C15" s="0" t="n">
        <f aca="false">IF(A15&lt;=Settings!$B$4,IFERROR(xlookup(A15,LevelRange,BigPercentRange),0),0)</f>
        <v>0</v>
      </c>
      <c r="D15" s="0" t="n">
        <f aca="false">W15</f>
        <v>0</v>
      </c>
      <c r="E15" s="0" t="n">
        <f aca="false">IF(A15&lt;=Settings!$B$4,IFERROR(xlookup(A15,LevelRange,SmallPercentRange),0),0)</f>
        <v>0</v>
      </c>
      <c r="F15" s="0" t="n">
        <f aca="false">Y15</f>
        <v>0</v>
      </c>
      <c r="G15" s="0" t="n">
        <f aca="false">N14</f>
        <v>10</v>
      </c>
      <c r="H15" s="0" t="n">
        <f aca="false">G15+SUM($C$3:C15)</f>
        <v>165</v>
      </c>
      <c r="I15" s="0" t="n">
        <f aca="false">100+SUM($E$3:E15)</f>
        <v>175</v>
      </c>
      <c r="J15" s="0" t="n">
        <f aca="false">IF(A15&lt;=Settings!$B$4,IFERROR(xlookup(A15,LevelRange,TargetSkewRange),0),0)</f>
        <v>0</v>
      </c>
      <c r="K15" s="0" t="n">
        <f aca="false">MIN(G15,MAX(0,H15-I15+J15))</f>
        <v>0</v>
      </c>
      <c r="L15" s="0" t="str">
        <f aca="false">IF(A15&lt;=Settings!$B$4,IFERROR(xlookup(A15,LevelRange,ManualCloseRange),""),"")</f>
        <v/>
      </c>
      <c r="M15" s="0" t="n">
        <f aca="false">MIN(G15,AA15/Settings!$B$2*100)</f>
        <v>0</v>
      </c>
      <c r="N15" s="0" t="n">
        <f aca="false">G15-M15</f>
        <v>10</v>
      </c>
      <c r="O15" s="0" t="n">
        <f aca="false">SUM($C$3:C15)</f>
        <v>155</v>
      </c>
      <c r="P15" s="0" t="n">
        <f aca="false">SUM($E$3:E15)</f>
        <v>75</v>
      </c>
      <c r="Q15" s="0" t="n">
        <f aca="false">N15+O15</f>
        <v>165</v>
      </c>
      <c r="R15" s="0" t="n">
        <f aca="false">100+P15</f>
        <v>175</v>
      </c>
      <c r="S15" s="0" t="n">
        <f aca="false">R15-Q15</f>
        <v>10</v>
      </c>
      <c r="T15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Direction",IF(OR(C15&lt;0,E15&lt;0,J15&lt;0,AND(LEN(L15)&gt;0,L15&lt;0)),"ERROR: Negative input",IF(C15&lt;E15,"ERROR: Big SELL must be &gt;= Small BUY",IF(AND(LEN(L15)&gt;0,L15&gt;G15),"ERROR: ManualClose exceeds remaining Start position",IF(OR(N15&lt;0,Q15&lt;0,R15&lt;0),"ERROR: Negative totals",IF(Q15&gt;R15,"ERROR: Rounding broke protection balance",IF(S15&gt;Settings!$B$8,"WARNING: Skew exceeds recommended limit","OK")))))))))))</f>
        <v>OK</v>
      </c>
      <c r="U15" s="0" t="str">
        <f aca="false">IF(LEFT(T15,5)="ERROR","Check input/risk","")</f>
        <v/>
      </c>
      <c r="V15" s="0" t="n">
        <f aca="false">Settings!$B$2*C15/100</f>
        <v>0</v>
      </c>
      <c r="W15" s="0" t="n">
        <f aca="false">IF(Settings!$B$9,FLOOR(V15,Settings!$B$5),V15)</f>
        <v>0</v>
      </c>
      <c r="X15" s="0" t="n">
        <f aca="false">Settings!$B$2*E15/100</f>
        <v>0</v>
      </c>
      <c r="Y15" s="0" t="n">
        <f aca="false">IF(Settings!$B$9,CEILING(X15,Settings!$B$5),X15)</f>
        <v>0</v>
      </c>
      <c r="Z15" s="0" t="n">
        <f aca="false">Settings!$B$2*M15/100</f>
        <v>0</v>
      </c>
      <c r="AA15" s="0" t="n">
        <f aca="false">IF(Settings!$B$17,MIN(Settings!$B$2*G15/100,IF(Settings!$B$9,CEILING(MAX(0,Settings!$B$2*(H15-I15+J15)/100),Settings!$B$5),MAX(0,Settings!$B$2*(H15-I15+J15)/100))),IF(Settings!$B$9,MROUND(Z15,Settings!$B$5),Z15))</f>
        <v>0</v>
      </c>
      <c r="AB15" s="3" t="str">
        <f aca="false">IF(LEFT(T15,5)="ERROR","ERROR",IF(AND(Settings!$B$17,ABS(AA15-Z15)&gt;0.000000001),"FIXED",IF(ABS(S15)&lt;=Settings!$B$7,"SAFE","WARNING")))</f>
        <v>WARNING</v>
      </c>
      <c r="AC15" s="0" t="str">
        <f aca="false">IF(AB15="FIXED","Close adjusted by SAFE mode",IF(AB15="SAFE","BUY/SELL balance preserved",IF(AB15="WARNING","Near protection boundary","Protection broken")))</f>
        <v>Near protection boundary</v>
      </c>
      <c r="AD15" s="0" t="n">
        <f aca="false">MAX(0,Settings!$B$2*G15/100-AA15)</f>
        <v>0.1</v>
      </c>
      <c r="AE15" s="0" t="n">
        <f aca="false">SUM($W$3:W15)</f>
        <v>1.55</v>
      </c>
      <c r="AF15" s="0" t="n">
        <f aca="false">SUM($Y$3:Y15)</f>
        <v>0.75</v>
      </c>
      <c r="AG15" s="0" t="n">
        <f aca="false">AD15+AE15</f>
        <v>1.65</v>
      </c>
      <c r="AH15" s="0" t="n">
        <f aca="false">Settings!$B$2+AF15</f>
        <v>1.75</v>
      </c>
      <c r="AI15" s="0" t="n">
        <f aca="false">AH15-AG15</f>
        <v>0.0999999999999999</v>
      </c>
      <c r="AJ15" s="0" t="str">
        <f aca="false">IF(OR(AND(C15&gt;0,W15=0),AND(E15&gt;0,Y15=0),Settings!$B$2&lt;Settings!$B$5),"ERROR: LotStep too coarse",IF(AG15&gt;AH15,"ERROR: Rounded balance broken",IF(AND(J15&gt;0,AI15&lt;Settings!$B$2*J15/100),"WARNING","OK")))</f>
        <v>OK</v>
      </c>
    </row>
    <row r="16" customFormat="false" ht="14.9" hidden="false" customHeight="false" outlineLevel="0" collapsed="false">
      <c r="A16" s="0" t="n">
        <v>14</v>
      </c>
      <c r="B16" s="0" t="n">
        <f aca="false">A16*Settings!$B$3</f>
        <v>1400</v>
      </c>
      <c r="C16" s="0" t="n">
        <f aca="false">IF(A16&lt;=Settings!$B$4,IFERROR(xlookup(A16,LevelRange,BigPercentRange),0),0)</f>
        <v>0</v>
      </c>
      <c r="D16" s="0" t="n">
        <f aca="false">W16</f>
        <v>0</v>
      </c>
      <c r="E16" s="0" t="n">
        <f aca="false">IF(A16&lt;=Settings!$B$4,IFERROR(xlookup(A16,LevelRange,SmallPercentRange),0),0)</f>
        <v>0</v>
      </c>
      <c r="F16" s="0" t="n">
        <f aca="false">Y16</f>
        <v>0</v>
      </c>
      <c r="G16" s="0" t="n">
        <f aca="false">N15</f>
        <v>10</v>
      </c>
      <c r="H16" s="0" t="n">
        <f aca="false">G16+SUM($C$3:C16)</f>
        <v>165</v>
      </c>
      <c r="I16" s="0" t="n">
        <f aca="false">100+SUM($E$3:E16)</f>
        <v>175</v>
      </c>
      <c r="J16" s="0" t="n">
        <f aca="false">IF(A16&lt;=Settings!$B$4,IFERROR(xlookup(A16,LevelRange,TargetSkewRange),0),0)</f>
        <v>0</v>
      </c>
      <c r="K16" s="0" t="n">
        <f aca="false">MIN(G16,MAX(0,H16-I16+J16))</f>
        <v>0</v>
      </c>
      <c r="L16" s="0" t="str">
        <f aca="false">IF(A16&lt;=Settings!$B$4,IFERROR(xlookup(A16,LevelRange,ManualCloseRange),""),"")</f>
        <v/>
      </c>
      <c r="M16" s="0" t="n">
        <f aca="false">MIN(G16,AA16/Settings!$B$2*100)</f>
        <v>0</v>
      </c>
      <c r="N16" s="0" t="n">
        <f aca="false">G16-M16</f>
        <v>10</v>
      </c>
      <c r="O16" s="0" t="n">
        <f aca="false">SUM($C$3:C16)</f>
        <v>155</v>
      </c>
      <c r="P16" s="0" t="n">
        <f aca="false">SUM($E$3:E16)</f>
        <v>75</v>
      </c>
      <c r="Q16" s="0" t="n">
        <f aca="false">N16+O16</f>
        <v>165</v>
      </c>
      <c r="R16" s="0" t="n">
        <f aca="false">100+P16</f>
        <v>175</v>
      </c>
      <c r="S16" s="0" t="n">
        <f aca="false">R16-Q16</f>
        <v>10</v>
      </c>
      <c r="T16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Direction",IF(OR(C16&lt;0,E16&lt;0,J16&lt;0,AND(LEN(L16)&gt;0,L16&lt;0)),"ERROR: Negative input",IF(C16&lt;E16,"ERROR: Big SELL must be &gt;= Small BUY",IF(AND(LEN(L16)&gt;0,L16&gt;G16),"ERROR: ManualClose exceeds remaining Start position",IF(OR(N16&lt;0,Q16&lt;0,R16&lt;0),"ERROR: Negative totals",IF(Q16&gt;R16,"ERROR: Rounding broke protection balance",IF(S16&gt;Settings!$B$8,"WARNING: Skew exceeds recommended limit","OK")))))))))))</f>
        <v>OK</v>
      </c>
      <c r="U16" s="0" t="str">
        <f aca="false">IF(LEFT(T16,5)="ERROR","Check input/risk","")</f>
        <v/>
      </c>
      <c r="V16" s="0" t="n">
        <f aca="false">Settings!$B$2*C16/100</f>
        <v>0</v>
      </c>
      <c r="W16" s="0" t="n">
        <f aca="false">IF(Settings!$B$9,FLOOR(V16,Settings!$B$5),V16)</f>
        <v>0</v>
      </c>
      <c r="X16" s="0" t="n">
        <f aca="false">Settings!$B$2*E16/100</f>
        <v>0</v>
      </c>
      <c r="Y16" s="0" t="n">
        <f aca="false">IF(Settings!$B$9,CEILING(X16,Settings!$B$5),X16)</f>
        <v>0</v>
      </c>
      <c r="Z16" s="0" t="n">
        <f aca="false">Settings!$B$2*M16/100</f>
        <v>0</v>
      </c>
      <c r="AA16" s="0" t="n">
        <f aca="false">IF(Settings!$B$17,MIN(Settings!$B$2*G16/100,IF(Settings!$B$9,CEILING(MAX(0,Settings!$B$2*(H16-I16+J16)/100),Settings!$B$5),MAX(0,Settings!$B$2*(H16-I16+J16)/100))),IF(Settings!$B$9,MROUND(Z16,Settings!$B$5),Z16))</f>
        <v>0</v>
      </c>
      <c r="AB16" s="3" t="str">
        <f aca="false">IF(LEFT(T16,5)="ERROR","ERROR",IF(AND(Settings!$B$17,ABS(AA16-Z16)&gt;0.000000001),"FIXED",IF(ABS(S16)&lt;=Settings!$B$7,"SAFE","WARNING")))</f>
        <v>WARNING</v>
      </c>
      <c r="AC16" s="0" t="str">
        <f aca="false">IF(AB16="FIXED","Close adjusted by SAFE mode",IF(AB16="SAFE","BUY/SELL balance preserved",IF(AB16="WARNING","Near protection boundary","Protection broken")))</f>
        <v>Near protection boundary</v>
      </c>
      <c r="AD16" s="0" t="n">
        <f aca="false">MAX(0,Settings!$B$2*G16/100-AA16)</f>
        <v>0.1</v>
      </c>
      <c r="AE16" s="0" t="n">
        <f aca="false">SUM($W$3:W16)</f>
        <v>1.55</v>
      </c>
      <c r="AF16" s="0" t="n">
        <f aca="false">SUM($Y$3:Y16)</f>
        <v>0.75</v>
      </c>
      <c r="AG16" s="0" t="n">
        <f aca="false">AD16+AE16</f>
        <v>1.65</v>
      </c>
      <c r="AH16" s="0" t="n">
        <f aca="false">Settings!$B$2+AF16</f>
        <v>1.75</v>
      </c>
      <c r="AI16" s="0" t="n">
        <f aca="false">AH16-AG16</f>
        <v>0.0999999999999999</v>
      </c>
      <c r="AJ16" s="0" t="str">
        <f aca="false">IF(OR(AND(C16&gt;0,W16=0),AND(E16&gt;0,Y16=0),Settings!$B$2&lt;Settings!$B$5),"ERROR: LotStep too coarse",IF(AG16&gt;AH16,"ERROR: Rounded balance broken",IF(AND(J16&gt;0,AI16&lt;Settings!$B$2*J16/100),"WARNING","OK")))</f>
        <v>OK</v>
      </c>
    </row>
    <row r="17" customFormat="false" ht="14.9" hidden="false" customHeight="false" outlineLevel="0" collapsed="false">
      <c r="A17" s="0" t="n">
        <v>15</v>
      </c>
      <c r="B17" s="0" t="n">
        <f aca="false">A17*Settings!$B$3</f>
        <v>1500</v>
      </c>
      <c r="C17" s="0" t="n">
        <f aca="false">IF(A17&lt;=Settings!$B$4,IFERROR(xlookup(A17,LevelRange,BigPercentRange),0),0)</f>
        <v>0</v>
      </c>
      <c r="D17" s="0" t="n">
        <f aca="false">W17</f>
        <v>0</v>
      </c>
      <c r="E17" s="0" t="n">
        <f aca="false">IF(A17&lt;=Settings!$B$4,IFERROR(xlookup(A17,LevelRange,SmallPercentRange),0),0)</f>
        <v>0</v>
      </c>
      <c r="F17" s="0" t="n">
        <f aca="false">Y17</f>
        <v>0</v>
      </c>
      <c r="G17" s="0" t="n">
        <f aca="false">N16</f>
        <v>10</v>
      </c>
      <c r="H17" s="0" t="n">
        <f aca="false">G17+SUM($C$3:C17)</f>
        <v>165</v>
      </c>
      <c r="I17" s="0" t="n">
        <f aca="false">100+SUM($E$3:E17)</f>
        <v>175</v>
      </c>
      <c r="J17" s="0" t="n">
        <f aca="false">IF(A17&lt;=Settings!$B$4,IFERROR(xlookup(A17,LevelRange,TargetSkewRange),0),0)</f>
        <v>0</v>
      </c>
      <c r="K17" s="0" t="n">
        <f aca="false">MIN(G17,MAX(0,H17-I17+J17))</f>
        <v>0</v>
      </c>
      <c r="L17" s="0" t="str">
        <f aca="false">IF(A17&lt;=Settings!$B$4,IFERROR(xlookup(A17,LevelRange,ManualCloseRange),""),"")</f>
        <v/>
      </c>
      <c r="M17" s="0" t="n">
        <f aca="false">MIN(G17,AA17/Settings!$B$2*100)</f>
        <v>0</v>
      </c>
      <c r="N17" s="0" t="n">
        <f aca="false">G17-M17</f>
        <v>10</v>
      </c>
      <c r="O17" s="0" t="n">
        <f aca="false">SUM($C$3:C17)</f>
        <v>155</v>
      </c>
      <c r="P17" s="0" t="n">
        <f aca="false">SUM($E$3:E17)</f>
        <v>75</v>
      </c>
      <c r="Q17" s="0" t="n">
        <f aca="false">N17+O17</f>
        <v>165</v>
      </c>
      <c r="R17" s="0" t="n">
        <f aca="false">100+P17</f>
        <v>175</v>
      </c>
      <c r="S17" s="0" t="n">
        <f aca="false">R17-Q17</f>
        <v>10</v>
      </c>
      <c r="T17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Direction",IF(OR(C17&lt;0,E17&lt;0,J17&lt;0,AND(LEN(L17)&gt;0,L17&lt;0)),"ERROR: Negative input",IF(C17&lt;E17,"ERROR: Big SELL must be &gt;= Small BUY",IF(AND(LEN(L17)&gt;0,L17&gt;G17),"ERROR: ManualClose exceeds remaining Start position",IF(OR(N17&lt;0,Q17&lt;0,R17&lt;0),"ERROR: Negative totals",IF(Q17&gt;R17,"ERROR: Rounding broke protection balance",IF(S17&gt;Settings!$B$8,"WARNING: Skew exceeds recommended limit","OK")))))))))))</f>
        <v>OK</v>
      </c>
      <c r="U17" s="0" t="str">
        <f aca="false">IF(LEFT(T17,5)="ERROR","Check input/risk","")</f>
        <v/>
      </c>
      <c r="V17" s="0" t="n">
        <f aca="false">Settings!$B$2*C17/100</f>
        <v>0</v>
      </c>
      <c r="W17" s="0" t="n">
        <f aca="false">IF(Settings!$B$9,FLOOR(V17,Settings!$B$5),V17)</f>
        <v>0</v>
      </c>
      <c r="X17" s="0" t="n">
        <f aca="false">Settings!$B$2*E17/100</f>
        <v>0</v>
      </c>
      <c r="Y17" s="0" t="n">
        <f aca="false">IF(Settings!$B$9,CEILING(X17,Settings!$B$5),X17)</f>
        <v>0</v>
      </c>
      <c r="Z17" s="0" t="n">
        <f aca="false">Settings!$B$2*M17/100</f>
        <v>0</v>
      </c>
      <c r="AA17" s="0" t="n">
        <f aca="false">IF(Settings!$B$17,MIN(Settings!$B$2*G17/100,IF(Settings!$B$9,CEILING(MAX(0,Settings!$B$2*(H17-I17+J17)/100),Settings!$B$5),MAX(0,Settings!$B$2*(H17-I17+J17)/100))),IF(Settings!$B$9,MROUND(Z17,Settings!$B$5),Z17))</f>
        <v>0</v>
      </c>
      <c r="AB17" s="3" t="str">
        <f aca="false">IF(LEFT(T17,5)="ERROR","ERROR",IF(AND(Settings!$B$17,ABS(AA17-Z17)&gt;0.000000001),"FIXED",IF(ABS(S17)&lt;=Settings!$B$7,"SAFE","WARNING")))</f>
        <v>WARNING</v>
      </c>
      <c r="AC17" s="0" t="str">
        <f aca="false">IF(AB17="FIXED","Close adjusted by SAFE mode",IF(AB17="SAFE","BUY/SELL balance preserved",IF(AB17="WARNING","Near protection boundary","Protection broken")))</f>
        <v>Near protection boundary</v>
      </c>
      <c r="AD17" s="0" t="n">
        <f aca="false">MAX(0,Settings!$B$2*G17/100-AA17)</f>
        <v>0.1</v>
      </c>
      <c r="AE17" s="0" t="n">
        <f aca="false">SUM($W$3:W17)</f>
        <v>1.55</v>
      </c>
      <c r="AF17" s="0" t="n">
        <f aca="false">SUM($Y$3:Y17)</f>
        <v>0.75</v>
      </c>
      <c r="AG17" s="0" t="n">
        <f aca="false">AD17+AE17</f>
        <v>1.65</v>
      </c>
      <c r="AH17" s="0" t="n">
        <f aca="false">Settings!$B$2+AF17</f>
        <v>1.75</v>
      </c>
      <c r="AI17" s="0" t="n">
        <f aca="false">AH17-AG17</f>
        <v>0.0999999999999999</v>
      </c>
      <c r="AJ17" s="0" t="str">
        <f aca="false">IF(OR(AND(C17&gt;0,W17=0),AND(E17&gt;0,Y17=0),Settings!$B$2&lt;Settings!$B$5),"ERROR: LotStep too coarse",IF(AG17&gt;AH17,"ERROR: Rounded balance broken",IF(AND(J17&gt;0,AI17&lt;Settings!$B$2*J17/100),"WARNING","OK")))</f>
        <v>OK</v>
      </c>
    </row>
    <row r="18" customFormat="false" ht="14.9" hidden="false" customHeight="false" outlineLevel="0" collapsed="false">
      <c r="A18" s="0" t="n">
        <v>16</v>
      </c>
      <c r="B18" s="0" t="n">
        <f aca="false">A18*Settings!$B$3</f>
        <v>1600</v>
      </c>
      <c r="C18" s="0" t="n">
        <f aca="false">IF(A18&lt;=Settings!$B$4,IFERROR(xlookup(A18,LevelRange,BigPercentRange),0),0)</f>
        <v>0</v>
      </c>
      <c r="D18" s="0" t="n">
        <f aca="false">W18</f>
        <v>0</v>
      </c>
      <c r="E18" s="0" t="n">
        <f aca="false">IF(A18&lt;=Settings!$B$4,IFERROR(xlookup(A18,LevelRange,SmallPercentRange),0),0)</f>
        <v>0</v>
      </c>
      <c r="F18" s="0" t="n">
        <f aca="false">Y18</f>
        <v>0</v>
      </c>
      <c r="G18" s="0" t="n">
        <f aca="false">N17</f>
        <v>10</v>
      </c>
      <c r="H18" s="0" t="n">
        <f aca="false">G18+SUM($C$3:C18)</f>
        <v>165</v>
      </c>
      <c r="I18" s="0" t="n">
        <f aca="false">100+SUM($E$3:E18)</f>
        <v>175</v>
      </c>
      <c r="J18" s="0" t="n">
        <f aca="false">IF(A18&lt;=Settings!$B$4,IFERROR(xlookup(A18,LevelRange,TargetSkewRange),0),0)</f>
        <v>0</v>
      </c>
      <c r="K18" s="0" t="n">
        <f aca="false">MIN(G18,MAX(0,H18-I18+J18))</f>
        <v>0</v>
      </c>
      <c r="L18" s="0" t="str">
        <f aca="false">IF(A18&lt;=Settings!$B$4,IFERROR(xlookup(A18,LevelRange,ManualCloseRange),""),"")</f>
        <v/>
      </c>
      <c r="M18" s="0" t="n">
        <f aca="false">MIN(G18,AA18/Settings!$B$2*100)</f>
        <v>0</v>
      </c>
      <c r="N18" s="0" t="n">
        <f aca="false">G18-M18</f>
        <v>10</v>
      </c>
      <c r="O18" s="0" t="n">
        <f aca="false">SUM($C$3:C18)</f>
        <v>155</v>
      </c>
      <c r="P18" s="0" t="n">
        <f aca="false">SUM($E$3:E18)</f>
        <v>75</v>
      </c>
      <c r="Q18" s="0" t="n">
        <f aca="false">N18+O18</f>
        <v>165</v>
      </c>
      <c r="R18" s="0" t="n">
        <f aca="false">100+P18</f>
        <v>175</v>
      </c>
      <c r="S18" s="0" t="n">
        <f aca="false">R18-Q18</f>
        <v>10</v>
      </c>
      <c r="T18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Direction",IF(OR(C18&lt;0,E18&lt;0,J18&lt;0,AND(LEN(L18)&gt;0,L18&lt;0)),"ERROR: Negative input",IF(C18&lt;E18,"ERROR: Big SELL must be &gt;= Small BUY",IF(AND(LEN(L18)&gt;0,L18&gt;G18),"ERROR: ManualClose exceeds remaining Start position",IF(OR(N18&lt;0,Q18&lt;0,R18&lt;0),"ERROR: Negative totals",IF(Q18&gt;R18,"ERROR: Rounding broke protection balance",IF(S18&gt;Settings!$B$8,"WARNING: Skew exceeds recommended limit","OK")))))))))))</f>
        <v>OK</v>
      </c>
      <c r="U18" s="0" t="str">
        <f aca="false">IF(LEFT(T18,5)="ERROR","Check input/risk","")</f>
        <v/>
      </c>
      <c r="V18" s="0" t="n">
        <f aca="false">Settings!$B$2*C18/100</f>
        <v>0</v>
      </c>
      <c r="W18" s="0" t="n">
        <f aca="false">IF(Settings!$B$9,FLOOR(V18,Settings!$B$5),V18)</f>
        <v>0</v>
      </c>
      <c r="X18" s="0" t="n">
        <f aca="false">Settings!$B$2*E18/100</f>
        <v>0</v>
      </c>
      <c r="Y18" s="0" t="n">
        <f aca="false">IF(Settings!$B$9,CEILING(X18,Settings!$B$5),X18)</f>
        <v>0</v>
      </c>
      <c r="Z18" s="0" t="n">
        <f aca="false">Settings!$B$2*M18/100</f>
        <v>0</v>
      </c>
      <c r="AA18" s="0" t="n">
        <f aca="false">IF(Settings!$B$17,MIN(Settings!$B$2*G18/100,IF(Settings!$B$9,CEILING(MAX(0,Settings!$B$2*(H18-I18+J18)/100),Settings!$B$5),MAX(0,Settings!$B$2*(H18-I18+J18)/100))),IF(Settings!$B$9,MROUND(Z18,Settings!$B$5),Z18))</f>
        <v>0</v>
      </c>
      <c r="AB18" s="3" t="str">
        <f aca="false">IF(LEFT(T18,5)="ERROR","ERROR",IF(AND(Settings!$B$17,ABS(AA18-Z18)&gt;0.000000001),"FIXED",IF(ABS(S18)&lt;=Settings!$B$7,"SAFE","WARNING")))</f>
        <v>WARNING</v>
      </c>
      <c r="AC18" s="0" t="str">
        <f aca="false">IF(AB18="FIXED","Close adjusted by SAFE mode",IF(AB18="SAFE","BUY/SELL balance preserved",IF(AB18="WARNING","Near protection boundary","Protection broken")))</f>
        <v>Near protection boundary</v>
      </c>
      <c r="AD18" s="0" t="n">
        <f aca="false">MAX(0,Settings!$B$2*G18/100-AA18)</f>
        <v>0.1</v>
      </c>
      <c r="AE18" s="0" t="n">
        <f aca="false">SUM($W$3:W18)</f>
        <v>1.55</v>
      </c>
      <c r="AF18" s="0" t="n">
        <f aca="false">SUM($Y$3:Y18)</f>
        <v>0.75</v>
      </c>
      <c r="AG18" s="0" t="n">
        <f aca="false">AD18+AE18</f>
        <v>1.65</v>
      </c>
      <c r="AH18" s="0" t="n">
        <f aca="false">Settings!$B$2+AF18</f>
        <v>1.75</v>
      </c>
      <c r="AI18" s="0" t="n">
        <f aca="false">AH18-AG18</f>
        <v>0.0999999999999999</v>
      </c>
      <c r="AJ18" s="0" t="str">
        <f aca="false">IF(OR(AND(C18&gt;0,W18=0),AND(E18&gt;0,Y18=0),Settings!$B$2&lt;Settings!$B$5),"ERROR: LotStep too coarse",IF(AG18&gt;AH18,"ERROR: Rounded balance broken",IF(AND(J18&gt;0,AI18&lt;Settings!$B$2*J18/100),"WARNING","OK")))</f>
        <v>OK</v>
      </c>
    </row>
    <row r="19" customFormat="false" ht="14.9" hidden="false" customHeight="false" outlineLevel="0" collapsed="false">
      <c r="A19" s="0" t="n">
        <v>17</v>
      </c>
      <c r="B19" s="0" t="n">
        <f aca="false">A19*Settings!$B$3</f>
        <v>1700</v>
      </c>
      <c r="C19" s="0" t="n">
        <f aca="false">IF(A19&lt;=Settings!$B$4,IFERROR(xlookup(A19,LevelRange,BigPercentRange),0),0)</f>
        <v>0</v>
      </c>
      <c r="D19" s="0" t="n">
        <f aca="false">W19</f>
        <v>0</v>
      </c>
      <c r="E19" s="0" t="n">
        <f aca="false">IF(A19&lt;=Settings!$B$4,IFERROR(xlookup(A19,LevelRange,SmallPercentRange),0),0)</f>
        <v>0</v>
      </c>
      <c r="F19" s="0" t="n">
        <f aca="false">Y19</f>
        <v>0</v>
      </c>
      <c r="G19" s="0" t="n">
        <f aca="false">N18</f>
        <v>10</v>
      </c>
      <c r="H19" s="0" t="n">
        <f aca="false">G19+SUM($C$3:C19)</f>
        <v>165</v>
      </c>
      <c r="I19" s="0" t="n">
        <f aca="false">100+SUM($E$3:E19)</f>
        <v>175</v>
      </c>
      <c r="J19" s="0" t="n">
        <f aca="false">IF(A19&lt;=Settings!$B$4,IFERROR(xlookup(A19,LevelRange,TargetSkewRange),0),0)</f>
        <v>0</v>
      </c>
      <c r="K19" s="0" t="n">
        <f aca="false">MIN(G19,MAX(0,H19-I19+J19))</f>
        <v>0</v>
      </c>
      <c r="L19" s="0" t="str">
        <f aca="false">IF(A19&lt;=Settings!$B$4,IFERROR(xlookup(A19,LevelRange,ManualCloseRange),""),"")</f>
        <v/>
      </c>
      <c r="M19" s="0" t="n">
        <f aca="false">MIN(G19,AA19/Settings!$B$2*100)</f>
        <v>0</v>
      </c>
      <c r="N19" s="0" t="n">
        <f aca="false">G19-M19</f>
        <v>10</v>
      </c>
      <c r="O19" s="0" t="n">
        <f aca="false">SUM($C$3:C19)</f>
        <v>155</v>
      </c>
      <c r="P19" s="0" t="n">
        <f aca="false">SUM($E$3:E19)</f>
        <v>75</v>
      </c>
      <c r="Q19" s="0" t="n">
        <f aca="false">N19+O19</f>
        <v>165</v>
      </c>
      <c r="R19" s="0" t="n">
        <f aca="false">100+P19</f>
        <v>175</v>
      </c>
      <c r="S19" s="0" t="n">
        <f aca="false">R19-Q19</f>
        <v>10</v>
      </c>
      <c r="T19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Direction",IF(OR(C19&lt;0,E19&lt;0,J19&lt;0,AND(LEN(L19)&gt;0,L19&lt;0)),"ERROR: Negative input",IF(C19&lt;E19,"ERROR: Big SELL must be &gt;= Small BUY",IF(AND(LEN(L19)&gt;0,L19&gt;G19),"ERROR: ManualClose exceeds remaining Start position",IF(OR(N19&lt;0,Q19&lt;0,R19&lt;0),"ERROR: Negative totals",IF(Q19&gt;R19,"ERROR: Rounding broke protection balance",IF(S19&gt;Settings!$B$8,"WARNING: Skew exceeds recommended limit","OK")))))))))))</f>
        <v>OK</v>
      </c>
      <c r="U19" s="0" t="str">
        <f aca="false">IF(LEFT(T19,5)="ERROR","Check input/risk","")</f>
        <v/>
      </c>
      <c r="V19" s="0" t="n">
        <f aca="false">Settings!$B$2*C19/100</f>
        <v>0</v>
      </c>
      <c r="W19" s="0" t="n">
        <f aca="false">IF(Settings!$B$9,FLOOR(V19,Settings!$B$5),V19)</f>
        <v>0</v>
      </c>
      <c r="X19" s="0" t="n">
        <f aca="false">Settings!$B$2*E19/100</f>
        <v>0</v>
      </c>
      <c r="Y19" s="0" t="n">
        <f aca="false">IF(Settings!$B$9,CEILING(X19,Settings!$B$5),X19)</f>
        <v>0</v>
      </c>
      <c r="Z19" s="0" t="n">
        <f aca="false">Settings!$B$2*M19/100</f>
        <v>0</v>
      </c>
      <c r="AA19" s="0" t="n">
        <f aca="false">IF(Settings!$B$17,MIN(Settings!$B$2*G19/100,IF(Settings!$B$9,CEILING(MAX(0,Settings!$B$2*(H19-I19+J19)/100),Settings!$B$5),MAX(0,Settings!$B$2*(H19-I19+J19)/100))),IF(Settings!$B$9,MROUND(Z19,Settings!$B$5),Z19))</f>
        <v>0</v>
      </c>
      <c r="AB19" s="3" t="str">
        <f aca="false">IF(LEFT(T19,5)="ERROR","ERROR",IF(AND(Settings!$B$17,ABS(AA19-Z19)&gt;0.000000001),"FIXED",IF(ABS(S19)&lt;=Settings!$B$7,"SAFE","WARNING")))</f>
        <v>WARNING</v>
      </c>
      <c r="AC19" s="0" t="str">
        <f aca="false">IF(AB19="FIXED","Close adjusted by SAFE mode",IF(AB19="SAFE","BUY/SELL balance preserved",IF(AB19="WARNING","Near protection boundary","Protection broken")))</f>
        <v>Near protection boundary</v>
      </c>
      <c r="AD19" s="0" t="n">
        <f aca="false">MAX(0,Settings!$B$2*G19/100-AA19)</f>
        <v>0.1</v>
      </c>
      <c r="AE19" s="0" t="n">
        <f aca="false">SUM($W$3:W19)</f>
        <v>1.55</v>
      </c>
      <c r="AF19" s="0" t="n">
        <f aca="false">SUM($Y$3:Y19)</f>
        <v>0.75</v>
      </c>
      <c r="AG19" s="0" t="n">
        <f aca="false">AD19+AE19</f>
        <v>1.65</v>
      </c>
      <c r="AH19" s="0" t="n">
        <f aca="false">Settings!$B$2+AF19</f>
        <v>1.75</v>
      </c>
      <c r="AI19" s="0" t="n">
        <f aca="false">AH19-AG19</f>
        <v>0.0999999999999999</v>
      </c>
      <c r="AJ19" s="0" t="str">
        <f aca="false">IF(OR(AND(C19&gt;0,W19=0),AND(E19&gt;0,Y19=0),Settings!$B$2&lt;Settings!$B$5),"ERROR: LotStep too coarse",IF(AG19&gt;AH19,"ERROR: Rounded balance broken",IF(AND(J19&gt;0,AI19&lt;Settings!$B$2*J19/100),"WARNING","OK")))</f>
        <v>OK</v>
      </c>
    </row>
    <row r="20" customFormat="false" ht="14.9" hidden="false" customHeight="false" outlineLevel="0" collapsed="false">
      <c r="A20" s="0" t="n">
        <v>18</v>
      </c>
      <c r="B20" s="0" t="n">
        <f aca="false">A20*Settings!$B$3</f>
        <v>1800</v>
      </c>
      <c r="C20" s="0" t="n">
        <f aca="false">IF(A20&lt;=Settings!$B$4,IFERROR(xlookup(A20,LevelRange,BigPercentRange),0),0)</f>
        <v>0</v>
      </c>
      <c r="D20" s="0" t="n">
        <f aca="false">W20</f>
        <v>0</v>
      </c>
      <c r="E20" s="0" t="n">
        <f aca="false">IF(A20&lt;=Settings!$B$4,IFERROR(xlookup(A20,LevelRange,SmallPercentRange),0),0)</f>
        <v>0</v>
      </c>
      <c r="F20" s="0" t="n">
        <f aca="false">Y20</f>
        <v>0</v>
      </c>
      <c r="G20" s="0" t="n">
        <f aca="false">N19</f>
        <v>10</v>
      </c>
      <c r="H20" s="0" t="n">
        <f aca="false">G20+SUM($C$3:C20)</f>
        <v>165</v>
      </c>
      <c r="I20" s="0" t="n">
        <f aca="false">100+SUM($E$3:E20)</f>
        <v>175</v>
      </c>
      <c r="J20" s="0" t="n">
        <f aca="false">IF(A20&lt;=Settings!$B$4,IFERROR(xlookup(A20,LevelRange,TargetSkewRange),0),0)</f>
        <v>0</v>
      </c>
      <c r="K20" s="0" t="n">
        <f aca="false">MIN(G20,MAX(0,H20-I20+J20))</f>
        <v>0</v>
      </c>
      <c r="L20" s="0" t="str">
        <f aca="false">IF(A20&lt;=Settings!$B$4,IFERROR(xlookup(A20,LevelRange,ManualCloseRange),""),"")</f>
        <v/>
      </c>
      <c r="M20" s="0" t="n">
        <f aca="false">MIN(G20,AA20/Settings!$B$2*100)</f>
        <v>0</v>
      </c>
      <c r="N20" s="0" t="n">
        <f aca="false">G20-M20</f>
        <v>10</v>
      </c>
      <c r="O20" s="0" t="n">
        <f aca="false">SUM($C$3:C20)</f>
        <v>155</v>
      </c>
      <c r="P20" s="0" t="n">
        <f aca="false">SUM($E$3:E20)</f>
        <v>75</v>
      </c>
      <c r="Q20" s="0" t="n">
        <f aca="false">N20+O20</f>
        <v>165</v>
      </c>
      <c r="R20" s="0" t="n">
        <f aca="false">100+P20</f>
        <v>175</v>
      </c>
      <c r="S20" s="0" t="n">
        <f aca="false">R20-Q20</f>
        <v>10</v>
      </c>
      <c r="T20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Direction",IF(OR(C20&lt;0,E20&lt;0,J20&lt;0,AND(LEN(L20)&gt;0,L20&lt;0)),"ERROR: Negative input",IF(C20&lt;E20,"ERROR: Big SELL must be &gt;= Small BUY",IF(AND(LEN(L20)&gt;0,L20&gt;G20),"ERROR: ManualClose exceeds remaining Start position",IF(OR(N20&lt;0,Q20&lt;0,R20&lt;0),"ERROR: Negative totals",IF(Q20&gt;R20,"ERROR: Rounding broke protection balance",IF(S20&gt;Settings!$B$8,"WARNING: Skew exceeds recommended limit","OK")))))))))))</f>
        <v>OK</v>
      </c>
      <c r="U20" s="0" t="str">
        <f aca="false">IF(LEFT(T20,5)="ERROR","Check input/risk","")</f>
        <v/>
      </c>
      <c r="V20" s="0" t="n">
        <f aca="false">Settings!$B$2*C20/100</f>
        <v>0</v>
      </c>
      <c r="W20" s="0" t="n">
        <f aca="false">IF(Settings!$B$9,FLOOR(V20,Settings!$B$5),V20)</f>
        <v>0</v>
      </c>
      <c r="X20" s="0" t="n">
        <f aca="false">Settings!$B$2*E20/100</f>
        <v>0</v>
      </c>
      <c r="Y20" s="0" t="n">
        <f aca="false">IF(Settings!$B$9,CEILING(X20,Settings!$B$5),X20)</f>
        <v>0</v>
      </c>
      <c r="Z20" s="0" t="n">
        <f aca="false">Settings!$B$2*M20/100</f>
        <v>0</v>
      </c>
      <c r="AA20" s="0" t="n">
        <f aca="false">IF(Settings!$B$17,MIN(Settings!$B$2*G20/100,IF(Settings!$B$9,CEILING(MAX(0,Settings!$B$2*(H20-I20+J20)/100),Settings!$B$5),MAX(0,Settings!$B$2*(H20-I20+J20)/100))),IF(Settings!$B$9,MROUND(Z20,Settings!$B$5),Z20))</f>
        <v>0</v>
      </c>
      <c r="AB20" s="3" t="str">
        <f aca="false">IF(LEFT(T20,5)="ERROR","ERROR",IF(AND(Settings!$B$17,ABS(AA20-Z20)&gt;0.000000001),"FIXED",IF(ABS(S20)&lt;=Settings!$B$7,"SAFE","WARNING")))</f>
        <v>WARNING</v>
      </c>
      <c r="AC20" s="0" t="str">
        <f aca="false">IF(AB20="FIXED","Close adjusted by SAFE mode",IF(AB20="SAFE","BUY/SELL balance preserved",IF(AB20="WARNING","Near protection boundary","Protection broken")))</f>
        <v>Near protection boundary</v>
      </c>
      <c r="AD20" s="0" t="n">
        <f aca="false">MAX(0,Settings!$B$2*G20/100-AA20)</f>
        <v>0.1</v>
      </c>
      <c r="AE20" s="0" t="n">
        <f aca="false">SUM($W$3:W20)</f>
        <v>1.55</v>
      </c>
      <c r="AF20" s="0" t="n">
        <f aca="false">SUM($Y$3:Y20)</f>
        <v>0.75</v>
      </c>
      <c r="AG20" s="0" t="n">
        <f aca="false">AD20+AE20</f>
        <v>1.65</v>
      </c>
      <c r="AH20" s="0" t="n">
        <f aca="false">Settings!$B$2+AF20</f>
        <v>1.75</v>
      </c>
      <c r="AI20" s="0" t="n">
        <f aca="false">AH20-AG20</f>
        <v>0.0999999999999999</v>
      </c>
      <c r="AJ20" s="0" t="str">
        <f aca="false">IF(OR(AND(C20&gt;0,W20=0),AND(E20&gt;0,Y20=0),Settings!$B$2&lt;Settings!$B$5),"ERROR: LotStep too coarse",IF(AG20&gt;AH20,"ERROR: Rounded balance broken",IF(AND(J20&gt;0,AI20&lt;Settings!$B$2*J20/100),"WARNING","OK")))</f>
        <v>OK</v>
      </c>
    </row>
    <row r="21" customFormat="false" ht="14.9" hidden="false" customHeight="false" outlineLevel="0" collapsed="false">
      <c r="A21" s="0" t="n">
        <v>19</v>
      </c>
      <c r="B21" s="0" t="n">
        <f aca="false">A21*Settings!$B$3</f>
        <v>1900</v>
      </c>
      <c r="C21" s="0" t="n">
        <f aca="false">IF(A21&lt;=Settings!$B$4,IFERROR(xlookup(A21,LevelRange,BigPercentRange),0),0)</f>
        <v>0</v>
      </c>
      <c r="D21" s="0" t="n">
        <f aca="false">W21</f>
        <v>0</v>
      </c>
      <c r="E21" s="0" t="n">
        <f aca="false">IF(A21&lt;=Settings!$B$4,IFERROR(xlookup(A21,LevelRange,SmallPercentRange),0),0)</f>
        <v>0</v>
      </c>
      <c r="F21" s="0" t="n">
        <f aca="false">Y21</f>
        <v>0</v>
      </c>
      <c r="G21" s="0" t="n">
        <f aca="false">N20</f>
        <v>10</v>
      </c>
      <c r="H21" s="0" t="n">
        <f aca="false">G21+SUM($C$3:C21)</f>
        <v>165</v>
      </c>
      <c r="I21" s="0" t="n">
        <f aca="false">100+SUM($E$3:E21)</f>
        <v>175</v>
      </c>
      <c r="J21" s="0" t="n">
        <f aca="false">IF(A21&lt;=Settings!$B$4,IFERROR(xlookup(A21,LevelRange,TargetSkewRange),0),0)</f>
        <v>0</v>
      </c>
      <c r="K21" s="0" t="n">
        <f aca="false">MIN(G21,MAX(0,H21-I21+J21))</f>
        <v>0</v>
      </c>
      <c r="L21" s="0" t="str">
        <f aca="false">IF(A21&lt;=Settings!$B$4,IFERROR(xlookup(A21,LevelRange,ManualCloseRange),""),"")</f>
        <v/>
      </c>
      <c r="M21" s="0" t="n">
        <f aca="false">MIN(G21,AA21/Settings!$B$2*100)</f>
        <v>0</v>
      </c>
      <c r="N21" s="0" t="n">
        <f aca="false">G21-M21</f>
        <v>10</v>
      </c>
      <c r="O21" s="0" t="n">
        <f aca="false">SUM($C$3:C21)</f>
        <v>155</v>
      </c>
      <c r="P21" s="0" t="n">
        <f aca="false">SUM($E$3:E21)</f>
        <v>75</v>
      </c>
      <c r="Q21" s="0" t="n">
        <f aca="false">N21+O21</f>
        <v>165</v>
      </c>
      <c r="R21" s="0" t="n">
        <f aca="false">100+P21</f>
        <v>175</v>
      </c>
      <c r="S21" s="0" t="n">
        <f aca="false">R21-Q21</f>
        <v>10</v>
      </c>
      <c r="T21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Direction",IF(OR(C21&lt;0,E21&lt;0,J21&lt;0,AND(LEN(L21)&gt;0,L21&lt;0)),"ERROR: Negative input",IF(C21&lt;E21,"ERROR: Big SELL must be &gt;= Small BUY",IF(AND(LEN(L21)&gt;0,L21&gt;G21),"ERROR: ManualClose exceeds remaining Start position",IF(OR(N21&lt;0,Q21&lt;0,R21&lt;0),"ERROR: Negative totals",IF(Q21&gt;R21,"ERROR: Rounding broke protection balance",IF(S21&gt;Settings!$B$8,"WARNING: Skew exceeds recommended limit","OK")))))))))))</f>
        <v>OK</v>
      </c>
      <c r="U21" s="0" t="str">
        <f aca="false">IF(LEFT(T21,5)="ERROR","Check input/risk","")</f>
        <v/>
      </c>
      <c r="V21" s="0" t="n">
        <f aca="false">Settings!$B$2*C21/100</f>
        <v>0</v>
      </c>
      <c r="W21" s="0" t="n">
        <f aca="false">IF(Settings!$B$9,FLOOR(V21,Settings!$B$5),V21)</f>
        <v>0</v>
      </c>
      <c r="X21" s="0" t="n">
        <f aca="false">Settings!$B$2*E21/100</f>
        <v>0</v>
      </c>
      <c r="Y21" s="0" t="n">
        <f aca="false">IF(Settings!$B$9,CEILING(X21,Settings!$B$5),X21)</f>
        <v>0</v>
      </c>
      <c r="Z21" s="0" t="n">
        <f aca="false">Settings!$B$2*M21/100</f>
        <v>0</v>
      </c>
      <c r="AA21" s="0" t="n">
        <f aca="false">IF(Settings!$B$17,MIN(Settings!$B$2*G21/100,IF(Settings!$B$9,CEILING(MAX(0,Settings!$B$2*(H21-I21+J21)/100),Settings!$B$5),MAX(0,Settings!$B$2*(H21-I21+J21)/100))),IF(Settings!$B$9,MROUND(Z21,Settings!$B$5),Z21))</f>
        <v>0</v>
      </c>
      <c r="AB21" s="3" t="str">
        <f aca="false">IF(LEFT(T21,5)="ERROR","ERROR",IF(AND(Settings!$B$17,ABS(AA21-Z21)&gt;0.000000001),"FIXED",IF(ABS(S21)&lt;=Settings!$B$7,"SAFE","WARNING")))</f>
        <v>WARNING</v>
      </c>
      <c r="AC21" s="0" t="str">
        <f aca="false">IF(AB21="FIXED","Close adjusted by SAFE mode",IF(AB21="SAFE","BUY/SELL balance preserved",IF(AB21="WARNING","Near protection boundary","Protection broken")))</f>
        <v>Near protection boundary</v>
      </c>
      <c r="AD21" s="0" t="n">
        <f aca="false">MAX(0,Settings!$B$2*G21/100-AA21)</f>
        <v>0.1</v>
      </c>
      <c r="AE21" s="0" t="n">
        <f aca="false">SUM($W$3:W21)</f>
        <v>1.55</v>
      </c>
      <c r="AF21" s="0" t="n">
        <f aca="false">SUM($Y$3:Y21)</f>
        <v>0.75</v>
      </c>
      <c r="AG21" s="0" t="n">
        <f aca="false">AD21+AE21</f>
        <v>1.65</v>
      </c>
      <c r="AH21" s="0" t="n">
        <f aca="false">Settings!$B$2+AF21</f>
        <v>1.75</v>
      </c>
      <c r="AI21" s="0" t="n">
        <f aca="false">AH21-AG21</f>
        <v>0.0999999999999999</v>
      </c>
      <c r="AJ21" s="0" t="str">
        <f aca="false">IF(OR(AND(C21&gt;0,W21=0),AND(E21&gt;0,Y21=0),Settings!$B$2&lt;Settings!$B$5),"ERROR: LotStep too coarse",IF(AG21&gt;AH21,"ERROR: Rounded balance broken",IF(AND(J21&gt;0,AI21&lt;Settings!$B$2*J21/100),"WARNING","OK")))</f>
        <v>OK</v>
      </c>
    </row>
    <row r="22" customFormat="false" ht="14.9" hidden="false" customHeight="false" outlineLevel="0" collapsed="false">
      <c r="A22" s="0" t="n">
        <v>20</v>
      </c>
      <c r="B22" s="0" t="n">
        <f aca="false">A22*Settings!$B$3</f>
        <v>2000</v>
      </c>
      <c r="C22" s="0" t="n">
        <f aca="false">IF(A22&lt;=Settings!$B$4,IFERROR(xlookup(A22,LevelRange,BigPercentRange),0),0)</f>
        <v>0</v>
      </c>
      <c r="D22" s="0" t="n">
        <f aca="false">W22</f>
        <v>0</v>
      </c>
      <c r="E22" s="0" t="n">
        <f aca="false">IF(A22&lt;=Settings!$B$4,IFERROR(xlookup(A22,LevelRange,SmallPercentRange),0),0)</f>
        <v>0</v>
      </c>
      <c r="F22" s="0" t="n">
        <f aca="false">Y22</f>
        <v>0</v>
      </c>
      <c r="G22" s="0" t="n">
        <f aca="false">N21</f>
        <v>10</v>
      </c>
      <c r="H22" s="0" t="n">
        <f aca="false">G22+SUM($C$3:C22)</f>
        <v>165</v>
      </c>
      <c r="I22" s="0" t="n">
        <f aca="false">100+SUM($E$3:E22)</f>
        <v>175</v>
      </c>
      <c r="J22" s="0" t="n">
        <f aca="false">IF(A22&lt;=Settings!$B$4,IFERROR(xlookup(A22,LevelRange,TargetSkewRange),0),0)</f>
        <v>0</v>
      </c>
      <c r="K22" s="0" t="n">
        <f aca="false">MIN(G22,MAX(0,H22-I22+J22))</f>
        <v>0</v>
      </c>
      <c r="L22" s="0" t="str">
        <f aca="false">IF(A22&lt;=Settings!$B$4,IFERROR(xlookup(A22,LevelRange,ManualCloseRange),""),"")</f>
        <v/>
      </c>
      <c r="M22" s="0" t="n">
        <f aca="false">MIN(G22,AA22/Settings!$B$2*100)</f>
        <v>0</v>
      </c>
      <c r="N22" s="0" t="n">
        <f aca="false">G22-M22</f>
        <v>10</v>
      </c>
      <c r="O22" s="0" t="n">
        <f aca="false">SUM($C$3:C22)</f>
        <v>155</v>
      </c>
      <c r="P22" s="0" t="n">
        <f aca="false">SUM($E$3:E22)</f>
        <v>75</v>
      </c>
      <c r="Q22" s="0" t="n">
        <f aca="false">N22+O22</f>
        <v>165</v>
      </c>
      <c r="R22" s="0" t="n">
        <f aca="false">100+P22</f>
        <v>175</v>
      </c>
      <c r="S22" s="0" t="n">
        <f aca="false">R22-Q22</f>
        <v>10</v>
      </c>
      <c r="T22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Direction",IF(OR(C22&lt;0,E22&lt;0,J22&lt;0,AND(LEN(L22)&gt;0,L22&lt;0)),"ERROR: Negative input",IF(C22&lt;E22,"ERROR: Big SELL must be &gt;= Small BUY",IF(AND(LEN(L22)&gt;0,L22&gt;G22),"ERROR: ManualClose exceeds remaining Start position",IF(OR(N22&lt;0,Q22&lt;0,R22&lt;0),"ERROR: Negative totals",IF(Q22&gt;R22,"ERROR: Rounding broke protection balance",IF(S22&gt;Settings!$B$8,"WARNING: Skew exceeds recommended limit","OK")))))))))))</f>
        <v>OK</v>
      </c>
      <c r="U22" s="0" t="str">
        <f aca="false">IF(LEFT(T22,5)="ERROR","Check input/risk","")</f>
        <v/>
      </c>
      <c r="V22" s="0" t="n">
        <f aca="false">Settings!$B$2*C22/100</f>
        <v>0</v>
      </c>
      <c r="W22" s="0" t="n">
        <f aca="false">IF(Settings!$B$9,FLOOR(V22,Settings!$B$5),V22)</f>
        <v>0</v>
      </c>
      <c r="X22" s="0" t="n">
        <f aca="false">Settings!$B$2*E22/100</f>
        <v>0</v>
      </c>
      <c r="Y22" s="0" t="n">
        <f aca="false">IF(Settings!$B$9,CEILING(X22,Settings!$B$5),X22)</f>
        <v>0</v>
      </c>
      <c r="Z22" s="0" t="n">
        <f aca="false">Settings!$B$2*M22/100</f>
        <v>0</v>
      </c>
      <c r="AA22" s="0" t="n">
        <f aca="false">IF(Settings!$B$17,MIN(Settings!$B$2*G22/100,IF(Settings!$B$9,CEILING(MAX(0,Settings!$B$2*(H22-I22+J22)/100),Settings!$B$5),MAX(0,Settings!$B$2*(H22-I22+J22)/100))),IF(Settings!$B$9,MROUND(Z22,Settings!$B$5),Z22))</f>
        <v>0</v>
      </c>
      <c r="AB22" s="3" t="str">
        <f aca="false">IF(LEFT(T22,5)="ERROR","ERROR",IF(AND(Settings!$B$17,ABS(AA22-Z22)&gt;0.000000001),"FIXED",IF(ABS(S22)&lt;=Settings!$B$7,"SAFE","WARNING")))</f>
        <v>WARNING</v>
      </c>
      <c r="AC22" s="0" t="str">
        <f aca="false">IF(AB22="FIXED","Close adjusted by SAFE mode",IF(AB22="SAFE","BUY/SELL balance preserved",IF(AB22="WARNING","Near protection boundary","Protection broken")))</f>
        <v>Near protection boundary</v>
      </c>
      <c r="AD22" s="0" t="n">
        <f aca="false">MAX(0,Settings!$B$2*G22/100-AA22)</f>
        <v>0.1</v>
      </c>
      <c r="AE22" s="0" t="n">
        <f aca="false">SUM($W$3:W22)</f>
        <v>1.55</v>
      </c>
      <c r="AF22" s="0" t="n">
        <f aca="false">SUM($Y$3:Y22)</f>
        <v>0.75</v>
      </c>
      <c r="AG22" s="0" t="n">
        <f aca="false">AD22+AE22</f>
        <v>1.65</v>
      </c>
      <c r="AH22" s="0" t="n">
        <f aca="false">Settings!$B$2+AF22</f>
        <v>1.75</v>
      </c>
      <c r="AI22" s="0" t="n">
        <f aca="false">AH22-AG22</f>
        <v>0.0999999999999999</v>
      </c>
      <c r="AJ22" s="0" t="str">
        <f aca="false">IF(OR(AND(C22&gt;0,W22=0),AND(E22&gt;0,Y22=0),Settings!$B$2&lt;Settings!$B$5),"ERROR: LotStep too coarse",IF(AG22&gt;AH22,"ERROR: Rounded balance broken",IF(AND(J22&gt;0,AI22&lt;Settings!$B$2*J22/100),"WARNING","OK")))</f>
        <v>OK</v>
      </c>
    </row>
    <row r="23" customFormat="false" ht="14.9" hidden="false" customHeight="false" outlineLevel="0" collapsed="false">
      <c r="A23" s="0" t="n">
        <v>21</v>
      </c>
      <c r="B23" s="0" t="n">
        <f aca="false">A23*Settings!$B$3</f>
        <v>2100</v>
      </c>
      <c r="C23" s="0" t="n">
        <f aca="false">IF(A23&lt;=Settings!$B$4,IFERROR(xlookup(A23,LevelRange,BigPercentRange),0),0)</f>
        <v>0</v>
      </c>
      <c r="D23" s="0" t="n">
        <f aca="false">W23</f>
        <v>0</v>
      </c>
      <c r="E23" s="0" t="n">
        <f aca="false">IF(A23&lt;=Settings!$B$4,IFERROR(xlookup(A23,LevelRange,SmallPercentRange),0),0)</f>
        <v>0</v>
      </c>
      <c r="F23" s="0" t="n">
        <f aca="false">Y23</f>
        <v>0</v>
      </c>
      <c r="G23" s="0" t="n">
        <f aca="false">N22</f>
        <v>10</v>
      </c>
      <c r="H23" s="0" t="n">
        <f aca="false">G23+SUM($C$3:C23)</f>
        <v>165</v>
      </c>
      <c r="I23" s="0" t="n">
        <f aca="false">100+SUM($E$3:E23)</f>
        <v>175</v>
      </c>
      <c r="J23" s="0" t="n">
        <f aca="false">IF(A23&lt;=Settings!$B$4,IFERROR(xlookup(A23,LevelRange,TargetSkewRange),0),0)</f>
        <v>0</v>
      </c>
      <c r="K23" s="0" t="n">
        <f aca="false">MIN(G23,MAX(0,H23-I23+J23))</f>
        <v>0</v>
      </c>
      <c r="L23" s="0" t="str">
        <f aca="false">IF(A23&lt;=Settings!$B$4,IFERROR(xlookup(A23,LevelRange,ManualCloseRange),""),"")</f>
        <v/>
      </c>
      <c r="M23" s="0" t="n">
        <f aca="false">MIN(G23,AA23/Settings!$B$2*100)</f>
        <v>0</v>
      </c>
      <c r="N23" s="0" t="n">
        <f aca="false">G23-M23</f>
        <v>10</v>
      </c>
      <c r="O23" s="0" t="n">
        <f aca="false">SUM($C$3:C23)</f>
        <v>155</v>
      </c>
      <c r="P23" s="0" t="n">
        <f aca="false">SUM($E$3:E23)</f>
        <v>75</v>
      </c>
      <c r="Q23" s="0" t="n">
        <f aca="false">N23+O23</f>
        <v>165</v>
      </c>
      <c r="R23" s="0" t="n">
        <f aca="false">100+P23</f>
        <v>175</v>
      </c>
      <c r="S23" s="0" t="n">
        <f aca="false">R23-Q23</f>
        <v>10</v>
      </c>
      <c r="T23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Direction",IF(OR(C23&lt;0,E23&lt;0,J23&lt;0,AND(LEN(L23)&gt;0,L23&lt;0)),"ERROR: Negative input",IF(C23&lt;E23,"ERROR: Big SELL must be &gt;= Small BUY",IF(AND(LEN(L23)&gt;0,L23&gt;G23),"ERROR: ManualClose exceeds remaining Start position",IF(OR(N23&lt;0,Q23&lt;0,R23&lt;0),"ERROR: Negative totals",IF(Q23&gt;R23,"ERROR: Rounding broke protection balance",IF(S23&gt;Settings!$B$8,"WARNING: Skew exceeds recommended limit","OK")))))))))))</f>
        <v>OK</v>
      </c>
      <c r="U23" s="0" t="str">
        <f aca="false">IF(LEFT(T23,5)="ERROR","Check input/risk","")</f>
        <v/>
      </c>
      <c r="V23" s="0" t="n">
        <f aca="false">Settings!$B$2*C23/100</f>
        <v>0</v>
      </c>
      <c r="W23" s="0" t="n">
        <f aca="false">IF(Settings!$B$9,FLOOR(V23,Settings!$B$5),V23)</f>
        <v>0</v>
      </c>
      <c r="X23" s="0" t="n">
        <f aca="false">Settings!$B$2*E23/100</f>
        <v>0</v>
      </c>
      <c r="Y23" s="0" t="n">
        <f aca="false">IF(Settings!$B$9,CEILING(X23,Settings!$B$5),X23)</f>
        <v>0</v>
      </c>
      <c r="Z23" s="0" t="n">
        <f aca="false">Settings!$B$2*M23/100</f>
        <v>0</v>
      </c>
      <c r="AA23" s="0" t="n">
        <f aca="false">IF(Settings!$B$17,MIN(Settings!$B$2*G23/100,IF(Settings!$B$9,CEILING(MAX(0,Settings!$B$2*(H23-I23+J23)/100),Settings!$B$5),MAX(0,Settings!$B$2*(H23-I23+J23)/100))),IF(Settings!$B$9,MROUND(Z23,Settings!$B$5),Z23))</f>
        <v>0</v>
      </c>
      <c r="AB23" s="3" t="str">
        <f aca="false">IF(LEFT(T23,5)="ERROR","ERROR",IF(AND(Settings!$B$17,ABS(AA23-Z23)&gt;0.000000001),"FIXED",IF(ABS(S23)&lt;=Settings!$B$7,"SAFE","WARNING")))</f>
        <v>WARNING</v>
      </c>
      <c r="AC23" s="0" t="str">
        <f aca="false">IF(AB23="FIXED","Close adjusted by SAFE mode",IF(AB23="SAFE","BUY/SELL balance preserved",IF(AB23="WARNING","Near protection boundary","Protection broken")))</f>
        <v>Near protection boundary</v>
      </c>
      <c r="AD23" s="0" t="n">
        <f aca="false">MAX(0,Settings!$B$2*G23/100-AA23)</f>
        <v>0.1</v>
      </c>
      <c r="AE23" s="0" t="n">
        <f aca="false">SUM($W$3:W23)</f>
        <v>1.55</v>
      </c>
      <c r="AF23" s="0" t="n">
        <f aca="false">SUM($Y$3:Y23)</f>
        <v>0.75</v>
      </c>
      <c r="AG23" s="0" t="n">
        <f aca="false">AD23+AE23</f>
        <v>1.65</v>
      </c>
      <c r="AH23" s="0" t="n">
        <f aca="false">Settings!$B$2+AF23</f>
        <v>1.75</v>
      </c>
      <c r="AI23" s="0" t="n">
        <f aca="false">AH23-AG23</f>
        <v>0.0999999999999999</v>
      </c>
      <c r="AJ23" s="0" t="str">
        <f aca="false">IF(OR(AND(C23&gt;0,W23=0),AND(E23&gt;0,Y23=0),Settings!$B$2&lt;Settings!$B$5),"ERROR: LotStep too coarse",IF(AG23&gt;AH23,"ERROR: Rounded balance broken",IF(AND(J23&gt;0,AI23&lt;Settings!$B$2*J23/100),"WARNING","OK")))</f>
        <v>OK</v>
      </c>
    </row>
    <row r="24" customFormat="false" ht="14.9" hidden="false" customHeight="false" outlineLevel="0" collapsed="false">
      <c r="A24" s="0" t="n">
        <v>22</v>
      </c>
      <c r="B24" s="0" t="n">
        <f aca="false">A24*Settings!$B$3</f>
        <v>2200</v>
      </c>
      <c r="C24" s="0" t="n">
        <f aca="false">IF(A24&lt;=Settings!$B$4,IFERROR(xlookup(A24,LevelRange,BigPercentRange),0),0)</f>
        <v>0</v>
      </c>
      <c r="D24" s="0" t="n">
        <f aca="false">W24</f>
        <v>0</v>
      </c>
      <c r="E24" s="0" t="n">
        <f aca="false">IF(A24&lt;=Settings!$B$4,IFERROR(xlookup(A24,LevelRange,SmallPercentRange),0),0)</f>
        <v>0</v>
      </c>
      <c r="F24" s="0" t="n">
        <f aca="false">Y24</f>
        <v>0</v>
      </c>
      <c r="G24" s="0" t="n">
        <f aca="false">N23</f>
        <v>10</v>
      </c>
      <c r="H24" s="0" t="n">
        <f aca="false">G24+SUM($C$3:C24)</f>
        <v>165</v>
      </c>
      <c r="I24" s="0" t="n">
        <f aca="false">100+SUM($E$3:E24)</f>
        <v>175</v>
      </c>
      <c r="J24" s="0" t="n">
        <f aca="false">IF(A24&lt;=Settings!$B$4,IFERROR(xlookup(A24,LevelRange,TargetSkewRange),0),0)</f>
        <v>0</v>
      </c>
      <c r="K24" s="0" t="n">
        <f aca="false">MIN(G24,MAX(0,H24-I24+J24))</f>
        <v>0</v>
      </c>
      <c r="L24" s="0" t="str">
        <f aca="false">IF(A24&lt;=Settings!$B$4,IFERROR(xlookup(A24,LevelRange,ManualCloseRange),""),"")</f>
        <v/>
      </c>
      <c r="M24" s="0" t="n">
        <f aca="false">MIN(G24,AA24/Settings!$B$2*100)</f>
        <v>0</v>
      </c>
      <c r="N24" s="0" t="n">
        <f aca="false">G24-M24</f>
        <v>10</v>
      </c>
      <c r="O24" s="0" t="n">
        <f aca="false">SUM($C$3:C24)</f>
        <v>155</v>
      </c>
      <c r="P24" s="0" t="n">
        <f aca="false">SUM($E$3:E24)</f>
        <v>75</v>
      </c>
      <c r="Q24" s="0" t="n">
        <f aca="false">N24+O24</f>
        <v>165</v>
      </c>
      <c r="R24" s="0" t="n">
        <f aca="false">100+P24</f>
        <v>175</v>
      </c>
      <c r="S24" s="0" t="n">
        <f aca="false">R24-Q24</f>
        <v>10</v>
      </c>
      <c r="T24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Direction",IF(OR(C24&lt;0,E24&lt;0,J24&lt;0,AND(LEN(L24)&gt;0,L24&lt;0)),"ERROR: Negative input",IF(C24&lt;E24,"ERROR: Big SELL must be &gt;= Small BUY",IF(AND(LEN(L24)&gt;0,L24&gt;G24),"ERROR: ManualClose exceeds remaining Start position",IF(OR(N24&lt;0,Q24&lt;0,R24&lt;0),"ERROR: Negative totals",IF(Q24&gt;R24,"ERROR: Rounding broke protection balance",IF(S24&gt;Settings!$B$8,"WARNING: Skew exceeds recommended limit","OK")))))))))))</f>
        <v>OK</v>
      </c>
      <c r="U24" s="0" t="str">
        <f aca="false">IF(LEFT(T24,5)="ERROR","Check input/risk","")</f>
        <v/>
      </c>
      <c r="V24" s="0" t="n">
        <f aca="false">Settings!$B$2*C24/100</f>
        <v>0</v>
      </c>
      <c r="W24" s="0" t="n">
        <f aca="false">IF(Settings!$B$9,FLOOR(V24,Settings!$B$5),V24)</f>
        <v>0</v>
      </c>
      <c r="X24" s="0" t="n">
        <f aca="false">Settings!$B$2*E24/100</f>
        <v>0</v>
      </c>
      <c r="Y24" s="0" t="n">
        <f aca="false">IF(Settings!$B$9,CEILING(X24,Settings!$B$5),X24)</f>
        <v>0</v>
      </c>
      <c r="Z24" s="0" t="n">
        <f aca="false">Settings!$B$2*M24/100</f>
        <v>0</v>
      </c>
      <c r="AA24" s="0" t="n">
        <f aca="false">IF(Settings!$B$17,MIN(Settings!$B$2*G24/100,IF(Settings!$B$9,CEILING(MAX(0,Settings!$B$2*(H24-I24+J24)/100),Settings!$B$5),MAX(0,Settings!$B$2*(H24-I24+J24)/100))),IF(Settings!$B$9,MROUND(Z24,Settings!$B$5),Z24))</f>
        <v>0</v>
      </c>
      <c r="AB24" s="3" t="str">
        <f aca="false">IF(LEFT(T24,5)="ERROR","ERROR",IF(AND(Settings!$B$17,ABS(AA24-Z24)&gt;0.000000001),"FIXED",IF(ABS(S24)&lt;=Settings!$B$7,"SAFE","WARNING")))</f>
        <v>WARNING</v>
      </c>
      <c r="AC24" s="0" t="str">
        <f aca="false">IF(AB24="FIXED","Close adjusted by SAFE mode",IF(AB24="SAFE","BUY/SELL balance preserved",IF(AB24="WARNING","Near protection boundary","Protection broken")))</f>
        <v>Near protection boundary</v>
      </c>
      <c r="AD24" s="0" t="n">
        <f aca="false">MAX(0,Settings!$B$2*G24/100-AA24)</f>
        <v>0.1</v>
      </c>
      <c r="AE24" s="0" t="n">
        <f aca="false">SUM($W$3:W24)</f>
        <v>1.55</v>
      </c>
      <c r="AF24" s="0" t="n">
        <f aca="false">SUM($Y$3:Y24)</f>
        <v>0.75</v>
      </c>
      <c r="AG24" s="0" t="n">
        <f aca="false">AD24+AE24</f>
        <v>1.65</v>
      </c>
      <c r="AH24" s="0" t="n">
        <f aca="false">Settings!$B$2+AF24</f>
        <v>1.75</v>
      </c>
      <c r="AI24" s="0" t="n">
        <f aca="false">AH24-AG24</f>
        <v>0.0999999999999999</v>
      </c>
      <c r="AJ24" s="0" t="str">
        <f aca="false">IF(OR(AND(C24&gt;0,W24=0),AND(E24&gt;0,Y24=0),Settings!$B$2&lt;Settings!$B$5),"ERROR: LotStep too coarse",IF(AG24&gt;AH24,"ERROR: Rounded balance broken",IF(AND(J24&gt;0,AI24&lt;Settings!$B$2*J24/100),"WARNING","OK")))</f>
        <v>OK</v>
      </c>
    </row>
    <row r="25" customFormat="false" ht="14.9" hidden="false" customHeight="false" outlineLevel="0" collapsed="false">
      <c r="A25" s="0" t="n">
        <v>23</v>
      </c>
      <c r="B25" s="0" t="n">
        <f aca="false">A25*Settings!$B$3</f>
        <v>2300</v>
      </c>
      <c r="C25" s="0" t="n">
        <f aca="false">IF(A25&lt;=Settings!$B$4,IFERROR(xlookup(A25,LevelRange,BigPercentRange),0),0)</f>
        <v>0</v>
      </c>
      <c r="D25" s="0" t="n">
        <f aca="false">W25</f>
        <v>0</v>
      </c>
      <c r="E25" s="0" t="n">
        <f aca="false">IF(A25&lt;=Settings!$B$4,IFERROR(xlookup(A25,LevelRange,SmallPercentRange),0),0)</f>
        <v>0</v>
      </c>
      <c r="F25" s="0" t="n">
        <f aca="false">Y25</f>
        <v>0</v>
      </c>
      <c r="G25" s="0" t="n">
        <f aca="false">N24</f>
        <v>10</v>
      </c>
      <c r="H25" s="0" t="n">
        <f aca="false">G25+SUM($C$3:C25)</f>
        <v>165</v>
      </c>
      <c r="I25" s="0" t="n">
        <f aca="false">100+SUM($E$3:E25)</f>
        <v>175</v>
      </c>
      <c r="J25" s="0" t="n">
        <f aca="false">IF(A25&lt;=Settings!$B$4,IFERROR(xlookup(A25,LevelRange,TargetSkewRange),0),0)</f>
        <v>0</v>
      </c>
      <c r="K25" s="0" t="n">
        <f aca="false">MIN(G25,MAX(0,H25-I25+J25))</f>
        <v>0</v>
      </c>
      <c r="L25" s="0" t="str">
        <f aca="false">IF(A25&lt;=Settings!$B$4,IFERROR(xlookup(A25,LevelRange,ManualCloseRange),""),"")</f>
        <v/>
      </c>
      <c r="M25" s="0" t="n">
        <f aca="false">MIN(G25,AA25/Settings!$B$2*100)</f>
        <v>0</v>
      </c>
      <c r="N25" s="0" t="n">
        <f aca="false">G25-M25</f>
        <v>10</v>
      </c>
      <c r="O25" s="0" t="n">
        <f aca="false">SUM($C$3:C25)</f>
        <v>155</v>
      </c>
      <c r="P25" s="0" t="n">
        <f aca="false">SUM($E$3:E25)</f>
        <v>75</v>
      </c>
      <c r="Q25" s="0" t="n">
        <f aca="false">N25+O25</f>
        <v>165</v>
      </c>
      <c r="R25" s="0" t="n">
        <f aca="false">100+P25</f>
        <v>175</v>
      </c>
      <c r="S25" s="0" t="n">
        <f aca="false">R25-Q25</f>
        <v>10</v>
      </c>
      <c r="T25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Direction",IF(OR(C25&lt;0,E25&lt;0,J25&lt;0,AND(LEN(L25)&gt;0,L25&lt;0)),"ERROR: Negative input",IF(C25&lt;E25,"ERROR: Big SELL must be &gt;= Small BUY",IF(AND(LEN(L25)&gt;0,L25&gt;G25),"ERROR: ManualClose exceeds remaining Start position",IF(OR(N25&lt;0,Q25&lt;0,R25&lt;0),"ERROR: Negative totals",IF(Q25&gt;R25,"ERROR: Rounding broke protection balance",IF(S25&gt;Settings!$B$8,"WARNING: Skew exceeds recommended limit","OK")))))))))))</f>
        <v>OK</v>
      </c>
      <c r="U25" s="0" t="str">
        <f aca="false">IF(LEFT(T25,5)="ERROR","Check input/risk","")</f>
        <v/>
      </c>
      <c r="V25" s="0" t="n">
        <f aca="false">Settings!$B$2*C25/100</f>
        <v>0</v>
      </c>
      <c r="W25" s="0" t="n">
        <f aca="false">IF(Settings!$B$9,FLOOR(V25,Settings!$B$5),V25)</f>
        <v>0</v>
      </c>
      <c r="X25" s="0" t="n">
        <f aca="false">Settings!$B$2*E25/100</f>
        <v>0</v>
      </c>
      <c r="Y25" s="0" t="n">
        <f aca="false">IF(Settings!$B$9,CEILING(X25,Settings!$B$5),X25)</f>
        <v>0</v>
      </c>
      <c r="Z25" s="0" t="n">
        <f aca="false">Settings!$B$2*M25/100</f>
        <v>0</v>
      </c>
      <c r="AA25" s="0" t="n">
        <f aca="false">IF(Settings!$B$17,MIN(Settings!$B$2*G25/100,IF(Settings!$B$9,CEILING(MAX(0,Settings!$B$2*(H25-I25+J25)/100),Settings!$B$5),MAX(0,Settings!$B$2*(H25-I25+J25)/100))),IF(Settings!$B$9,MROUND(Z25,Settings!$B$5),Z25))</f>
        <v>0</v>
      </c>
      <c r="AB25" s="3" t="str">
        <f aca="false">IF(LEFT(T25,5)="ERROR","ERROR",IF(AND(Settings!$B$17,ABS(AA25-Z25)&gt;0.000000001),"FIXED",IF(ABS(S25)&lt;=Settings!$B$7,"SAFE","WARNING")))</f>
        <v>WARNING</v>
      </c>
      <c r="AC25" s="0" t="str">
        <f aca="false">IF(AB25="FIXED","Close adjusted by SAFE mode",IF(AB25="SAFE","BUY/SELL balance preserved",IF(AB25="WARNING","Near protection boundary","Protection broken")))</f>
        <v>Near protection boundary</v>
      </c>
      <c r="AD25" s="0" t="n">
        <f aca="false">MAX(0,Settings!$B$2*G25/100-AA25)</f>
        <v>0.1</v>
      </c>
      <c r="AE25" s="0" t="n">
        <f aca="false">SUM($W$3:W25)</f>
        <v>1.55</v>
      </c>
      <c r="AF25" s="0" t="n">
        <f aca="false">SUM($Y$3:Y25)</f>
        <v>0.75</v>
      </c>
      <c r="AG25" s="0" t="n">
        <f aca="false">AD25+AE25</f>
        <v>1.65</v>
      </c>
      <c r="AH25" s="0" t="n">
        <f aca="false">Settings!$B$2+AF25</f>
        <v>1.75</v>
      </c>
      <c r="AI25" s="0" t="n">
        <f aca="false">AH25-AG25</f>
        <v>0.0999999999999999</v>
      </c>
      <c r="AJ25" s="0" t="str">
        <f aca="false">IF(OR(AND(C25&gt;0,W25=0),AND(E25&gt;0,Y25=0),Settings!$B$2&lt;Settings!$B$5),"ERROR: LotStep too coarse",IF(AG25&gt;AH25,"ERROR: Rounded balance broken",IF(AND(J25&gt;0,AI25&lt;Settings!$B$2*J25/100),"WARNING","OK")))</f>
        <v>OK</v>
      </c>
    </row>
    <row r="26" customFormat="false" ht="14.9" hidden="false" customHeight="false" outlineLevel="0" collapsed="false">
      <c r="A26" s="0" t="n">
        <v>24</v>
      </c>
      <c r="B26" s="0" t="n">
        <f aca="false">A26*Settings!$B$3</f>
        <v>2400</v>
      </c>
      <c r="C26" s="0" t="n">
        <f aca="false">IF(A26&lt;=Settings!$B$4,IFERROR(xlookup(A26,LevelRange,BigPercentRange),0),0)</f>
        <v>0</v>
      </c>
      <c r="D26" s="0" t="n">
        <f aca="false">W26</f>
        <v>0</v>
      </c>
      <c r="E26" s="0" t="n">
        <f aca="false">IF(A26&lt;=Settings!$B$4,IFERROR(xlookup(A26,LevelRange,SmallPercentRange),0),0)</f>
        <v>0</v>
      </c>
      <c r="F26" s="0" t="n">
        <f aca="false">Y26</f>
        <v>0</v>
      </c>
      <c r="G26" s="0" t="n">
        <f aca="false">N25</f>
        <v>10</v>
      </c>
      <c r="H26" s="0" t="n">
        <f aca="false">G26+SUM($C$3:C26)</f>
        <v>165</v>
      </c>
      <c r="I26" s="0" t="n">
        <f aca="false">100+SUM($E$3:E26)</f>
        <v>175</v>
      </c>
      <c r="J26" s="0" t="n">
        <f aca="false">IF(A26&lt;=Settings!$B$4,IFERROR(xlookup(A26,LevelRange,TargetSkewRange),0),0)</f>
        <v>0</v>
      </c>
      <c r="K26" s="0" t="n">
        <f aca="false">MIN(G26,MAX(0,H26-I26+J26))</f>
        <v>0</v>
      </c>
      <c r="L26" s="0" t="str">
        <f aca="false">IF(A26&lt;=Settings!$B$4,IFERROR(xlookup(A26,LevelRange,ManualCloseRange),""),"")</f>
        <v/>
      </c>
      <c r="M26" s="0" t="n">
        <f aca="false">MIN(G26,AA26/Settings!$B$2*100)</f>
        <v>0</v>
      </c>
      <c r="N26" s="0" t="n">
        <f aca="false">G26-M26</f>
        <v>10</v>
      </c>
      <c r="O26" s="0" t="n">
        <f aca="false">SUM($C$3:C26)</f>
        <v>155</v>
      </c>
      <c r="P26" s="0" t="n">
        <f aca="false">SUM($E$3:E26)</f>
        <v>75</v>
      </c>
      <c r="Q26" s="0" t="n">
        <f aca="false">N26+O26</f>
        <v>165</v>
      </c>
      <c r="R26" s="0" t="n">
        <f aca="false">100+P26</f>
        <v>175</v>
      </c>
      <c r="S26" s="0" t="n">
        <f aca="false">R26-Q26</f>
        <v>10</v>
      </c>
      <c r="T26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Direction",IF(OR(C26&lt;0,E26&lt;0,J26&lt;0,AND(LEN(L26)&gt;0,L26&lt;0)),"ERROR: Negative input",IF(C26&lt;E26,"ERROR: Big SELL must be &gt;= Small BUY",IF(AND(LEN(L26)&gt;0,L26&gt;G26),"ERROR: ManualClose exceeds remaining Start position",IF(OR(N26&lt;0,Q26&lt;0,R26&lt;0),"ERROR: Negative totals",IF(Q26&gt;R26,"ERROR: Rounding broke protection balance",IF(S26&gt;Settings!$B$8,"WARNING: Skew exceeds recommended limit","OK")))))))))))</f>
        <v>OK</v>
      </c>
      <c r="U26" s="0" t="str">
        <f aca="false">IF(LEFT(T26,5)="ERROR","Check input/risk","")</f>
        <v/>
      </c>
      <c r="V26" s="0" t="n">
        <f aca="false">Settings!$B$2*C26/100</f>
        <v>0</v>
      </c>
      <c r="W26" s="0" t="n">
        <f aca="false">IF(Settings!$B$9,FLOOR(V26,Settings!$B$5),V26)</f>
        <v>0</v>
      </c>
      <c r="X26" s="0" t="n">
        <f aca="false">Settings!$B$2*E26/100</f>
        <v>0</v>
      </c>
      <c r="Y26" s="0" t="n">
        <f aca="false">IF(Settings!$B$9,CEILING(X26,Settings!$B$5),X26)</f>
        <v>0</v>
      </c>
      <c r="Z26" s="0" t="n">
        <f aca="false">Settings!$B$2*M26/100</f>
        <v>0</v>
      </c>
      <c r="AA26" s="0" t="n">
        <f aca="false">IF(Settings!$B$17,MIN(Settings!$B$2*G26/100,IF(Settings!$B$9,CEILING(MAX(0,Settings!$B$2*(H26-I26+J26)/100),Settings!$B$5),MAX(0,Settings!$B$2*(H26-I26+J26)/100))),IF(Settings!$B$9,MROUND(Z26,Settings!$B$5),Z26))</f>
        <v>0</v>
      </c>
      <c r="AB26" s="3" t="str">
        <f aca="false">IF(LEFT(T26,5)="ERROR","ERROR",IF(AND(Settings!$B$17,ABS(AA26-Z26)&gt;0.000000001),"FIXED",IF(ABS(S26)&lt;=Settings!$B$7,"SAFE","WARNING")))</f>
        <v>WARNING</v>
      </c>
      <c r="AC26" s="0" t="str">
        <f aca="false">IF(AB26="FIXED","Close adjusted by SAFE mode",IF(AB26="SAFE","BUY/SELL balance preserved",IF(AB26="WARNING","Near protection boundary","Protection broken")))</f>
        <v>Near protection boundary</v>
      </c>
      <c r="AD26" s="0" t="n">
        <f aca="false">MAX(0,Settings!$B$2*G26/100-AA26)</f>
        <v>0.1</v>
      </c>
      <c r="AE26" s="0" t="n">
        <f aca="false">SUM($W$3:W26)</f>
        <v>1.55</v>
      </c>
      <c r="AF26" s="0" t="n">
        <f aca="false">SUM($Y$3:Y26)</f>
        <v>0.75</v>
      </c>
      <c r="AG26" s="0" t="n">
        <f aca="false">AD26+AE26</f>
        <v>1.65</v>
      </c>
      <c r="AH26" s="0" t="n">
        <f aca="false">Settings!$B$2+AF26</f>
        <v>1.75</v>
      </c>
      <c r="AI26" s="0" t="n">
        <f aca="false">AH26-AG26</f>
        <v>0.0999999999999999</v>
      </c>
      <c r="AJ26" s="0" t="str">
        <f aca="false">IF(OR(AND(C26&gt;0,W26=0),AND(E26&gt;0,Y26=0),Settings!$B$2&lt;Settings!$B$5),"ERROR: LotStep too coarse",IF(AG26&gt;AH26,"ERROR: Rounded balance broken",IF(AND(J26&gt;0,AI26&lt;Settings!$B$2*J26/100),"WARNING","OK")))</f>
        <v>OK</v>
      </c>
    </row>
    <row r="27" customFormat="false" ht="14.9" hidden="false" customHeight="false" outlineLevel="0" collapsed="false">
      <c r="A27" s="0" t="n">
        <v>25</v>
      </c>
      <c r="B27" s="0" t="n">
        <f aca="false">A27*Settings!$B$3</f>
        <v>2500</v>
      </c>
      <c r="C27" s="0" t="n">
        <f aca="false">IF(A27&lt;=Settings!$B$4,IFERROR(xlookup(A27,LevelRange,BigPercentRange),0),0)</f>
        <v>0</v>
      </c>
      <c r="D27" s="0" t="n">
        <f aca="false">W27</f>
        <v>0</v>
      </c>
      <c r="E27" s="0" t="n">
        <f aca="false">IF(A27&lt;=Settings!$B$4,IFERROR(xlookup(A27,LevelRange,SmallPercentRange),0),0)</f>
        <v>0</v>
      </c>
      <c r="F27" s="0" t="n">
        <f aca="false">Y27</f>
        <v>0</v>
      </c>
      <c r="G27" s="0" t="n">
        <f aca="false">N26</f>
        <v>10</v>
      </c>
      <c r="H27" s="0" t="n">
        <f aca="false">G27+SUM($C$3:C27)</f>
        <v>165</v>
      </c>
      <c r="I27" s="0" t="n">
        <f aca="false">100+SUM($E$3:E27)</f>
        <v>175</v>
      </c>
      <c r="J27" s="0" t="n">
        <f aca="false">IF(A27&lt;=Settings!$B$4,IFERROR(xlookup(A27,LevelRange,TargetSkewRange),0),0)</f>
        <v>0</v>
      </c>
      <c r="K27" s="0" t="n">
        <f aca="false">MIN(G27,MAX(0,H27-I27+J27))</f>
        <v>0</v>
      </c>
      <c r="L27" s="0" t="str">
        <f aca="false">IF(A27&lt;=Settings!$B$4,IFERROR(xlookup(A27,LevelRange,ManualCloseRange),""),"")</f>
        <v/>
      </c>
      <c r="M27" s="0" t="n">
        <f aca="false">MIN(G27,AA27/Settings!$B$2*100)</f>
        <v>0</v>
      </c>
      <c r="N27" s="0" t="n">
        <f aca="false">G27-M27</f>
        <v>10</v>
      </c>
      <c r="O27" s="0" t="n">
        <f aca="false">SUM($C$3:C27)</f>
        <v>155</v>
      </c>
      <c r="P27" s="0" t="n">
        <f aca="false">SUM($E$3:E27)</f>
        <v>75</v>
      </c>
      <c r="Q27" s="0" t="n">
        <f aca="false">N27+O27</f>
        <v>165</v>
      </c>
      <c r="R27" s="0" t="n">
        <f aca="false">100+P27</f>
        <v>175</v>
      </c>
      <c r="S27" s="0" t="n">
        <f aca="false">R27-Q27</f>
        <v>10</v>
      </c>
      <c r="T27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Direction",IF(OR(C27&lt;0,E27&lt;0,J27&lt;0,AND(LEN(L27)&gt;0,L27&lt;0)),"ERROR: Negative input",IF(C27&lt;E27,"ERROR: Big SELL must be &gt;= Small BUY",IF(AND(LEN(L27)&gt;0,L27&gt;G27),"ERROR: ManualClose exceeds remaining Start position",IF(OR(N27&lt;0,Q27&lt;0,R27&lt;0),"ERROR: Negative totals",IF(Q27&gt;R27,"ERROR: Rounding broke protection balance",IF(S27&gt;Settings!$B$8,"WARNING: Skew exceeds recommended limit","OK")))))))))))</f>
        <v>OK</v>
      </c>
      <c r="U27" s="0" t="str">
        <f aca="false">IF(LEFT(T27,5)="ERROR","Check input/risk","")</f>
        <v/>
      </c>
      <c r="V27" s="0" t="n">
        <f aca="false">Settings!$B$2*C27/100</f>
        <v>0</v>
      </c>
      <c r="W27" s="0" t="n">
        <f aca="false">IF(Settings!$B$9,FLOOR(V27,Settings!$B$5),V27)</f>
        <v>0</v>
      </c>
      <c r="X27" s="0" t="n">
        <f aca="false">Settings!$B$2*E27/100</f>
        <v>0</v>
      </c>
      <c r="Y27" s="0" t="n">
        <f aca="false">IF(Settings!$B$9,CEILING(X27,Settings!$B$5),X27)</f>
        <v>0</v>
      </c>
      <c r="Z27" s="0" t="n">
        <f aca="false">Settings!$B$2*M27/100</f>
        <v>0</v>
      </c>
      <c r="AA27" s="0" t="n">
        <f aca="false">IF(Settings!$B$17,MIN(Settings!$B$2*G27/100,IF(Settings!$B$9,CEILING(MAX(0,Settings!$B$2*(H27-I27+J27)/100),Settings!$B$5),MAX(0,Settings!$B$2*(H27-I27+J27)/100))),IF(Settings!$B$9,MROUND(Z27,Settings!$B$5),Z27))</f>
        <v>0</v>
      </c>
      <c r="AB27" s="3" t="str">
        <f aca="false">IF(LEFT(T27,5)="ERROR","ERROR",IF(AND(Settings!$B$17,ABS(AA27-Z27)&gt;0.000000001),"FIXED",IF(ABS(S27)&lt;=Settings!$B$7,"SAFE","WARNING")))</f>
        <v>WARNING</v>
      </c>
      <c r="AC27" s="0" t="str">
        <f aca="false">IF(AB27="FIXED","Close adjusted by SAFE mode",IF(AB27="SAFE","BUY/SELL balance preserved",IF(AB27="WARNING","Near protection boundary","Protection broken")))</f>
        <v>Near protection boundary</v>
      </c>
      <c r="AD27" s="0" t="n">
        <f aca="false">MAX(0,Settings!$B$2*G27/100-AA27)</f>
        <v>0.1</v>
      </c>
      <c r="AE27" s="0" t="n">
        <f aca="false">SUM($W$3:W27)</f>
        <v>1.55</v>
      </c>
      <c r="AF27" s="0" t="n">
        <f aca="false">SUM($Y$3:Y27)</f>
        <v>0.75</v>
      </c>
      <c r="AG27" s="0" t="n">
        <f aca="false">AD27+AE27</f>
        <v>1.65</v>
      </c>
      <c r="AH27" s="0" t="n">
        <f aca="false">Settings!$B$2+AF27</f>
        <v>1.75</v>
      </c>
      <c r="AI27" s="0" t="n">
        <f aca="false">AH27-AG27</f>
        <v>0.0999999999999999</v>
      </c>
      <c r="AJ27" s="0" t="str">
        <f aca="false">IF(OR(AND(C27&gt;0,W27=0),AND(E27&gt;0,Y27=0),Settings!$B$2&lt;Settings!$B$5),"ERROR: LotStep too coarse",IF(AG27&gt;AH27,"ERROR: Rounded balance broken",IF(AND(J27&gt;0,AI27&lt;Settings!$B$2*J27/100),"WARNING","OK")))</f>
        <v>OK</v>
      </c>
    </row>
    <row r="28" customFormat="false" ht="14.9" hidden="false" customHeight="false" outlineLevel="0" collapsed="false">
      <c r="A28" s="0" t="n">
        <v>26</v>
      </c>
      <c r="B28" s="0" t="n">
        <f aca="false">A28*Settings!$B$3</f>
        <v>2600</v>
      </c>
      <c r="C28" s="0" t="n">
        <f aca="false">IF(A28&lt;=Settings!$B$4,IFERROR(xlookup(A28,LevelRange,BigPercentRange),0),0)</f>
        <v>0</v>
      </c>
      <c r="D28" s="0" t="n">
        <f aca="false">W28</f>
        <v>0</v>
      </c>
      <c r="E28" s="0" t="n">
        <f aca="false">IF(A28&lt;=Settings!$B$4,IFERROR(xlookup(A28,LevelRange,SmallPercentRange),0),0)</f>
        <v>0</v>
      </c>
      <c r="F28" s="0" t="n">
        <f aca="false">Y28</f>
        <v>0</v>
      </c>
      <c r="G28" s="0" t="n">
        <f aca="false">N27</f>
        <v>10</v>
      </c>
      <c r="H28" s="0" t="n">
        <f aca="false">G28+SUM($C$3:C28)</f>
        <v>165</v>
      </c>
      <c r="I28" s="0" t="n">
        <f aca="false">100+SUM($E$3:E28)</f>
        <v>175</v>
      </c>
      <c r="J28" s="0" t="n">
        <f aca="false">IF(A28&lt;=Settings!$B$4,IFERROR(xlookup(A28,LevelRange,TargetSkewRange),0),0)</f>
        <v>0</v>
      </c>
      <c r="K28" s="0" t="n">
        <f aca="false">MIN(G28,MAX(0,H28-I28+J28))</f>
        <v>0</v>
      </c>
      <c r="L28" s="0" t="str">
        <f aca="false">IF(A28&lt;=Settings!$B$4,IFERROR(xlookup(A28,LevelRange,ManualCloseRange),""),"")</f>
        <v/>
      </c>
      <c r="M28" s="0" t="n">
        <f aca="false">MIN(G28,AA28/Settings!$B$2*100)</f>
        <v>0</v>
      </c>
      <c r="N28" s="0" t="n">
        <f aca="false">G28-M28</f>
        <v>10</v>
      </c>
      <c r="O28" s="0" t="n">
        <f aca="false">SUM($C$3:C28)</f>
        <v>155</v>
      </c>
      <c r="P28" s="0" t="n">
        <f aca="false">SUM($E$3:E28)</f>
        <v>75</v>
      </c>
      <c r="Q28" s="0" t="n">
        <f aca="false">N28+O28</f>
        <v>165</v>
      </c>
      <c r="R28" s="0" t="n">
        <f aca="false">100+P28</f>
        <v>175</v>
      </c>
      <c r="S28" s="0" t="n">
        <f aca="false">R28-Q28</f>
        <v>10</v>
      </c>
      <c r="T28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Direction",IF(OR(C28&lt;0,E28&lt;0,J28&lt;0,AND(LEN(L28)&gt;0,L28&lt;0)),"ERROR: Negative input",IF(C28&lt;E28,"ERROR: Big SELL must be &gt;= Small BUY",IF(AND(LEN(L28)&gt;0,L28&gt;G28),"ERROR: ManualClose exceeds remaining Start position",IF(OR(N28&lt;0,Q28&lt;0,R28&lt;0),"ERROR: Negative totals",IF(Q28&gt;R28,"ERROR: Rounding broke protection balance",IF(S28&gt;Settings!$B$8,"WARNING: Skew exceeds recommended limit","OK")))))))))))</f>
        <v>OK</v>
      </c>
      <c r="U28" s="0" t="str">
        <f aca="false">IF(LEFT(T28,5)="ERROR","Check input/risk","")</f>
        <v/>
      </c>
      <c r="V28" s="0" t="n">
        <f aca="false">Settings!$B$2*C28/100</f>
        <v>0</v>
      </c>
      <c r="W28" s="0" t="n">
        <f aca="false">IF(Settings!$B$9,FLOOR(V28,Settings!$B$5),V28)</f>
        <v>0</v>
      </c>
      <c r="X28" s="0" t="n">
        <f aca="false">Settings!$B$2*E28/100</f>
        <v>0</v>
      </c>
      <c r="Y28" s="0" t="n">
        <f aca="false">IF(Settings!$B$9,CEILING(X28,Settings!$B$5),X28)</f>
        <v>0</v>
      </c>
      <c r="Z28" s="0" t="n">
        <f aca="false">Settings!$B$2*M28/100</f>
        <v>0</v>
      </c>
      <c r="AA28" s="0" t="n">
        <f aca="false">IF(Settings!$B$17,MIN(Settings!$B$2*G28/100,IF(Settings!$B$9,CEILING(MAX(0,Settings!$B$2*(H28-I28+J28)/100),Settings!$B$5),MAX(0,Settings!$B$2*(H28-I28+J28)/100))),IF(Settings!$B$9,MROUND(Z28,Settings!$B$5),Z28))</f>
        <v>0</v>
      </c>
      <c r="AB28" s="3" t="str">
        <f aca="false">IF(LEFT(T28,5)="ERROR","ERROR",IF(AND(Settings!$B$17,ABS(AA28-Z28)&gt;0.000000001),"FIXED",IF(ABS(S28)&lt;=Settings!$B$7,"SAFE","WARNING")))</f>
        <v>WARNING</v>
      </c>
      <c r="AC28" s="0" t="str">
        <f aca="false">IF(AB28="FIXED","Close adjusted by SAFE mode",IF(AB28="SAFE","BUY/SELL balance preserved",IF(AB28="WARNING","Near protection boundary","Protection broken")))</f>
        <v>Near protection boundary</v>
      </c>
      <c r="AD28" s="0" t="n">
        <f aca="false">MAX(0,Settings!$B$2*G28/100-AA28)</f>
        <v>0.1</v>
      </c>
      <c r="AE28" s="0" t="n">
        <f aca="false">SUM($W$3:W28)</f>
        <v>1.55</v>
      </c>
      <c r="AF28" s="0" t="n">
        <f aca="false">SUM($Y$3:Y28)</f>
        <v>0.75</v>
      </c>
      <c r="AG28" s="0" t="n">
        <f aca="false">AD28+AE28</f>
        <v>1.65</v>
      </c>
      <c r="AH28" s="0" t="n">
        <f aca="false">Settings!$B$2+AF28</f>
        <v>1.75</v>
      </c>
      <c r="AI28" s="0" t="n">
        <f aca="false">AH28-AG28</f>
        <v>0.0999999999999999</v>
      </c>
      <c r="AJ28" s="0" t="str">
        <f aca="false">IF(OR(AND(C28&gt;0,W28=0),AND(E28&gt;0,Y28=0),Settings!$B$2&lt;Settings!$B$5),"ERROR: LotStep too coarse",IF(AG28&gt;AH28,"ERROR: Rounded balance broken",IF(AND(J28&gt;0,AI28&lt;Settings!$B$2*J28/100),"WARNING","OK")))</f>
        <v>OK</v>
      </c>
    </row>
    <row r="29" customFormat="false" ht="14.9" hidden="false" customHeight="false" outlineLevel="0" collapsed="false">
      <c r="A29" s="0" t="n">
        <v>27</v>
      </c>
      <c r="B29" s="0" t="n">
        <f aca="false">A29*Settings!$B$3</f>
        <v>2700</v>
      </c>
      <c r="C29" s="0" t="n">
        <f aca="false">IF(A29&lt;=Settings!$B$4,IFERROR(xlookup(A29,LevelRange,BigPercentRange),0),0)</f>
        <v>0</v>
      </c>
      <c r="D29" s="0" t="n">
        <f aca="false">W29</f>
        <v>0</v>
      </c>
      <c r="E29" s="0" t="n">
        <f aca="false">IF(A29&lt;=Settings!$B$4,IFERROR(xlookup(A29,LevelRange,SmallPercentRange),0),0)</f>
        <v>0</v>
      </c>
      <c r="F29" s="0" t="n">
        <f aca="false">Y29</f>
        <v>0</v>
      </c>
      <c r="G29" s="0" t="n">
        <f aca="false">N28</f>
        <v>10</v>
      </c>
      <c r="H29" s="0" t="n">
        <f aca="false">G29+SUM($C$3:C29)</f>
        <v>165</v>
      </c>
      <c r="I29" s="0" t="n">
        <f aca="false">100+SUM($E$3:E29)</f>
        <v>175</v>
      </c>
      <c r="J29" s="0" t="n">
        <f aca="false">IF(A29&lt;=Settings!$B$4,IFERROR(xlookup(A29,LevelRange,TargetSkewRange),0),0)</f>
        <v>0</v>
      </c>
      <c r="K29" s="0" t="n">
        <f aca="false">MIN(G29,MAX(0,H29-I29+J29))</f>
        <v>0</v>
      </c>
      <c r="L29" s="0" t="str">
        <f aca="false">IF(A29&lt;=Settings!$B$4,IFERROR(xlookup(A29,LevelRange,ManualCloseRange),""),"")</f>
        <v/>
      </c>
      <c r="M29" s="0" t="n">
        <f aca="false">MIN(G29,AA29/Settings!$B$2*100)</f>
        <v>0</v>
      </c>
      <c r="N29" s="0" t="n">
        <f aca="false">G29-M29</f>
        <v>10</v>
      </c>
      <c r="O29" s="0" t="n">
        <f aca="false">SUM($C$3:C29)</f>
        <v>155</v>
      </c>
      <c r="P29" s="0" t="n">
        <f aca="false">SUM($E$3:E29)</f>
        <v>75</v>
      </c>
      <c r="Q29" s="0" t="n">
        <f aca="false">N29+O29</f>
        <v>165</v>
      </c>
      <c r="R29" s="0" t="n">
        <f aca="false">100+P29</f>
        <v>175</v>
      </c>
      <c r="S29" s="0" t="n">
        <f aca="false">R29-Q29</f>
        <v>10</v>
      </c>
      <c r="T29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Direction",IF(OR(C29&lt;0,E29&lt;0,J29&lt;0,AND(LEN(L29)&gt;0,L29&lt;0)),"ERROR: Negative input",IF(C29&lt;E29,"ERROR: Big SELL must be &gt;= Small BUY",IF(AND(LEN(L29)&gt;0,L29&gt;G29),"ERROR: ManualClose exceeds remaining Start position",IF(OR(N29&lt;0,Q29&lt;0,R29&lt;0),"ERROR: Negative totals",IF(Q29&gt;R29,"ERROR: Rounding broke protection balance",IF(S29&gt;Settings!$B$8,"WARNING: Skew exceeds recommended limit","OK")))))))))))</f>
        <v>OK</v>
      </c>
      <c r="U29" s="0" t="str">
        <f aca="false">IF(LEFT(T29,5)="ERROR","Check input/risk","")</f>
        <v/>
      </c>
      <c r="V29" s="0" t="n">
        <f aca="false">Settings!$B$2*C29/100</f>
        <v>0</v>
      </c>
      <c r="W29" s="0" t="n">
        <f aca="false">IF(Settings!$B$9,FLOOR(V29,Settings!$B$5),V29)</f>
        <v>0</v>
      </c>
      <c r="X29" s="0" t="n">
        <f aca="false">Settings!$B$2*E29/100</f>
        <v>0</v>
      </c>
      <c r="Y29" s="0" t="n">
        <f aca="false">IF(Settings!$B$9,CEILING(X29,Settings!$B$5),X29)</f>
        <v>0</v>
      </c>
      <c r="Z29" s="0" t="n">
        <f aca="false">Settings!$B$2*M29/100</f>
        <v>0</v>
      </c>
      <c r="AA29" s="0" t="n">
        <f aca="false">IF(Settings!$B$17,MIN(Settings!$B$2*G29/100,IF(Settings!$B$9,CEILING(MAX(0,Settings!$B$2*(H29-I29+J29)/100),Settings!$B$5),MAX(0,Settings!$B$2*(H29-I29+J29)/100))),IF(Settings!$B$9,MROUND(Z29,Settings!$B$5),Z29))</f>
        <v>0</v>
      </c>
      <c r="AB29" s="3" t="str">
        <f aca="false">IF(LEFT(T29,5)="ERROR","ERROR",IF(AND(Settings!$B$17,ABS(AA29-Z29)&gt;0.000000001),"FIXED",IF(ABS(S29)&lt;=Settings!$B$7,"SAFE","WARNING")))</f>
        <v>WARNING</v>
      </c>
      <c r="AC29" s="0" t="str">
        <f aca="false">IF(AB29="FIXED","Close adjusted by SAFE mode",IF(AB29="SAFE","BUY/SELL balance preserved",IF(AB29="WARNING","Near protection boundary","Protection broken")))</f>
        <v>Near protection boundary</v>
      </c>
      <c r="AD29" s="0" t="n">
        <f aca="false">MAX(0,Settings!$B$2*G29/100-AA29)</f>
        <v>0.1</v>
      </c>
      <c r="AE29" s="0" t="n">
        <f aca="false">SUM($W$3:W29)</f>
        <v>1.55</v>
      </c>
      <c r="AF29" s="0" t="n">
        <f aca="false">SUM($Y$3:Y29)</f>
        <v>0.75</v>
      </c>
      <c r="AG29" s="0" t="n">
        <f aca="false">AD29+AE29</f>
        <v>1.65</v>
      </c>
      <c r="AH29" s="0" t="n">
        <f aca="false">Settings!$B$2+AF29</f>
        <v>1.75</v>
      </c>
      <c r="AI29" s="0" t="n">
        <f aca="false">AH29-AG29</f>
        <v>0.0999999999999999</v>
      </c>
      <c r="AJ29" s="0" t="str">
        <f aca="false">IF(OR(AND(C29&gt;0,W29=0),AND(E29&gt;0,Y29=0),Settings!$B$2&lt;Settings!$B$5),"ERROR: LotStep too coarse",IF(AG29&gt;AH29,"ERROR: Rounded balance broken",IF(AND(J29&gt;0,AI29&lt;Settings!$B$2*J29/100),"WARNING","OK")))</f>
        <v>OK</v>
      </c>
    </row>
    <row r="30" customFormat="false" ht="14.9" hidden="false" customHeight="false" outlineLevel="0" collapsed="false">
      <c r="A30" s="0" t="n">
        <v>28</v>
      </c>
      <c r="B30" s="0" t="n">
        <f aca="false">A30*Settings!$B$3</f>
        <v>2800</v>
      </c>
      <c r="C30" s="0" t="n">
        <f aca="false">IF(A30&lt;=Settings!$B$4,IFERROR(xlookup(A30,LevelRange,BigPercentRange),0),0)</f>
        <v>0</v>
      </c>
      <c r="D30" s="0" t="n">
        <f aca="false">W30</f>
        <v>0</v>
      </c>
      <c r="E30" s="0" t="n">
        <f aca="false">IF(A30&lt;=Settings!$B$4,IFERROR(xlookup(A30,LevelRange,SmallPercentRange),0),0)</f>
        <v>0</v>
      </c>
      <c r="F30" s="0" t="n">
        <f aca="false">Y30</f>
        <v>0</v>
      </c>
      <c r="G30" s="0" t="n">
        <f aca="false">N29</f>
        <v>10</v>
      </c>
      <c r="H30" s="0" t="n">
        <f aca="false">G30+SUM($C$3:C30)</f>
        <v>165</v>
      </c>
      <c r="I30" s="0" t="n">
        <f aca="false">100+SUM($E$3:E30)</f>
        <v>175</v>
      </c>
      <c r="J30" s="0" t="n">
        <f aca="false">IF(A30&lt;=Settings!$B$4,IFERROR(xlookup(A30,LevelRange,TargetSkewRange),0),0)</f>
        <v>0</v>
      </c>
      <c r="K30" s="0" t="n">
        <f aca="false">MIN(G30,MAX(0,H30-I30+J30))</f>
        <v>0</v>
      </c>
      <c r="L30" s="0" t="str">
        <f aca="false">IF(A30&lt;=Settings!$B$4,IFERROR(xlookup(A30,LevelRange,ManualCloseRange),""),"")</f>
        <v/>
      </c>
      <c r="M30" s="0" t="n">
        <f aca="false">MIN(G30,AA30/Settings!$B$2*100)</f>
        <v>0</v>
      </c>
      <c r="N30" s="0" t="n">
        <f aca="false">G30-M30</f>
        <v>10</v>
      </c>
      <c r="O30" s="0" t="n">
        <f aca="false">SUM($C$3:C30)</f>
        <v>155</v>
      </c>
      <c r="P30" s="0" t="n">
        <f aca="false">SUM($E$3:E30)</f>
        <v>75</v>
      </c>
      <c r="Q30" s="0" t="n">
        <f aca="false">N30+O30</f>
        <v>165</v>
      </c>
      <c r="R30" s="0" t="n">
        <f aca="false">100+P30</f>
        <v>175</v>
      </c>
      <c r="S30" s="0" t="n">
        <f aca="false">R30-Q30</f>
        <v>10</v>
      </c>
      <c r="T30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Direction",IF(OR(C30&lt;0,E30&lt;0,J30&lt;0,AND(LEN(L30)&gt;0,L30&lt;0)),"ERROR: Negative input",IF(C30&lt;E30,"ERROR: Big SELL must be &gt;= Small BUY",IF(AND(LEN(L30)&gt;0,L30&gt;G30),"ERROR: ManualClose exceeds remaining Start position",IF(OR(N30&lt;0,Q30&lt;0,R30&lt;0),"ERROR: Negative totals",IF(Q30&gt;R30,"ERROR: Rounding broke protection balance",IF(S30&gt;Settings!$B$8,"WARNING: Skew exceeds recommended limit","OK")))))))))))</f>
        <v>OK</v>
      </c>
      <c r="U30" s="0" t="str">
        <f aca="false">IF(LEFT(T30,5)="ERROR","Check input/risk","")</f>
        <v/>
      </c>
      <c r="V30" s="0" t="n">
        <f aca="false">Settings!$B$2*C30/100</f>
        <v>0</v>
      </c>
      <c r="W30" s="0" t="n">
        <f aca="false">IF(Settings!$B$9,FLOOR(V30,Settings!$B$5),V30)</f>
        <v>0</v>
      </c>
      <c r="X30" s="0" t="n">
        <f aca="false">Settings!$B$2*E30/100</f>
        <v>0</v>
      </c>
      <c r="Y30" s="0" t="n">
        <f aca="false">IF(Settings!$B$9,CEILING(X30,Settings!$B$5),X30)</f>
        <v>0</v>
      </c>
      <c r="Z30" s="0" t="n">
        <f aca="false">Settings!$B$2*M30/100</f>
        <v>0</v>
      </c>
      <c r="AA30" s="0" t="n">
        <f aca="false">IF(Settings!$B$17,MIN(Settings!$B$2*G30/100,IF(Settings!$B$9,CEILING(MAX(0,Settings!$B$2*(H30-I30+J30)/100),Settings!$B$5),MAX(0,Settings!$B$2*(H30-I30+J30)/100))),IF(Settings!$B$9,MROUND(Z30,Settings!$B$5),Z30))</f>
        <v>0</v>
      </c>
      <c r="AB30" s="3" t="str">
        <f aca="false">IF(LEFT(T30,5)="ERROR","ERROR",IF(AND(Settings!$B$17,ABS(AA30-Z30)&gt;0.000000001),"FIXED",IF(ABS(S30)&lt;=Settings!$B$7,"SAFE","WARNING")))</f>
        <v>WARNING</v>
      </c>
      <c r="AC30" s="0" t="str">
        <f aca="false">IF(AB30="FIXED","Close adjusted by SAFE mode",IF(AB30="SAFE","BUY/SELL balance preserved",IF(AB30="WARNING","Near protection boundary","Protection broken")))</f>
        <v>Near protection boundary</v>
      </c>
      <c r="AD30" s="0" t="n">
        <f aca="false">MAX(0,Settings!$B$2*G30/100-AA30)</f>
        <v>0.1</v>
      </c>
      <c r="AE30" s="0" t="n">
        <f aca="false">SUM($W$3:W30)</f>
        <v>1.55</v>
      </c>
      <c r="AF30" s="0" t="n">
        <f aca="false">SUM($Y$3:Y30)</f>
        <v>0.75</v>
      </c>
      <c r="AG30" s="0" t="n">
        <f aca="false">AD30+AE30</f>
        <v>1.65</v>
      </c>
      <c r="AH30" s="0" t="n">
        <f aca="false">Settings!$B$2+AF30</f>
        <v>1.75</v>
      </c>
      <c r="AI30" s="0" t="n">
        <f aca="false">AH30-AG30</f>
        <v>0.0999999999999999</v>
      </c>
      <c r="AJ30" s="0" t="str">
        <f aca="false">IF(OR(AND(C30&gt;0,W30=0),AND(E30&gt;0,Y30=0),Settings!$B$2&lt;Settings!$B$5),"ERROR: LotStep too coarse",IF(AG30&gt;AH30,"ERROR: Rounded balance broken",IF(AND(J30&gt;0,AI30&lt;Settings!$B$2*J30/100),"WARNING","OK")))</f>
        <v>OK</v>
      </c>
    </row>
    <row r="31" customFormat="false" ht="14.9" hidden="false" customHeight="false" outlineLevel="0" collapsed="false">
      <c r="A31" s="0" t="n">
        <v>29</v>
      </c>
      <c r="B31" s="0" t="n">
        <f aca="false">A31*Settings!$B$3</f>
        <v>2900</v>
      </c>
      <c r="C31" s="0" t="n">
        <f aca="false">IF(A31&lt;=Settings!$B$4,IFERROR(xlookup(A31,LevelRange,BigPercentRange),0),0)</f>
        <v>0</v>
      </c>
      <c r="D31" s="0" t="n">
        <f aca="false">W31</f>
        <v>0</v>
      </c>
      <c r="E31" s="0" t="n">
        <f aca="false">IF(A31&lt;=Settings!$B$4,IFERROR(xlookup(A31,LevelRange,SmallPercentRange),0),0)</f>
        <v>0</v>
      </c>
      <c r="F31" s="0" t="n">
        <f aca="false">Y31</f>
        <v>0</v>
      </c>
      <c r="G31" s="0" t="n">
        <f aca="false">N30</f>
        <v>10</v>
      </c>
      <c r="H31" s="0" t="n">
        <f aca="false">G31+SUM($C$3:C31)</f>
        <v>165</v>
      </c>
      <c r="I31" s="0" t="n">
        <f aca="false">100+SUM($E$3:E31)</f>
        <v>175</v>
      </c>
      <c r="J31" s="0" t="n">
        <f aca="false">IF(A31&lt;=Settings!$B$4,IFERROR(xlookup(A31,LevelRange,TargetSkewRange),0),0)</f>
        <v>0</v>
      </c>
      <c r="K31" s="0" t="n">
        <f aca="false">MIN(G31,MAX(0,H31-I31+J31))</f>
        <v>0</v>
      </c>
      <c r="L31" s="0" t="str">
        <f aca="false">IF(A31&lt;=Settings!$B$4,IFERROR(xlookup(A31,LevelRange,ManualCloseRange),""),"")</f>
        <v/>
      </c>
      <c r="M31" s="0" t="n">
        <f aca="false">MIN(G31,AA31/Settings!$B$2*100)</f>
        <v>0</v>
      </c>
      <c r="N31" s="0" t="n">
        <f aca="false">G31-M31</f>
        <v>10</v>
      </c>
      <c r="O31" s="0" t="n">
        <f aca="false">SUM($C$3:C31)</f>
        <v>155</v>
      </c>
      <c r="P31" s="0" t="n">
        <f aca="false">SUM($E$3:E31)</f>
        <v>75</v>
      </c>
      <c r="Q31" s="0" t="n">
        <f aca="false">N31+O31</f>
        <v>165</v>
      </c>
      <c r="R31" s="0" t="n">
        <f aca="false">100+P31</f>
        <v>175</v>
      </c>
      <c r="S31" s="0" t="n">
        <f aca="false">R31-Q31</f>
        <v>10</v>
      </c>
      <c r="T31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Direction",IF(OR(C31&lt;0,E31&lt;0,J31&lt;0,AND(LEN(L31)&gt;0,L31&lt;0)),"ERROR: Negative input",IF(C31&lt;E31,"ERROR: Big SELL must be &gt;= Small BUY",IF(AND(LEN(L31)&gt;0,L31&gt;G31),"ERROR: ManualClose exceeds remaining Start position",IF(OR(N31&lt;0,Q31&lt;0,R31&lt;0),"ERROR: Negative totals",IF(Q31&gt;R31,"ERROR: Rounding broke protection balance",IF(S31&gt;Settings!$B$8,"WARNING: Skew exceeds recommended limit","OK")))))))))))</f>
        <v>OK</v>
      </c>
      <c r="U31" s="0" t="str">
        <f aca="false">IF(LEFT(T31,5)="ERROR","Check input/risk","")</f>
        <v/>
      </c>
      <c r="V31" s="0" t="n">
        <f aca="false">Settings!$B$2*C31/100</f>
        <v>0</v>
      </c>
      <c r="W31" s="0" t="n">
        <f aca="false">IF(Settings!$B$9,FLOOR(V31,Settings!$B$5),V31)</f>
        <v>0</v>
      </c>
      <c r="X31" s="0" t="n">
        <f aca="false">Settings!$B$2*E31/100</f>
        <v>0</v>
      </c>
      <c r="Y31" s="0" t="n">
        <f aca="false">IF(Settings!$B$9,CEILING(X31,Settings!$B$5),X31)</f>
        <v>0</v>
      </c>
      <c r="Z31" s="0" t="n">
        <f aca="false">Settings!$B$2*M31/100</f>
        <v>0</v>
      </c>
      <c r="AA31" s="0" t="n">
        <f aca="false">IF(Settings!$B$17,MIN(Settings!$B$2*G31/100,IF(Settings!$B$9,CEILING(MAX(0,Settings!$B$2*(H31-I31+J31)/100),Settings!$B$5),MAX(0,Settings!$B$2*(H31-I31+J31)/100))),IF(Settings!$B$9,MROUND(Z31,Settings!$B$5),Z31))</f>
        <v>0</v>
      </c>
      <c r="AB31" s="3" t="str">
        <f aca="false">IF(LEFT(T31,5)="ERROR","ERROR",IF(AND(Settings!$B$17,ABS(AA31-Z31)&gt;0.000000001),"FIXED",IF(ABS(S31)&lt;=Settings!$B$7,"SAFE","WARNING")))</f>
        <v>WARNING</v>
      </c>
      <c r="AC31" s="0" t="str">
        <f aca="false">IF(AB31="FIXED","Close adjusted by SAFE mode",IF(AB31="SAFE","BUY/SELL balance preserved",IF(AB31="WARNING","Near protection boundary","Protection broken")))</f>
        <v>Near protection boundary</v>
      </c>
      <c r="AD31" s="0" t="n">
        <f aca="false">MAX(0,Settings!$B$2*G31/100-AA31)</f>
        <v>0.1</v>
      </c>
      <c r="AE31" s="0" t="n">
        <f aca="false">SUM($W$3:W31)</f>
        <v>1.55</v>
      </c>
      <c r="AF31" s="0" t="n">
        <f aca="false">SUM($Y$3:Y31)</f>
        <v>0.75</v>
      </c>
      <c r="AG31" s="0" t="n">
        <f aca="false">AD31+AE31</f>
        <v>1.65</v>
      </c>
      <c r="AH31" s="0" t="n">
        <f aca="false">Settings!$B$2+AF31</f>
        <v>1.75</v>
      </c>
      <c r="AI31" s="0" t="n">
        <f aca="false">AH31-AG31</f>
        <v>0.0999999999999999</v>
      </c>
      <c r="AJ31" s="0" t="str">
        <f aca="false">IF(OR(AND(C31&gt;0,W31=0),AND(E31&gt;0,Y31=0),Settings!$B$2&lt;Settings!$B$5),"ERROR: LotStep too coarse",IF(AG31&gt;AH31,"ERROR: Rounded balance broken",IF(AND(J31&gt;0,AI31&lt;Settings!$B$2*J31/100),"WARNING","OK")))</f>
        <v>OK</v>
      </c>
    </row>
    <row r="32" customFormat="false" ht="14.9" hidden="false" customHeight="false" outlineLevel="0" collapsed="false">
      <c r="A32" s="0" t="n">
        <v>30</v>
      </c>
      <c r="B32" s="0" t="n">
        <f aca="false">A32*Settings!$B$3</f>
        <v>3000</v>
      </c>
      <c r="C32" s="0" t="n">
        <f aca="false">IF(A32&lt;=Settings!$B$4,IFERROR(xlookup(A32,LevelRange,BigPercentRange),0),0)</f>
        <v>0</v>
      </c>
      <c r="D32" s="0" t="n">
        <f aca="false">W32</f>
        <v>0</v>
      </c>
      <c r="E32" s="0" t="n">
        <f aca="false">IF(A32&lt;=Settings!$B$4,IFERROR(xlookup(A32,LevelRange,SmallPercentRange),0),0)</f>
        <v>0</v>
      </c>
      <c r="F32" s="0" t="n">
        <f aca="false">Y32</f>
        <v>0</v>
      </c>
      <c r="G32" s="0" t="n">
        <f aca="false">N31</f>
        <v>10</v>
      </c>
      <c r="H32" s="0" t="n">
        <f aca="false">G32+SUM($C$3:C32)</f>
        <v>165</v>
      </c>
      <c r="I32" s="0" t="n">
        <f aca="false">100+SUM($E$3:E32)</f>
        <v>175</v>
      </c>
      <c r="J32" s="0" t="n">
        <f aca="false">IF(A32&lt;=Settings!$B$4,IFERROR(xlookup(A32,LevelRange,TargetSkewRange),0),0)</f>
        <v>0</v>
      </c>
      <c r="K32" s="0" t="n">
        <f aca="false">MIN(G32,MAX(0,H32-I32+J32))</f>
        <v>0</v>
      </c>
      <c r="L32" s="0" t="str">
        <f aca="false">IF(A32&lt;=Settings!$B$4,IFERROR(xlookup(A32,LevelRange,ManualCloseRange),""),"")</f>
        <v/>
      </c>
      <c r="M32" s="0" t="n">
        <f aca="false">MIN(G32,AA32/Settings!$B$2*100)</f>
        <v>0</v>
      </c>
      <c r="N32" s="0" t="n">
        <f aca="false">G32-M32</f>
        <v>10</v>
      </c>
      <c r="O32" s="0" t="n">
        <f aca="false">SUM($C$3:C32)</f>
        <v>155</v>
      </c>
      <c r="P32" s="0" t="n">
        <f aca="false">SUM($E$3:E32)</f>
        <v>75</v>
      </c>
      <c r="Q32" s="0" t="n">
        <f aca="false">N32+O32</f>
        <v>165</v>
      </c>
      <c r="R32" s="0" t="n">
        <f aca="false">100+P32</f>
        <v>175</v>
      </c>
      <c r="S32" s="0" t="n">
        <f aca="false">R32-Q32</f>
        <v>10</v>
      </c>
      <c r="T32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Direction",IF(OR(C32&lt;0,E32&lt;0,J32&lt;0,AND(LEN(L32)&gt;0,L32&lt;0)),"ERROR: Negative input",IF(C32&lt;E32,"ERROR: Big SELL must be &gt;= Small BUY",IF(AND(LEN(L32)&gt;0,L32&gt;G32),"ERROR: ManualClose exceeds remaining Start position",IF(OR(N32&lt;0,Q32&lt;0,R32&lt;0),"ERROR: Negative totals",IF(Q32&gt;R32,"ERROR: Rounding broke protection balance",IF(S32&gt;Settings!$B$8,"WARNING: Skew exceeds recommended limit","OK")))))))))))</f>
        <v>OK</v>
      </c>
      <c r="U32" s="0" t="str">
        <f aca="false">IF(LEFT(T32,5)="ERROR","Check input/risk","")</f>
        <v/>
      </c>
      <c r="V32" s="0" t="n">
        <f aca="false">Settings!$B$2*C32/100</f>
        <v>0</v>
      </c>
      <c r="W32" s="0" t="n">
        <f aca="false">IF(Settings!$B$9,FLOOR(V32,Settings!$B$5),V32)</f>
        <v>0</v>
      </c>
      <c r="X32" s="0" t="n">
        <f aca="false">Settings!$B$2*E32/100</f>
        <v>0</v>
      </c>
      <c r="Y32" s="0" t="n">
        <f aca="false">IF(Settings!$B$9,CEILING(X32,Settings!$B$5),X32)</f>
        <v>0</v>
      </c>
      <c r="Z32" s="0" t="n">
        <f aca="false">Settings!$B$2*M32/100</f>
        <v>0</v>
      </c>
      <c r="AA32" s="0" t="n">
        <f aca="false">IF(Settings!$B$17,MIN(Settings!$B$2*G32/100,IF(Settings!$B$9,CEILING(MAX(0,Settings!$B$2*(H32-I32+J32)/100),Settings!$B$5),MAX(0,Settings!$B$2*(H32-I32+J32)/100))),IF(Settings!$B$9,MROUND(Z32,Settings!$B$5),Z32))</f>
        <v>0</v>
      </c>
      <c r="AB32" s="3" t="str">
        <f aca="false">IF(LEFT(T32,5)="ERROR","ERROR",IF(AND(Settings!$B$17,ABS(AA32-Z32)&gt;0.000000001),"FIXED",IF(ABS(S32)&lt;=Settings!$B$7,"SAFE","WARNING")))</f>
        <v>WARNING</v>
      </c>
      <c r="AC32" s="0" t="str">
        <f aca="false">IF(AB32="FIXED","Close adjusted by SAFE mode",IF(AB32="SAFE","BUY/SELL balance preserved",IF(AB32="WARNING","Near protection boundary","Protection broken")))</f>
        <v>Near protection boundary</v>
      </c>
      <c r="AD32" s="0" t="n">
        <f aca="false">MAX(0,Settings!$B$2*G32/100-AA32)</f>
        <v>0.1</v>
      </c>
      <c r="AE32" s="0" t="n">
        <f aca="false">SUM($W$3:W32)</f>
        <v>1.55</v>
      </c>
      <c r="AF32" s="0" t="n">
        <f aca="false">SUM($Y$3:Y32)</f>
        <v>0.75</v>
      </c>
      <c r="AG32" s="0" t="n">
        <f aca="false">AD32+AE32</f>
        <v>1.65</v>
      </c>
      <c r="AH32" s="0" t="n">
        <f aca="false">Settings!$B$2+AF32</f>
        <v>1.75</v>
      </c>
      <c r="AI32" s="0" t="n">
        <f aca="false">AH32-AG32</f>
        <v>0.0999999999999999</v>
      </c>
      <c r="AJ32" s="0" t="str">
        <f aca="false">IF(OR(AND(C32&gt;0,W32=0),AND(E32&gt;0,Y32=0),Settings!$B$2&lt;Settings!$B$5),"ERROR: LotStep too coarse",IF(AG32&gt;AH32,"ERROR: Rounded balance broken",IF(AND(J32&gt;0,AI32&lt;Settings!$B$2*J32/100),"WARNING","OK")))</f>
        <v>OK</v>
      </c>
    </row>
    <row r="33" customFormat="false" ht="14.9" hidden="false" customHeight="false" outlineLevel="0" collapsed="false">
      <c r="A33" s="0" t="n">
        <v>31</v>
      </c>
      <c r="B33" s="0" t="n">
        <f aca="false">A33*Settings!$B$3</f>
        <v>3100</v>
      </c>
      <c r="C33" s="0" t="n">
        <f aca="false">IF(A33&lt;=Settings!$B$4,IFERROR(xlookup(A33,LevelRange,BigPercentRange),0),0)</f>
        <v>0</v>
      </c>
      <c r="D33" s="0" t="n">
        <f aca="false">W33</f>
        <v>0</v>
      </c>
      <c r="E33" s="0" t="n">
        <f aca="false">IF(A33&lt;=Settings!$B$4,IFERROR(xlookup(A33,LevelRange,SmallPercentRange),0),0)</f>
        <v>0</v>
      </c>
      <c r="F33" s="0" t="n">
        <f aca="false">Y33</f>
        <v>0</v>
      </c>
      <c r="G33" s="0" t="n">
        <f aca="false">N32</f>
        <v>10</v>
      </c>
      <c r="H33" s="0" t="n">
        <f aca="false">G33+SUM($C$3:C33)</f>
        <v>165</v>
      </c>
      <c r="I33" s="0" t="n">
        <f aca="false">100+SUM($E$3:E33)</f>
        <v>175</v>
      </c>
      <c r="J33" s="0" t="n">
        <f aca="false">IF(A33&lt;=Settings!$B$4,IFERROR(xlookup(A33,LevelRange,TargetSkewRange),0),0)</f>
        <v>0</v>
      </c>
      <c r="K33" s="0" t="n">
        <f aca="false">MIN(G33,MAX(0,H33-I33+J33))</f>
        <v>0</v>
      </c>
      <c r="L33" s="0" t="str">
        <f aca="false">IF(A33&lt;=Settings!$B$4,IFERROR(xlookup(A33,LevelRange,ManualCloseRange),""),"")</f>
        <v/>
      </c>
      <c r="M33" s="0" t="n">
        <f aca="false">MIN(G33,AA33/Settings!$B$2*100)</f>
        <v>0</v>
      </c>
      <c r="N33" s="0" t="n">
        <f aca="false">G33-M33</f>
        <v>10</v>
      </c>
      <c r="O33" s="0" t="n">
        <f aca="false">SUM($C$3:C33)</f>
        <v>155</v>
      </c>
      <c r="P33" s="0" t="n">
        <f aca="false">SUM($E$3:E33)</f>
        <v>75</v>
      </c>
      <c r="Q33" s="0" t="n">
        <f aca="false">N33+O33</f>
        <v>165</v>
      </c>
      <c r="R33" s="0" t="n">
        <f aca="false">100+P33</f>
        <v>175</v>
      </c>
      <c r="S33" s="0" t="n">
        <f aca="false">R33-Q33</f>
        <v>10</v>
      </c>
      <c r="T33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Direction",IF(OR(C33&lt;0,E33&lt;0,J33&lt;0,AND(LEN(L33)&gt;0,L33&lt;0)),"ERROR: Negative input",IF(C33&lt;E33,"ERROR: Big SELL must be &gt;= Small BUY",IF(AND(LEN(L33)&gt;0,L33&gt;G33),"ERROR: ManualClose exceeds remaining Start position",IF(OR(N33&lt;0,Q33&lt;0,R33&lt;0),"ERROR: Negative totals",IF(Q33&gt;R33,"ERROR: Rounding broke protection balance",IF(S33&gt;Settings!$B$8,"WARNING: Skew exceeds recommended limit","OK")))))))))))</f>
        <v>OK</v>
      </c>
      <c r="U33" s="0" t="str">
        <f aca="false">IF(LEFT(T33,5)="ERROR","Check input/risk","")</f>
        <v/>
      </c>
      <c r="V33" s="0" t="n">
        <f aca="false">Settings!$B$2*C33/100</f>
        <v>0</v>
      </c>
      <c r="W33" s="0" t="n">
        <f aca="false">IF(Settings!$B$9,FLOOR(V33,Settings!$B$5),V33)</f>
        <v>0</v>
      </c>
      <c r="X33" s="0" t="n">
        <f aca="false">Settings!$B$2*E33/100</f>
        <v>0</v>
      </c>
      <c r="Y33" s="0" t="n">
        <f aca="false">IF(Settings!$B$9,CEILING(X33,Settings!$B$5),X33)</f>
        <v>0</v>
      </c>
      <c r="Z33" s="0" t="n">
        <f aca="false">Settings!$B$2*M33/100</f>
        <v>0</v>
      </c>
      <c r="AA33" s="0" t="n">
        <f aca="false">IF(Settings!$B$17,MIN(Settings!$B$2*G33/100,IF(Settings!$B$9,CEILING(MAX(0,Settings!$B$2*(H33-I33+J33)/100),Settings!$B$5),MAX(0,Settings!$B$2*(H33-I33+J33)/100))),IF(Settings!$B$9,MROUND(Z33,Settings!$B$5),Z33))</f>
        <v>0</v>
      </c>
      <c r="AB33" s="3" t="str">
        <f aca="false">IF(LEFT(T33,5)="ERROR","ERROR",IF(AND(Settings!$B$17,ABS(AA33-Z33)&gt;0.000000001),"FIXED",IF(ABS(S33)&lt;=Settings!$B$7,"SAFE","WARNING")))</f>
        <v>WARNING</v>
      </c>
      <c r="AC33" s="0" t="str">
        <f aca="false">IF(AB33="FIXED","Close adjusted by SAFE mode",IF(AB33="SAFE","BUY/SELL balance preserved",IF(AB33="WARNING","Near protection boundary","Protection broken")))</f>
        <v>Near protection boundary</v>
      </c>
      <c r="AD33" s="0" t="n">
        <f aca="false">MAX(0,Settings!$B$2*G33/100-AA33)</f>
        <v>0.1</v>
      </c>
      <c r="AE33" s="0" t="n">
        <f aca="false">SUM($W$3:W33)</f>
        <v>1.55</v>
      </c>
      <c r="AF33" s="0" t="n">
        <f aca="false">SUM($Y$3:Y33)</f>
        <v>0.75</v>
      </c>
      <c r="AG33" s="0" t="n">
        <f aca="false">AD33+AE33</f>
        <v>1.65</v>
      </c>
      <c r="AH33" s="0" t="n">
        <f aca="false">Settings!$B$2+AF33</f>
        <v>1.75</v>
      </c>
      <c r="AI33" s="0" t="n">
        <f aca="false">AH33-AG33</f>
        <v>0.0999999999999999</v>
      </c>
      <c r="AJ33" s="0" t="str">
        <f aca="false">IF(OR(AND(C33&gt;0,W33=0),AND(E33&gt;0,Y33=0),Settings!$B$2&lt;Settings!$B$5),"ERROR: LotStep too coarse",IF(AG33&gt;AH33,"ERROR: Rounded balance broken",IF(AND(J33&gt;0,AI33&lt;Settings!$B$2*J33/100),"WARNING","OK")))</f>
        <v>OK</v>
      </c>
    </row>
    <row r="34" customFormat="false" ht="14.9" hidden="false" customHeight="false" outlineLevel="0" collapsed="false">
      <c r="A34" s="0" t="n">
        <v>32</v>
      </c>
      <c r="B34" s="0" t="n">
        <f aca="false">A34*Settings!$B$3</f>
        <v>3200</v>
      </c>
      <c r="C34" s="0" t="n">
        <f aca="false">IF(A34&lt;=Settings!$B$4,IFERROR(xlookup(A34,LevelRange,BigPercentRange),0),0)</f>
        <v>0</v>
      </c>
      <c r="D34" s="0" t="n">
        <f aca="false">W34</f>
        <v>0</v>
      </c>
      <c r="E34" s="0" t="n">
        <f aca="false">IF(A34&lt;=Settings!$B$4,IFERROR(xlookup(A34,LevelRange,SmallPercentRange),0),0)</f>
        <v>0</v>
      </c>
      <c r="F34" s="0" t="n">
        <f aca="false">Y34</f>
        <v>0</v>
      </c>
      <c r="G34" s="0" t="n">
        <f aca="false">N33</f>
        <v>10</v>
      </c>
      <c r="H34" s="0" t="n">
        <f aca="false">G34+SUM($C$3:C34)</f>
        <v>165</v>
      </c>
      <c r="I34" s="0" t="n">
        <f aca="false">100+SUM($E$3:E34)</f>
        <v>175</v>
      </c>
      <c r="J34" s="0" t="n">
        <f aca="false">IF(A34&lt;=Settings!$B$4,IFERROR(xlookup(A34,LevelRange,TargetSkewRange),0),0)</f>
        <v>0</v>
      </c>
      <c r="K34" s="0" t="n">
        <f aca="false">MIN(G34,MAX(0,H34-I34+J34))</f>
        <v>0</v>
      </c>
      <c r="L34" s="0" t="str">
        <f aca="false">IF(A34&lt;=Settings!$B$4,IFERROR(xlookup(A34,LevelRange,ManualCloseRange),""),"")</f>
        <v/>
      </c>
      <c r="M34" s="0" t="n">
        <f aca="false">MIN(G34,AA34/Settings!$B$2*100)</f>
        <v>0</v>
      </c>
      <c r="N34" s="0" t="n">
        <f aca="false">G34-M34</f>
        <v>10</v>
      </c>
      <c r="O34" s="0" t="n">
        <f aca="false">SUM($C$3:C34)</f>
        <v>155</v>
      </c>
      <c r="P34" s="0" t="n">
        <f aca="false">SUM($E$3:E34)</f>
        <v>75</v>
      </c>
      <c r="Q34" s="0" t="n">
        <f aca="false">N34+O34</f>
        <v>165</v>
      </c>
      <c r="R34" s="0" t="n">
        <f aca="false">100+P34</f>
        <v>175</v>
      </c>
      <c r="S34" s="0" t="n">
        <f aca="false">R34-Q34</f>
        <v>10</v>
      </c>
      <c r="T34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Direction",IF(OR(C34&lt;0,E34&lt;0,J34&lt;0,AND(LEN(L34)&gt;0,L34&lt;0)),"ERROR: Negative input",IF(C34&lt;E34,"ERROR: Big SELL must be &gt;= Small BUY",IF(AND(LEN(L34)&gt;0,L34&gt;G34),"ERROR: ManualClose exceeds remaining Start position",IF(OR(N34&lt;0,Q34&lt;0,R34&lt;0),"ERROR: Negative totals",IF(Q34&gt;R34,"ERROR: Rounding broke protection balance",IF(S34&gt;Settings!$B$8,"WARNING: Skew exceeds recommended limit","OK")))))))))))</f>
        <v>OK</v>
      </c>
      <c r="U34" s="0" t="str">
        <f aca="false">IF(LEFT(T34,5)="ERROR","Check input/risk","")</f>
        <v/>
      </c>
      <c r="V34" s="0" t="n">
        <f aca="false">Settings!$B$2*C34/100</f>
        <v>0</v>
      </c>
      <c r="W34" s="0" t="n">
        <f aca="false">IF(Settings!$B$9,FLOOR(V34,Settings!$B$5),V34)</f>
        <v>0</v>
      </c>
      <c r="X34" s="0" t="n">
        <f aca="false">Settings!$B$2*E34/100</f>
        <v>0</v>
      </c>
      <c r="Y34" s="0" t="n">
        <f aca="false">IF(Settings!$B$9,CEILING(X34,Settings!$B$5),X34)</f>
        <v>0</v>
      </c>
      <c r="Z34" s="0" t="n">
        <f aca="false">Settings!$B$2*M34/100</f>
        <v>0</v>
      </c>
      <c r="AA34" s="0" t="n">
        <f aca="false">IF(Settings!$B$17,MIN(Settings!$B$2*G34/100,IF(Settings!$B$9,CEILING(MAX(0,Settings!$B$2*(H34-I34+J34)/100),Settings!$B$5),MAX(0,Settings!$B$2*(H34-I34+J34)/100))),IF(Settings!$B$9,MROUND(Z34,Settings!$B$5),Z34))</f>
        <v>0</v>
      </c>
      <c r="AB34" s="3" t="str">
        <f aca="false">IF(LEFT(T34,5)="ERROR","ERROR",IF(AND(Settings!$B$17,ABS(AA34-Z34)&gt;0.000000001),"FIXED",IF(ABS(S34)&lt;=Settings!$B$7,"SAFE","WARNING")))</f>
        <v>WARNING</v>
      </c>
      <c r="AC34" s="0" t="str">
        <f aca="false">IF(AB34="FIXED","Close adjusted by SAFE mode",IF(AB34="SAFE","BUY/SELL balance preserved",IF(AB34="WARNING","Near protection boundary","Protection broken")))</f>
        <v>Near protection boundary</v>
      </c>
      <c r="AD34" s="0" t="n">
        <f aca="false">MAX(0,Settings!$B$2*G34/100-AA34)</f>
        <v>0.1</v>
      </c>
      <c r="AE34" s="0" t="n">
        <f aca="false">SUM($W$3:W34)</f>
        <v>1.55</v>
      </c>
      <c r="AF34" s="0" t="n">
        <f aca="false">SUM($Y$3:Y34)</f>
        <v>0.75</v>
      </c>
      <c r="AG34" s="0" t="n">
        <f aca="false">AD34+AE34</f>
        <v>1.65</v>
      </c>
      <c r="AH34" s="0" t="n">
        <f aca="false">Settings!$B$2+AF34</f>
        <v>1.75</v>
      </c>
      <c r="AI34" s="0" t="n">
        <f aca="false">AH34-AG34</f>
        <v>0.0999999999999999</v>
      </c>
      <c r="AJ34" s="0" t="str">
        <f aca="false">IF(OR(AND(C34&gt;0,W34=0),AND(E34&gt;0,Y34=0),Settings!$B$2&lt;Settings!$B$5),"ERROR: LotStep too coarse",IF(AG34&gt;AH34,"ERROR: Rounded balance broken",IF(AND(J34&gt;0,AI34&lt;Settings!$B$2*J34/100),"WARNING","OK")))</f>
        <v>OK</v>
      </c>
    </row>
    <row r="35" customFormat="false" ht="14.9" hidden="false" customHeight="false" outlineLevel="0" collapsed="false">
      <c r="A35" s="0" t="n">
        <v>33</v>
      </c>
      <c r="B35" s="0" t="n">
        <f aca="false">A35*Settings!$B$3</f>
        <v>3300</v>
      </c>
      <c r="C35" s="0" t="n">
        <f aca="false">IF(A35&lt;=Settings!$B$4,IFERROR(xlookup(A35,LevelRange,BigPercentRange),0),0)</f>
        <v>0</v>
      </c>
      <c r="D35" s="0" t="n">
        <f aca="false">W35</f>
        <v>0</v>
      </c>
      <c r="E35" s="0" t="n">
        <f aca="false">IF(A35&lt;=Settings!$B$4,IFERROR(xlookup(A35,LevelRange,SmallPercentRange),0),0)</f>
        <v>0</v>
      </c>
      <c r="F35" s="0" t="n">
        <f aca="false">Y35</f>
        <v>0</v>
      </c>
      <c r="G35" s="0" t="n">
        <f aca="false">N34</f>
        <v>10</v>
      </c>
      <c r="H35" s="0" t="n">
        <f aca="false">G35+SUM($C$3:C35)</f>
        <v>165</v>
      </c>
      <c r="I35" s="0" t="n">
        <f aca="false">100+SUM($E$3:E35)</f>
        <v>175</v>
      </c>
      <c r="J35" s="0" t="n">
        <f aca="false">IF(A35&lt;=Settings!$B$4,IFERROR(xlookup(A35,LevelRange,TargetSkewRange),0),0)</f>
        <v>0</v>
      </c>
      <c r="K35" s="0" t="n">
        <f aca="false">MIN(G35,MAX(0,H35-I35+J35))</f>
        <v>0</v>
      </c>
      <c r="L35" s="0" t="str">
        <f aca="false">IF(A35&lt;=Settings!$B$4,IFERROR(xlookup(A35,LevelRange,ManualCloseRange),""),"")</f>
        <v/>
      </c>
      <c r="M35" s="0" t="n">
        <f aca="false">MIN(G35,AA35/Settings!$B$2*100)</f>
        <v>0</v>
      </c>
      <c r="N35" s="0" t="n">
        <f aca="false">G35-M35</f>
        <v>10</v>
      </c>
      <c r="O35" s="0" t="n">
        <f aca="false">SUM($C$3:C35)</f>
        <v>155</v>
      </c>
      <c r="P35" s="0" t="n">
        <f aca="false">SUM($E$3:E35)</f>
        <v>75</v>
      </c>
      <c r="Q35" s="0" t="n">
        <f aca="false">N35+O35</f>
        <v>165</v>
      </c>
      <c r="R35" s="0" t="n">
        <f aca="false">100+P35</f>
        <v>175</v>
      </c>
      <c r="S35" s="0" t="n">
        <f aca="false">R35-Q35</f>
        <v>10</v>
      </c>
      <c r="T35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Direction",IF(OR(C35&lt;0,E35&lt;0,J35&lt;0,AND(LEN(L35)&gt;0,L35&lt;0)),"ERROR: Negative input",IF(C35&lt;E35,"ERROR: Big SELL must be &gt;= Small BUY",IF(AND(LEN(L35)&gt;0,L35&gt;G35),"ERROR: ManualClose exceeds remaining Start position",IF(OR(N35&lt;0,Q35&lt;0,R35&lt;0),"ERROR: Negative totals",IF(Q35&gt;R35,"ERROR: Rounding broke protection balance",IF(S35&gt;Settings!$B$8,"WARNING: Skew exceeds recommended limit","OK")))))))))))</f>
        <v>OK</v>
      </c>
      <c r="U35" s="0" t="str">
        <f aca="false">IF(LEFT(T35,5)="ERROR","Check input/risk","")</f>
        <v/>
      </c>
      <c r="V35" s="0" t="n">
        <f aca="false">Settings!$B$2*C35/100</f>
        <v>0</v>
      </c>
      <c r="W35" s="0" t="n">
        <f aca="false">IF(Settings!$B$9,FLOOR(V35,Settings!$B$5),V35)</f>
        <v>0</v>
      </c>
      <c r="X35" s="0" t="n">
        <f aca="false">Settings!$B$2*E35/100</f>
        <v>0</v>
      </c>
      <c r="Y35" s="0" t="n">
        <f aca="false">IF(Settings!$B$9,CEILING(X35,Settings!$B$5),X35)</f>
        <v>0</v>
      </c>
      <c r="Z35" s="0" t="n">
        <f aca="false">Settings!$B$2*M35/100</f>
        <v>0</v>
      </c>
      <c r="AA35" s="0" t="n">
        <f aca="false">IF(Settings!$B$17,MIN(Settings!$B$2*G35/100,IF(Settings!$B$9,CEILING(MAX(0,Settings!$B$2*(H35-I35+J35)/100),Settings!$B$5),MAX(0,Settings!$B$2*(H35-I35+J35)/100))),IF(Settings!$B$9,MROUND(Z35,Settings!$B$5),Z35))</f>
        <v>0</v>
      </c>
      <c r="AB35" s="3" t="str">
        <f aca="false">IF(LEFT(T35,5)="ERROR","ERROR",IF(AND(Settings!$B$17,ABS(AA35-Z35)&gt;0.000000001),"FIXED",IF(ABS(S35)&lt;=Settings!$B$7,"SAFE","WARNING")))</f>
        <v>WARNING</v>
      </c>
      <c r="AC35" s="0" t="str">
        <f aca="false">IF(AB35="FIXED","Close adjusted by SAFE mode",IF(AB35="SAFE","BUY/SELL balance preserved",IF(AB35="WARNING","Near protection boundary","Protection broken")))</f>
        <v>Near protection boundary</v>
      </c>
      <c r="AD35" s="0" t="n">
        <f aca="false">MAX(0,Settings!$B$2*G35/100-AA35)</f>
        <v>0.1</v>
      </c>
      <c r="AE35" s="0" t="n">
        <f aca="false">SUM($W$3:W35)</f>
        <v>1.55</v>
      </c>
      <c r="AF35" s="0" t="n">
        <f aca="false">SUM($Y$3:Y35)</f>
        <v>0.75</v>
      </c>
      <c r="AG35" s="0" t="n">
        <f aca="false">AD35+AE35</f>
        <v>1.65</v>
      </c>
      <c r="AH35" s="0" t="n">
        <f aca="false">Settings!$B$2+AF35</f>
        <v>1.75</v>
      </c>
      <c r="AI35" s="0" t="n">
        <f aca="false">AH35-AG35</f>
        <v>0.0999999999999999</v>
      </c>
      <c r="AJ35" s="0" t="str">
        <f aca="false">IF(OR(AND(C35&gt;0,W35=0),AND(E35&gt;0,Y35=0),Settings!$B$2&lt;Settings!$B$5),"ERROR: LotStep too coarse",IF(AG35&gt;AH35,"ERROR: Rounded balance broken",IF(AND(J35&gt;0,AI35&lt;Settings!$B$2*J35/100),"WARNING","OK")))</f>
        <v>OK</v>
      </c>
    </row>
    <row r="36" customFormat="false" ht="14.9" hidden="false" customHeight="false" outlineLevel="0" collapsed="false">
      <c r="A36" s="0" t="n">
        <v>34</v>
      </c>
      <c r="B36" s="0" t="n">
        <f aca="false">A36*Settings!$B$3</f>
        <v>3400</v>
      </c>
      <c r="C36" s="0" t="n">
        <f aca="false">IF(A36&lt;=Settings!$B$4,IFERROR(xlookup(A36,LevelRange,BigPercentRange),0),0)</f>
        <v>0</v>
      </c>
      <c r="D36" s="0" t="n">
        <f aca="false">W36</f>
        <v>0</v>
      </c>
      <c r="E36" s="0" t="n">
        <f aca="false">IF(A36&lt;=Settings!$B$4,IFERROR(xlookup(A36,LevelRange,SmallPercentRange),0),0)</f>
        <v>0</v>
      </c>
      <c r="F36" s="0" t="n">
        <f aca="false">Y36</f>
        <v>0</v>
      </c>
      <c r="G36" s="0" t="n">
        <f aca="false">N35</f>
        <v>10</v>
      </c>
      <c r="H36" s="0" t="n">
        <f aca="false">G36+SUM($C$3:C36)</f>
        <v>165</v>
      </c>
      <c r="I36" s="0" t="n">
        <f aca="false">100+SUM($E$3:E36)</f>
        <v>175</v>
      </c>
      <c r="J36" s="0" t="n">
        <f aca="false">IF(A36&lt;=Settings!$B$4,IFERROR(xlookup(A36,LevelRange,TargetSkewRange),0),0)</f>
        <v>0</v>
      </c>
      <c r="K36" s="0" t="n">
        <f aca="false">MIN(G36,MAX(0,H36-I36+J36))</f>
        <v>0</v>
      </c>
      <c r="L36" s="0" t="str">
        <f aca="false">IF(A36&lt;=Settings!$B$4,IFERROR(xlookup(A36,LevelRange,ManualCloseRange),""),"")</f>
        <v/>
      </c>
      <c r="M36" s="0" t="n">
        <f aca="false">MIN(G36,AA36/Settings!$B$2*100)</f>
        <v>0</v>
      </c>
      <c r="N36" s="0" t="n">
        <f aca="false">G36-M36</f>
        <v>10</v>
      </c>
      <c r="O36" s="0" t="n">
        <f aca="false">SUM($C$3:C36)</f>
        <v>155</v>
      </c>
      <c r="P36" s="0" t="n">
        <f aca="false">SUM($E$3:E36)</f>
        <v>75</v>
      </c>
      <c r="Q36" s="0" t="n">
        <f aca="false">N36+O36</f>
        <v>165</v>
      </c>
      <c r="R36" s="0" t="n">
        <f aca="false">100+P36</f>
        <v>175</v>
      </c>
      <c r="S36" s="0" t="n">
        <f aca="false">R36-Q36</f>
        <v>10</v>
      </c>
      <c r="T36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Direction",IF(OR(C36&lt;0,E36&lt;0,J36&lt;0,AND(LEN(L36)&gt;0,L36&lt;0)),"ERROR: Negative input",IF(C36&lt;E36,"ERROR: Big SELL must be &gt;= Small BUY",IF(AND(LEN(L36)&gt;0,L36&gt;G36),"ERROR: ManualClose exceeds remaining Start position",IF(OR(N36&lt;0,Q36&lt;0,R36&lt;0),"ERROR: Negative totals",IF(Q36&gt;R36,"ERROR: Rounding broke protection balance",IF(S36&gt;Settings!$B$8,"WARNING: Skew exceeds recommended limit","OK")))))))))))</f>
        <v>OK</v>
      </c>
      <c r="U36" s="0" t="str">
        <f aca="false">IF(LEFT(T36,5)="ERROR","Check input/risk","")</f>
        <v/>
      </c>
      <c r="V36" s="0" t="n">
        <f aca="false">Settings!$B$2*C36/100</f>
        <v>0</v>
      </c>
      <c r="W36" s="0" t="n">
        <f aca="false">IF(Settings!$B$9,FLOOR(V36,Settings!$B$5),V36)</f>
        <v>0</v>
      </c>
      <c r="X36" s="0" t="n">
        <f aca="false">Settings!$B$2*E36/100</f>
        <v>0</v>
      </c>
      <c r="Y36" s="0" t="n">
        <f aca="false">IF(Settings!$B$9,CEILING(X36,Settings!$B$5),X36)</f>
        <v>0</v>
      </c>
      <c r="Z36" s="0" t="n">
        <f aca="false">Settings!$B$2*M36/100</f>
        <v>0</v>
      </c>
      <c r="AA36" s="0" t="n">
        <f aca="false">IF(Settings!$B$17,MIN(Settings!$B$2*G36/100,IF(Settings!$B$9,CEILING(MAX(0,Settings!$B$2*(H36-I36+J36)/100),Settings!$B$5),MAX(0,Settings!$B$2*(H36-I36+J36)/100))),IF(Settings!$B$9,MROUND(Z36,Settings!$B$5),Z36))</f>
        <v>0</v>
      </c>
      <c r="AB36" s="3" t="str">
        <f aca="false">IF(LEFT(T36,5)="ERROR","ERROR",IF(AND(Settings!$B$17,ABS(AA36-Z36)&gt;0.000000001),"FIXED",IF(ABS(S36)&lt;=Settings!$B$7,"SAFE","WARNING")))</f>
        <v>WARNING</v>
      </c>
      <c r="AC36" s="0" t="str">
        <f aca="false">IF(AB36="FIXED","Close adjusted by SAFE mode",IF(AB36="SAFE","BUY/SELL balance preserved",IF(AB36="WARNING","Near protection boundary","Protection broken")))</f>
        <v>Near protection boundary</v>
      </c>
      <c r="AD36" s="0" t="n">
        <f aca="false">MAX(0,Settings!$B$2*G36/100-AA36)</f>
        <v>0.1</v>
      </c>
      <c r="AE36" s="0" t="n">
        <f aca="false">SUM($W$3:W36)</f>
        <v>1.55</v>
      </c>
      <c r="AF36" s="0" t="n">
        <f aca="false">SUM($Y$3:Y36)</f>
        <v>0.75</v>
      </c>
      <c r="AG36" s="0" t="n">
        <f aca="false">AD36+AE36</f>
        <v>1.65</v>
      </c>
      <c r="AH36" s="0" t="n">
        <f aca="false">Settings!$B$2+AF36</f>
        <v>1.75</v>
      </c>
      <c r="AI36" s="0" t="n">
        <f aca="false">AH36-AG36</f>
        <v>0.0999999999999999</v>
      </c>
      <c r="AJ36" s="0" t="str">
        <f aca="false">IF(OR(AND(C36&gt;0,W36=0),AND(E36&gt;0,Y36=0),Settings!$B$2&lt;Settings!$B$5),"ERROR: LotStep too coarse",IF(AG36&gt;AH36,"ERROR: Rounded balance broken",IF(AND(J36&gt;0,AI36&lt;Settings!$B$2*J36/100),"WARNING","OK")))</f>
        <v>OK</v>
      </c>
    </row>
    <row r="37" customFormat="false" ht="14.9" hidden="false" customHeight="false" outlineLevel="0" collapsed="false">
      <c r="A37" s="0" t="n">
        <v>35</v>
      </c>
      <c r="B37" s="0" t="n">
        <f aca="false">A37*Settings!$B$3</f>
        <v>3500</v>
      </c>
      <c r="C37" s="0" t="n">
        <f aca="false">IF(A37&lt;=Settings!$B$4,IFERROR(xlookup(A37,LevelRange,BigPercentRange),0),0)</f>
        <v>0</v>
      </c>
      <c r="D37" s="0" t="n">
        <f aca="false">W37</f>
        <v>0</v>
      </c>
      <c r="E37" s="0" t="n">
        <f aca="false">IF(A37&lt;=Settings!$B$4,IFERROR(xlookup(A37,LevelRange,SmallPercentRange),0),0)</f>
        <v>0</v>
      </c>
      <c r="F37" s="0" t="n">
        <f aca="false">Y37</f>
        <v>0</v>
      </c>
      <c r="G37" s="0" t="n">
        <f aca="false">N36</f>
        <v>10</v>
      </c>
      <c r="H37" s="0" t="n">
        <f aca="false">G37+SUM($C$3:C37)</f>
        <v>165</v>
      </c>
      <c r="I37" s="0" t="n">
        <f aca="false">100+SUM($E$3:E37)</f>
        <v>175</v>
      </c>
      <c r="J37" s="0" t="n">
        <f aca="false">IF(A37&lt;=Settings!$B$4,IFERROR(xlookup(A37,LevelRange,TargetSkewRange),0),0)</f>
        <v>0</v>
      </c>
      <c r="K37" s="0" t="n">
        <f aca="false">MIN(G37,MAX(0,H37-I37+J37))</f>
        <v>0</v>
      </c>
      <c r="L37" s="0" t="str">
        <f aca="false">IF(A37&lt;=Settings!$B$4,IFERROR(xlookup(A37,LevelRange,ManualCloseRange),""),"")</f>
        <v/>
      </c>
      <c r="M37" s="0" t="n">
        <f aca="false">MIN(G37,AA37/Settings!$B$2*100)</f>
        <v>0</v>
      </c>
      <c r="N37" s="0" t="n">
        <f aca="false">G37-M37</f>
        <v>10</v>
      </c>
      <c r="O37" s="0" t="n">
        <f aca="false">SUM($C$3:C37)</f>
        <v>155</v>
      </c>
      <c r="P37" s="0" t="n">
        <f aca="false">SUM($E$3:E37)</f>
        <v>75</v>
      </c>
      <c r="Q37" s="0" t="n">
        <f aca="false">N37+O37</f>
        <v>165</v>
      </c>
      <c r="R37" s="0" t="n">
        <f aca="false">100+P37</f>
        <v>175</v>
      </c>
      <c r="S37" s="0" t="n">
        <f aca="false">R37-Q37</f>
        <v>10</v>
      </c>
      <c r="T37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Direction",IF(OR(C37&lt;0,E37&lt;0,J37&lt;0,AND(LEN(L37)&gt;0,L37&lt;0)),"ERROR: Negative input",IF(C37&lt;E37,"ERROR: Big SELL must be &gt;= Small BUY",IF(AND(LEN(L37)&gt;0,L37&gt;G37),"ERROR: ManualClose exceeds remaining Start position",IF(OR(N37&lt;0,Q37&lt;0,R37&lt;0),"ERROR: Negative totals",IF(Q37&gt;R37,"ERROR: Rounding broke protection balance",IF(S37&gt;Settings!$B$8,"WARNING: Skew exceeds recommended limit","OK")))))))))))</f>
        <v>OK</v>
      </c>
      <c r="U37" s="0" t="str">
        <f aca="false">IF(LEFT(T37,5)="ERROR","Check input/risk","")</f>
        <v/>
      </c>
      <c r="V37" s="0" t="n">
        <f aca="false">Settings!$B$2*C37/100</f>
        <v>0</v>
      </c>
      <c r="W37" s="0" t="n">
        <f aca="false">IF(Settings!$B$9,FLOOR(V37,Settings!$B$5),V37)</f>
        <v>0</v>
      </c>
      <c r="X37" s="0" t="n">
        <f aca="false">Settings!$B$2*E37/100</f>
        <v>0</v>
      </c>
      <c r="Y37" s="0" t="n">
        <f aca="false">IF(Settings!$B$9,CEILING(X37,Settings!$B$5),X37)</f>
        <v>0</v>
      </c>
      <c r="Z37" s="0" t="n">
        <f aca="false">Settings!$B$2*M37/100</f>
        <v>0</v>
      </c>
      <c r="AA37" s="0" t="n">
        <f aca="false">IF(Settings!$B$17,MIN(Settings!$B$2*G37/100,IF(Settings!$B$9,CEILING(MAX(0,Settings!$B$2*(H37-I37+J37)/100),Settings!$B$5),MAX(0,Settings!$B$2*(H37-I37+J37)/100))),IF(Settings!$B$9,MROUND(Z37,Settings!$B$5),Z37))</f>
        <v>0</v>
      </c>
      <c r="AB37" s="3" t="str">
        <f aca="false">IF(LEFT(T37,5)="ERROR","ERROR",IF(AND(Settings!$B$17,ABS(AA37-Z37)&gt;0.000000001),"FIXED",IF(ABS(S37)&lt;=Settings!$B$7,"SAFE","WARNING")))</f>
        <v>WARNING</v>
      </c>
      <c r="AC37" s="0" t="str">
        <f aca="false">IF(AB37="FIXED","Close adjusted by SAFE mode",IF(AB37="SAFE","BUY/SELL balance preserved",IF(AB37="WARNING","Near protection boundary","Protection broken")))</f>
        <v>Near protection boundary</v>
      </c>
      <c r="AD37" s="0" t="n">
        <f aca="false">MAX(0,Settings!$B$2*G37/100-AA37)</f>
        <v>0.1</v>
      </c>
      <c r="AE37" s="0" t="n">
        <f aca="false">SUM($W$3:W37)</f>
        <v>1.55</v>
      </c>
      <c r="AF37" s="0" t="n">
        <f aca="false">SUM($Y$3:Y37)</f>
        <v>0.75</v>
      </c>
      <c r="AG37" s="0" t="n">
        <f aca="false">AD37+AE37</f>
        <v>1.65</v>
      </c>
      <c r="AH37" s="0" t="n">
        <f aca="false">Settings!$B$2+AF37</f>
        <v>1.75</v>
      </c>
      <c r="AI37" s="0" t="n">
        <f aca="false">AH37-AG37</f>
        <v>0.0999999999999999</v>
      </c>
      <c r="AJ37" s="0" t="str">
        <f aca="false">IF(OR(AND(C37&gt;0,W37=0),AND(E37&gt;0,Y37=0),Settings!$B$2&lt;Settings!$B$5),"ERROR: LotStep too coarse",IF(AG37&gt;AH37,"ERROR: Rounded balance broken",IF(AND(J37&gt;0,AI37&lt;Settings!$B$2*J37/100),"WARNING","OK")))</f>
        <v>OK</v>
      </c>
    </row>
    <row r="38" customFormat="false" ht="14.9" hidden="false" customHeight="false" outlineLevel="0" collapsed="false">
      <c r="A38" s="0" t="n">
        <v>36</v>
      </c>
      <c r="B38" s="0" t="n">
        <f aca="false">A38*Settings!$B$3</f>
        <v>3600</v>
      </c>
      <c r="C38" s="0" t="n">
        <f aca="false">IF(A38&lt;=Settings!$B$4,IFERROR(xlookup(A38,LevelRange,BigPercentRange),0),0)</f>
        <v>0</v>
      </c>
      <c r="D38" s="0" t="n">
        <f aca="false">W38</f>
        <v>0</v>
      </c>
      <c r="E38" s="0" t="n">
        <f aca="false">IF(A38&lt;=Settings!$B$4,IFERROR(xlookup(A38,LevelRange,SmallPercentRange),0),0)</f>
        <v>0</v>
      </c>
      <c r="F38" s="0" t="n">
        <f aca="false">Y38</f>
        <v>0</v>
      </c>
      <c r="G38" s="0" t="n">
        <f aca="false">N37</f>
        <v>10</v>
      </c>
      <c r="H38" s="0" t="n">
        <f aca="false">G38+SUM($C$3:C38)</f>
        <v>165</v>
      </c>
      <c r="I38" s="0" t="n">
        <f aca="false">100+SUM($E$3:E38)</f>
        <v>175</v>
      </c>
      <c r="J38" s="0" t="n">
        <f aca="false">IF(A38&lt;=Settings!$B$4,IFERROR(xlookup(A38,LevelRange,TargetSkewRange),0),0)</f>
        <v>0</v>
      </c>
      <c r="K38" s="0" t="n">
        <f aca="false">MIN(G38,MAX(0,H38-I38+J38))</f>
        <v>0</v>
      </c>
      <c r="L38" s="0" t="str">
        <f aca="false">IF(A38&lt;=Settings!$B$4,IFERROR(xlookup(A38,LevelRange,ManualCloseRange),""),"")</f>
        <v/>
      </c>
      <c r="M38" s="0" t="n">
        <f aca="false">MIN(G38,AA38/Settings!$B$2*100)</f>
        <v>0</v>
      </c>
      <c r="N38" s="0" t="n">
        <f aca="false">G38-M38</f>
        <v>10</v>
      </c>
      <c r="O38" s="0" t="n">
        <f aca="false">SUM($C$3:C38)</f>
        <v>155</v>
      </c>
      <c r="P38" s="0" t="n">
        <f aca="false">SUM($E$3:E38)</f>
        <v>75</v>
      </c>
      <c r="Q38" s="0" t="n">
        <f aca="false">N38+O38</f>
        <v>165</v>
      </c>
      <c r="R38" s="0" t="n">
        <f aca="false">100+P38</f>
        <v>175</v>
      </c>
      <c r="S38" s="0" t="n">
        <f aca="false">R38-Q38</f>
        <v>10</v>
      </c>
      <c r="T38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Direction",IF(OR(C38&lt;0,E38&lt;0,J38&lt;0,AND(LEN(L38)&gt;0,L38&lt;0)),"ERROR: Negative input",IF(C38&lt;E38,"ERROR: Big SELL must be &gt;= Small BUY",IF(AND(LEN(L38)&gt;0,L38&gt;G38),"ERROR: ManualClose exceeds remaining Start position",IF(OR(N38&lt;0,Q38&lt;0,R38&lt;0),"ERROR: Negative totals",IF(Q38&gt;R38,"ERROR: Rounding broke protection balance",IF(S38&gt;Settings!$B$8,"WARNING: Skew exceeds recommended limit","OK")))))))))))</f>
        <v>OK</v>
      </c>
      <c r="U38" s="0" t="str">
        <f aca="false">IF(LEFT(T38,5)="ERROR","Check input/risk","")</f>
        <v/>
      </c>
      <c r="V38" s="0" t="n">
        <f aca="false">Settings!$B$2*C38/100</f>
        <v>0</v>
      </c>
      <c r="W38" s="0" t="n">
        <f aca="false">IF(Settings!$B$9,FLOOR(V38,Settings!$B$5),V38)</f>
        <v>0</v>
      </c>
      <c r="X38" s="0" t="n">
        <f aca="false">Settings!$B$2*E38/100</f>
        <v>0</v>
      </c>
      <c r="Y38" s="0" t="n">
        <f aca="false">IF(Settings!$B$9,CEILING(X38,Settings!$B$5),X38)</f>
        <v>0</v>
      </c>
      <c r="Z38" s="0" t="n">
        <f aca="false">Settings!$B$2*M38/100</f>
        <v>0</v>
      </c>
      <c r="AA38" s="0" t="n">
        <f aca="false">IF(Settings!$B$17,MIN(Settings!$B$2*G38/100,IF(Settings!$B$9,CEILING(MAX(0,Settings!$B$2*(H38-I38+J38)/100),Settings!$B$5),MAX(0,Settings!$B$2*(H38-I38+J38)/100))),IF(Settings!$B$9,MROUND(Z38,Settings!$B$5),Z38))</f>
        <v>0</v>
      </c>
      <c r="AB38" s="3" t="str">
        <f aca="false">IF(LEFT(T38,5)="ERROR","ERROR",IF(AND(Settings!$B$17,ABS(AA38-Z38)&gt;0.000000001),"FIXED",IF(ABS(S38)&lt;=Settings!$B$7,"SAFE","WARNING")))</f>
        <v>WARNING</v>
      </c>
      <c r="AC38" s="0" t="str">
        <f aca="false">IF(AB38="FIXED","Close adjusted by SAFE mode",IF(AB38="SAFE","BUY/SELL balance preserved",IF(AB38="WARNING","Near protection boundary","Protection broken")))</f>
        <v>Near protection boundary</v>
      </c>
      <c r="AD38" s="0" t="n">
        <f aca="false">MAX(0,Settings!$B$2*G38/100-AA38)</f>
        <v>0.1</v>
      </c>
      <c r="AE38" s="0" t="n">
        <f aca="false">SUM($W$3:W38)</f>
        <v>1.55</v>
      </c>
      <c r="AF38" s="0" t="n">
        <f aca="false">SUM($Y$3:Y38)</f>
        <v>0.75</v>
      </c>
      <c r="AG38" s="0" t="n">
        <f aca="false">AD38+AE38</f>
        <v>1.65</v>
      </c>
      <c r="AH38" s="0" t="n">
        <f aca="false">Settings!$B$2+AF38</f>
        <v>1.75</v>
      </c>
      <c r="AI38" s="0" t="n">
        <f aca="false">AH38-AG38</f>
        <v>0.0999999999999999</v>
      </c>
      <c r="AJ38" s="0" t="str">
        <f aca="false">IF(OR(AND(C38&gt;0,W38=0),AND(E38&gt;0,Y38=0),Settings!$B$2&lt;Settings!$B$5),"ERROR: LotStep too coarse",IF(AG38&gt;AH38,"ERROR: Rounded balance broken",IF(AND(J38&gt;0,AI38&lt;Settings!$B$2*J38/100),"WARNING","OK")))</f>
        <v>OK</v>
      </c>
    </row>
    <row r="39" customFormat="false" ht="14.9" hidden="false" customHeight="false" outlineLevel="0" collapsed="false">
      <c r="A39" s="0" t="n">
        <v>37</v>
      </c>
      <c r="B39" s="0" t="n">
        <f aca="false">A39*Settings!$B$3</f>
        <v>3700</v>
      </c>
      <c r="C39" s="0" t="n">
        <f aca="false">IF(A39&lt;=Settings!$B$4,IFERROR(xlookup(A39,LevelRange,BigPercentRange),0),0)</f>
        <v>0</v>
      </c>
      <c r="D39" s="0" t="n">
        <f aca="false">W39</f>
        <v>0</v>
      </c>
      <c r="E39" s="0" t="n">
        <f aca="false">IF(A39&lt;=Settings!$B$4,IFERROR(xlookup(A39,LevelRange,SmallPercentRange),0),0)</f>
        <v>0</v>
      </c>
      <c r="F39" s="0" t="n">
        <f aca="false">Y39</f>
        <v>0</v>
      </c>
      <c r="G39" s="0" t="n">
        <f aca="false">N38</f>
        <v>10</v>
      </c>
      <c r="H39" s="0" t="n">
        <f aca="false">G39+SUM($C$3:C39)</f>
        <v>165</v>
      </c>
      <c r="I39" s="0" t="n">
        <f aca="false">100+SUM($E$3:E39)</f>
        <v>175</v>
      </c>
      <c r="J39" s="0" t="n">
        <f aca="false">IF(A39&lt;=Settings!$B$4,IFERROR(xlookup(A39,LevelRange,TargetSkewRange),0),0)</f>
        <v>0</v>
      </c>
      <c r="K39" s="0" t="n">
        <f aca="false">MIN(G39,MAX(0,H39-I39+J39))</f>
        <v>0</v>
      </c>
      <c r="L39" s="0" t="str">
        <f aca="false">IF(A39&lt;=Settings!$B$4,IFERROR(xlookup(A39,LevelRange,ManualCloseRange),""),"")</f>
        <v/>
      </c>
      <c r="M39" s="0" t="n">
        <f aca="false">MIN(G39,AA39/Settings!$B$2*100)</f>
        <v>0</v>
      </c>
      <c r="N39" s="0" t="n">
        <f aca="false">G39-M39</f>
        <v>10</v>
      </c>
      <c r="O39" s="0" t="n">
        <f aca="false">SUM($C$3:C39)</f>
        <v>155</v>
      </c>
      <c r="P39" s="0" t="n">
        <f aca="false">SUM($E$3:E39)</f>
        <v>75</v>
      </c>
      <c r="Q39" s="0" t="n">
        <f aca="false">N39+O39</f>
        <v>165</v>
      </c>
      <c r="R39" s="0" t="n">
        <f aca="false">100+P39</f>
        <v>175</v>
      </c>
      <c r="S39" s="0" t="n">
        <f aca="false">R39-Q39</f>
        <v>10</v>
      </c>
      <c r="T39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Direction",IF(OR(C39&lt;0,E39&lt;0,J39&lt;0,AND(LEN(L39)&gt;0,L39&lt;0)),"ERROR: Negative input",IF(C39&lt;E39,"ERROR: Big SELL must be &gt;= Small BUY",IF(AND(LEN(L39)&gt;0,L39&gt;G39),"ERROR: ManualClose exceeds remaining Start position",IF(OR(N39&lt;0,Q39&lt;0,R39&lt;0),"ERROR: Negative totals",IF(Q39&gt;R39,"ERROR: Rounding broke protection balance",IF(S39&gt;Settings!$B$8,"WARNING: Skew exceeds recommended limit","OK")))))))))))</f>
        <v>OK</v>
      </c>
      <c r="U39" s="0" t="str">
        <f aca="false">IF(LEFT(T39,5)="ERROR","Check input/risk","")</f>
        <v/>
      </c>
      <c r="V39" s="0" t="n">
        <f aca="false">Settings!$B$2*C39/100</f>
        <v>0</v>
      </c>
      <c r="W39" s="0" t="n">
        <f aca="false">IF(Settings!$B$9,FLOOR(V39,Settings!$B$5),V39)</f>
        <v>0</v>
      </c>
      <c r="X39" s="0" t="n">
        <f aca="false">Settings!$B$2*E39/100</f>
        <v>0</v>
      </c>
      <c r="Y39" s="0" t="n">
        <f aca="false">IF(Settings!$B$9,CEILING(X39,Settings!$B$5),X39)</f>
        <v>0</v>
      </c>
      <c r="Z39" s="0" t="n">
        <f aca="false">Settings!$B$2*M39/100</f>
        <v>0</v>
      </c>
      <c r="AA39" s="0" t="n">
        <f aca="false">IF(Settings!$B$17,MIN(Settings!$B$2*G39/100,IF(Settings!$B$9,CEILING(MAX(0,Settings!$B$2*(H39-I39+J39)/100),Settings!$B$5),MAX(0,Settings!$B$2*(H39-I39+J39)/100))),IF(Settings!$B$9,MROUND(Z39,Settings!$B$5),Z39))</f>
        <v>0</v>
      </c>
      <c r="AB39" s="3" t="str">
        <f aca="false">IF(LEFT(T39,5)="ERROR","ERROR",IF(AND(Settings!$B$17,ABS(AA39-Z39)&gt;0.000000001),"FIXED",IF(ABS(S39)&lt;=Settings!$B$7,"SAFE","WARNING")))</f>
        <v>WARNING</v>
      </c>
      <c r="AC39" s="0" t="str">
        <f aca="false">IF(AB39="FIXED","Close adjusted by SAFE mode",IF(AB39="SAFE","BUY/SELL balance preserved",IF(AB39="WARNING","Near protection boundary","Protection broken")))</f>
        <v>Near protection boundary</v>
      </c>
      <c r="AD39" s="0" t="n">
        <f aca="false">MAX(0,Settings!$B$2*G39/100-AA39)</f>
        <v>0.1</v>
      </c>
      <c r="AE39" s="0" t="n">
        <f aca="false">SUM($W$3:W39)</f>
        <v>1.55</v>
      </c>
      <c r="AF39" s="0" t="n">
        <f aca="false">SUM($Y$3:Y39)</f>
        <v>0.75</v>
      </c>
      <c r="AG39" s="0" t="n">
        <f aca="false">AD39+AE39</f>
        <v>1.65</v>
      </c>
      <c r="AH39" s="0" t="n">
        <f aca="false">Settings!$B$2+AF39</f>
        <v>1.75</v>
      </c>
      <c r="AI39" s="0" t="n">
        <f aca="false">AH39-AG39</f>
        <v>0.0999999999999999</v>
      </c>
      <c r="AJ39" s="0" t="str">
        <f aca="false">IF(OR(AND(C39&gt;0,W39=0),AND(E39&gt;0,Y39=0),Settings!$B$2&lt;Settings!$B$5),"ERROR: LotStep too coarse",IF(AG39&gt;AH39,"ERROR: Rounded balance broken",IF(AND(J39&gt;0,AI39&lt;Settings!$B$2*J39/100),"WARNING","OK")))</f>
        <v>OK</v>
      </c>
    </row>
    <row r="40" customFormat="false" ht="14.9" hidden="false" customHeight="false" outlineLevel="0" collapsed="false">
      <c r="A40" s="0" t="n">
        <v>38</v>
      </c>
      <c r="B40" s="0" t="n">
        <f aca="false">A40*Settings!$B$3</f>
        <v>3800</v>
      </c>
      <c r="C40" s="0" t="n">
        <f aca="false">IF(A40&lt;=Settings!$B$4,IFERROR(xlookup(A40,LevelRange,BigPercentRange),0),0)</f>
        <v>0</v>
      </c>
      <c r="D40" s="0" t="n">
        <f aca="false">W40</f>
        <v>0</v>
      </c>
      <c r="E40" s="0" t="n">
        <f aca="false">IF(A40&lt;=Settings!$B$4,IFERROR(xlookup(A40,LevelRange,SmallPercentRange),0),0)</f>
        <v>0</v>
      </c>
      <c r="F40" s="0" t="n">
        <f aca="false">Y40</f>
        <v>0</v>
      </c>
      <c r="G40" s="0" t="n">
        <f aca="false">N39</f>
        <v>10</v>
      </c>
      <c r="H40" s="0" t="n">
        <f aca="false">G40+SUM($C$3:C40)</f>
        <v>165</v>
      </c>
      <c r="I40" s="0" t="n">
        <f aca="false">100+SUM($E$3:E40)</f>
        <v>175</v>
      </c>
      <c r="J40" s="0" t="n">
        <f aca="false">IF(A40&lt;=Settings!$B$4,IFERROR(xlookup(A40,LevelRange,TargetSkewRange),0),0)</f>
        <v>0</v>
      </c>
      <c r="K40" s="0" t="n">
        <f aca="false">MIN(G40,MAX(0,H40-I40+J40))</f>
        <v>0</v>
      </c>
      <c r="L40" s="0" t="str">
        <f aca="false">IF(A40&lt;=Settings!$B$4,IFERROR(xlookup(A40,LevelRange,ManualCloseRange),""),"")</f>
        <v/>
      </c>
      <c r="M40" s="0" t="n">
        <f aca="false">MIN(G40,AA40/Settings!$B$2*100)</f>
        <v>0</v>
      </c>
      <c r="N40" s="0" t="n">
        <f aca="false">G40-M40</f>
        <v>10</v>
      </c>
      <c r="O40" s="0" t="n">
        <f aca="false">SUM($C$3:C40)</f>
        <v>155</v>
      </c>
      <c r="P40" s="0" t="n">
        <f aca="false">SUM($E$3:E40)</f>
        <v>75</v>
      </c>
      <c r="Q40" s="0" t="n">
        <f aca="false">N40+O40</f>
        <v>165</v>
      </c>
      <c r="R40" s="0" t="n">
        <f aca="false">100+P40</f>
        <v>175</v>
      </c>
      <c r="S40" s="0" t="n">
        <f aca="false">R40-Q40</f>
        <v>10</v>
      </c>
      <c r="T40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Direction",IF(OR(C40&lt;0,E40&lt;0,J40&lt;0,AND(LEN(L40)&gt;0,L40&lt;0)),"ERROR: Negative input",IF(C40&lt;E40,"ERROR: Big SELL must be &gt;= Small BUY",IF(AND(LEN(L40)&gt;0,L40&gt;G40),"ERROR: ManualClose exceeds remaining Start position",IF(OR(N40&lt;0,Q40&lt;0,R40&lt;0),"ERROR: Negative totals",IF(Q40&gt;R40,"ERROR: Rounding broke protection balance",IF(S40&gt;Settings!$B$8,"WARNING: Skew exceeds recommended limit","OK")))))))))))</f>
        <v>OK</v>
      </c>
      <c r="U40" s="0" t="str">
        <f aca="false">IF(LEFT(T40,5)="ERROR","Check input/risk","")</f>
        <v/>
      </c>
      <c r="V40" s="0" t="n">
        <f aca="false">Settings!$B$2*C40/100</f>
        <v>0</v>
      </c>
      <c r="W40" s="0" t="n">
        <f aca="false">IF(Settings!$B$9,FLOOR(V40,Settings!$B$5),V40)</f>
        <v>0</v>
      </c>
      <c r="X40" s="0" t="n">
        <f aca="false">Settings!$B$2*E40/100</f>
        <v>0</v>
      </c>
      <c r="Y40" s="0" t="n">
        <f aca="false">IF(Settings!$B$9,CEILING(X40,Settings!$B$5),X40)</f>
        <v>0</v>
      </c>
      <c r="Z40" s="0" t="n">
        <f aca="false">Settings!$B$2*M40/100</f>
        <v>0</v>
      </c>
      <c r="AA40" s="0" t="n">
        <f aca="false">IF(Settings!$B$17,MIN(Settings!$B$2*G40/100,IF(Settings!$B$9,CEILING(MAX(0,Settings!$B$2*(H40-I40+J40)/100),Settings!$B$5),MAX(0,Settings!$B$2*(H40-I40+J40)/100))),IF(Settings!$B$9,MROUND(Z40,Settings!$B$5),Z40))</f>
        <v>0</v>
      </c>
      <c r="AB40" s="3" t="str">
        <f aca="false">IF(LEFT(T40,5)="ERROR","ERROR",IF(AND(Settings!$B$17,ABS(AA40-Z40)&gt;0.000000001),"FIXED",IF(ABS(S40)&lt;=Settings!$B$7,"SAFE","WARNING")))</f>
        <v>WARNING</v>
      </c>
      <c r="AC40" s="0" t="str">
        <f aca="false">IF(AB40="FIXED","Close adjusted by SAFE mode",IF(AB40="SAFE","BUY/SELL balance preserved",IF(AB40="WARNING","Near protection boundary","Protection broken")))</f>
        <v>Near protection boundary</v>
      </c>
      <c r="AD40" s="0" t="n">
        <f aca="false">MAX(0,Settings!$B$2*G40/100-AA40)</f>
        <v>0.1</v>
      </c>
      <c r="AE40" s="0" t="n">
        <f aca="false">SUM($W$3:W40)</f>
        <v>1.55</v>
      </c>
      <c r="AF40" s="0" t="n">
        <f aca="false">SUM($Y$3:Y40)</f>
        <v>0.75</v>
      </c>
      <c r="AG40" s="0" t="n">
        <f aca="false">AD40+AE40</f>
        <v>1.65</v>
      </c>
      <c r="AH40" s="0" t="n">
        <f aca="false">Settings!$B$2+AF40</f>
        <v>1.75</v>
      </c>
      <c r="AI40" s="0" t="n">
        <f aca="false">AH40-AG40</f>
        <v>0.0999999999999999</v>
      </c>
      <c r="AJ40" s="0" t="str">
        <f aca="false">IF(OR(AND(C40&gt;0,W40=0),AND(E40&gt;0,Y40=0),Settings!$B$2&lt;Settings!$B$5),"ERROR: LotStep too coarse",IF(AG40&gt;AH40,"ERROR: Rounded balance broken",IF(AND(J40&gt;0,AI40&lt;Settings!$B$2*J40/100),"WARNING","OK")))</f>
        <v>OK</v>
      </c>
    </row>
    <row r="41" customFormat="false" ht="14.9" hidden="false" customHeight="false" outlineLevel="0" collapsed="false">
      <c r="A41" s="0" t="n">
        <v>39</v>
      </c>
      <c r="B41" s="0" t="n">
        <f aca="false">A41*Settings!$B$3</f>
        <v>3900</v>
      </c>
      <c r="C41" s="0" t="n">
        <f aca="false">IF(A41&lt;=Settings!$B$4,IFERROR(xlookup(A41,LevelRange,BigPercentRange),0),0)</f>
        <v>0</v>
      </c>
      <c r="D41" s="0" t="n">
        <f aca="false">W41</f>
        <v>0</v>
      </c>
      <c r="E41" s="0" t="n">
        <f aca="false">IF(A41&lt;=Settings!$B$4,IFERROR(xlookup(A41,LevelRange,SmallPercentRange),0),0)</f>
        <v>0</v>
      </c>
      <c r="F41" s="0" t="n">
        <f aca="false">Y41</f>
        <v>0</v>
      </c>
      <c r="G41" s="0" t="n">
        <f aca="false">N40</f>
        <v>10</v>
      </c>
      <c r="H41" s="0" t="n">
        <f aca="false">G41+SUM($C$3:C41)</f>
        <v>165</v>
      </c>
      <c r="I41" s="0" t="n">
        <f aca="false">100+SUM($E$3:E41)</f>
        <v>175</v>
      </c>
      <c r="J41" s="0" t="n">
        <f aca="false">IF(A41&lt;=Settings!$B$4,IFERROR(xlookup(A41,LevelRange,TargetSkewRange),0),0)</f>
        <v>0</v>
      </c>
      <c r="K41" s="0" t="n">
        <f aca="false">MIN(G41,MAX(0,H41-I41+J41))</f>
        <v>0</v>
      </c>
      <c r="L41" s="0" t="str">
        <f aca="false">IF(A41&lt;=Settings!$B$4,IFERROR(xlookup(A41,LevelRange,ManualCloseRange),""),"")</f>
        <v/>
      </c>
      <c r="M41" s="0" t="n">
        <f aca="false">MIN(G41,AA41/Settings!$B$2*100)</f>
        <v>0</v>
      </c>
      <c r="N41" s="0" t="n">
        <f aca="false">G41-M41</f>
        <v>10</v>
      </c>
      <c r="O41" s="0" t="n">
        <f aca="false">SUM($C$3:C41)</f>
        <v>155</v>
      </c>
      <c r="P41" s="0" t="n">
        <f aca="false">SUM($E$3:E41)</f>
        <v>75</v>
      </c>
      <c r="Q41" s="0" t="n">
        <f aca="false">N41+O41</f>
        <v>165</v>
      </c>
      <c r="R41" s="0" t="n">
        <f aca="false">100+P41</f>
        <v>175</v>
      </c>
      <c r="S41" s="0" t="n">
        <f aca="false">R41-Q41</f>
        <v>10</v>
      </c>
      <c r="T41" s="0" t="str">
        <f aca="false">IF(Settings!$B$18=FALSE(),"OK",IF(OR(NOT(ISNUMBER(Settings!$B$2)),Settings!$B$2&lt;=0),"ERROR: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Direction",IF(OR(C41&lt;0,E41&lt;0,J41&lt;0,AND(LEN(L41)&gt;0,L41&lt;0)),"ERROR: Negative input",IF(C41&lt;E41,"ERROR: Big SELL must be &gt;= Small BUY",IF(AND(LEN(L41)&gt;0,L41&gt;G41),"ERROR: ManualClose exceeds remaining Start position",IF(OR(N41&lt;0,Q41&lt;0,R41&lt;0),"ERROR: Negative totals",IF(Q41&gt;R41,"ERROR: Rounding broke protection balance",IF(S41&gt;Settings!$B$8,"WARNING: Skew exceeds recommended limit","OK")))))))))))</f>
        <v>OK</v>
      </c>
      <c r="U41" s="0" t="str">
        <f aca="false">IF(LEFT(T41,5)="ERROR","Check input/risk","")</f>
        <v/>
      </c>
      <c r="V41" s="0" t="n">
        <f aca="false">Settings!$B$2*C41/100</f>
        <v>0</v>
      </c>
      <c r="W41" s="0" t="n">
        <f aca="false">IF(Settings!$B$9,FLOOR(V41,Settings!$B$5),V41)</f>
        <v>0</v>
      </c>
      <c r="X41" s="0" t="n">
        <f aca="false">Settings!$B$2*E41/100</f>
        <v>0</v>
      </c>
      <c r="Y41" s="0" t="n">
        <f aca="false">IF(Settings!$B$9,CEILING(X41,Settings!$B$5),X41)</f>
        <v>0</v>
      </c>
      <c r="Z41" s="0" t="n">
        <f aca="false">Settings!$B$2*M41/100</f>
        <v>0</v>
      </c>
      <c r="AA41" s="0" t="n">
        <f aca="false">IF(Settings!$B$17,MIN(Settings!$B$2*G41/100,IF(Settings!$B$9,CEILING(MAX(0,Settings!$B$2*(H41-I41+J41)/100),Settings!$B$5),MAX(0,Settings!$B$2*(H41-I41+J41)/100))),IF(Settings!$B$9,MROUND(Z41,Settings!$B$5),Z41))</f>
        <v>0</v>
      </c>
      <c r="AB41" s="3" t="str">
        <f aca="false">IF(LEFT(T41,5)="ERROR","ERROR",IF(AND(Settings!$B$17,ABS(AA41-Z41)&gt;0.000000001),"FIXED",IF(ABS(S41)&lt;=Settings!$B$7,"SAFE","WARNING")))</f>
        <v>WARNING</v>
      </c>
      <c r="AC41" s="0" t="str">
        <f aca="false">IF(AB41="FIXED","Close adjusted by SAFE mode",IF(AB41="SAFE","BUY/SELL balance preserved",IF(AB41="WARNING","Near protection boundary","Protection broken")))</f>
        <v>Near protection boundary</v>
      </c>
      <c r="AD41" s="0" t="n">
        <f aca="false">MAX(0,Settings!$B$2*G41/100-AA41)</f>
        <v>0.1</v>
      </c>
      <c r="AE41" s="0" t="n">
        <f aca="false">SUM($W$3:W41)</f>
        <v>1.55</v>
      </c>
      <c r="AF41" s="0" t="n">
        <f aca="false">SUM($Y$3:Y41)</f>
        <v>0.75</v>
      </c>
      <c r="AG41" s="0" t="n">
        <f aca="false">AD41+AE41</f>
        <v>1.65</v>
      </c>
      <c r="AH41" s="0" t="n">
        <f aca="false">Settings!$B$2+AF41</f>
        <v>1.75</v>
      </c>
      <c r="AI41" s="0" t="n">
        <f aca="false">AH41-AG41</f>
        <v>0.0999999999999999</v>
      </c>
      <c r="AJ41" s="0" t="str">
        <f aca="false">IF(OR(AND(C41&gt;0,W41=0),AND(E41&gt;0,Y41=0),Settings!$B$2&lt;Settings!$B$5),"ERROR: LotStep too coarse",IF(AG41&gt;AH41,"ERROR: Rounded balance broken",IF(AND(J41&gt;0,AI41&lt;Settings!$B$2*J41/100),"WARNING","OK")))</f>
        <v>OK</v>
      </c>
    </row>
  </sheetData>
  <conditionalFormatting sqref="AB2:AB41">
    <cfRule type="expression" priority="2" aboveAverage="0" equalAverage="0" bottom="0" percent="0" rank="0" text="" dxfId="0">
      <formula>AB2="SAFE"</formula>
    </cfRule>
    <cfRule type="expression" priority="3" aboveAverage="0" equalAverage="0" bottom="0" percent="0" rank="0" text="" dxfId="1">
      <formula>AB2="FIXED"</formula>
    </cfRule>
    <cfRule type="expression" priority="4" aboveAverage="0" equalAverage="0" bottom="0" percent="0" rank="0" text="" dxfId="2">
      <formula>AB2="WARNING"</formula>
    </cfRule>
    <cfRule type="expression" priority="5" aboveAverage="0" equalAverage="0" bottom="0" percent="0" rank="0" text="" dxfId="3">
      <formula>AB2="ERROR"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62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0" t="s">
        <v>0</v>
      </c>
      <c r="B3" s="0" t="n">
        <f aca="false">Settings!B2</f>
        <v>1</v>
      </c>
    </row>
    <row r="4" customFormat="false" ht="13.8" hidden="false" customHeight="false" outlineLevel="0" collapsed="false">
      <c r="A4" s="0" t="s">
        <v>9</v>
      </c>
      <c r="B4" s="0" t="str">
        <f aca="false">Settings!B10</f>
        <v>DOWN</v>
      </c>
    </row>
    <row r="5" customFormat="false" ht="13.8" hidden="false" customHeight="false" outlineLevel="0" collapsed="false">
      <c r="A5" s="0" t="s">
        <v>63</v>
      </c>
      <c r="B5" s="0" t="n">
        <f aca="false">IF(Settings!$B$10="DOWN",INDEX(DownTrend!Q:Q,Settings!B4+3),INDEX(UpTrend!R:R,Settings!B4+3))</f>
        <v>165</v>
      </c>
    </row>
    <row r="6" customFormat="false" ht="13.8" hidden="false" customHeight="false" outlineLevel="0" collapsed="false">
      <c r="A6" s="0" t="s">
        <v>64</v>
      </c>
      <c r="B6" s="0" t="n">
        <f aca="false">IF(Settings!$B$10="DOWN",INDEX(DownTrend!R:R,Settings!B4+3),INDEX(UpTrend!Q:Q,Settings!B4+3))</f>
        <v>175</v>
      </c>
    </row>
    <row r="7" customFormat="false" ht="13.8" hidden="false" customHeight="false" outlineLevel="0" collapsed="false">
      <c r="A7" s="0" t="s">
        <v>65</v>
      </c>
      <c r="B7" s="0" t="n">
        <f aca="false">IF(Settings!$B$10="DOWN",INDEX(DownTrend!S:S,Settings!B4+3),INDEX(UpTrend!S:S,Settings!B4+3))</f>
        <v>10</v>
      </c>
    </row>
    <row r="8" customFormat="false" ht="13.8" hidden="false" customHeight="false" outlineLevel="0" collapsed="false">
      <c r="A8" s="0" t="s">
        <v>66</v>
      </c>
      <c r="B8" s="0" t="n">
        <f aca="false">IF(Settings!$B$10="DOWN",INDEX(DownTrend!N:N,Settings!B4+3),INDEX(UpTrend!N:N,Settings!B4+3))</f>
        <v>10</v>
      </c>
    </row>
    <row r="9" customFormat="false" ht="13.8" hidden="false" customHeight="false" outlineLevel="0" collapsed="false">
      <c r="A9" s="0" t="s">
        <v>67</v>
      </c>
      <c r="B9" s="0" t="n">
        <f aca="false">MarketModel!B16</f>
        <v>160</v>
      </c>
    </row>
    <row r="10" customFormat="false" ht="13.8" hidden="false" customHeight="false" outlineLevel="0" collapsed="false">
      <c r="A10" s="0" t="s">
        <v>68</v>
      </c>
      <c r="B10" s="0" t="str">
        <f aca="false">MarketModel!B11</f>
        <v>NORMAL</v>
      </c>
    </row>
    <row r="11" customFormat="false" ht="13.8" hidden="false" customHeight="false" outlineLevel="0" collapsed="false">
      <c r="A11" s="0" t="s">
        <v>69</v>
      </c>
      <c r="B11" s="0" t="n">
        <f aca="false">MarginControl!B13</f>
        <v>0.531914893617021</v>
      </c>
    </row>
    <row r="12" customFormat="false" ht="13.8" hidden="false" customHeight="false" outlineLevel="0" collapsed="false">
      <c r="A12" s="0" t="s">
        <v>70</v>
      </c>
      <c r="B12" s="0" t="n">
        <f aca="false">RiskDashboard!B4</f>
        <v>7.93617021276596</v>
      </c>
    </row>
    <row r="13" customFormat="false" ht="13.8" hidden="false" customHeight="false" outlineLevel="0" collapsed="false">
      <c r="A13" s="0" t="s">
        <v>71</v>
      </c>
      <c r="B13" s="0" t="str">
        <f aca="false">RiskDashboard!B5</f>
        <v>SAFE</v>
      </c>
    </row>
    <row r="14" customFormat="false" ht="13.8" hidden="false" customHeight="false" outlineLevel="0" collapsed="false">
      <c r="A14" s="0" t="s">
        <v>72</v>
      </c>
      <c r="B14" s="0" t="n">
        <f aca="false">RiskDashboard!B7</f>
        <v>92.063829787234</v>
      </c>
    </row>
    <row r="15" customFormat="false" ht="13.8" hidden="false" customHeight="false" outlineLevel="0" collapsed="false">
      <c r="A15" s="0" t="s">
        <v>73</v>
      </c>
      <c r="B15" s="0" t="str">
        <f aca="false">IF(OR(LEFT(IF(Settings!$B$10="DOWN",INDEX(DownTrend!T:T,Settings!B4+3),INDEX(UpTrend!T:T,Settings!B4+3)),5)="ERROR",LEFT(IF(Settings!$B$10="DOWN",INDEX(DownTrend!AJ:AJ,Settings!B4+3),INDEX(UpTrend!AJ:AJ,Settings!B4+3)),5)="ERROR"),"ERROR",IF(OR(LEFT(IF(Settings!$B$10="DOWN",INDEX(DownTrend!T:T,Settings!B4+3),INDEX(UpTrend!T:T,Settings!B4+3)),7)="WARNING",LEFT(IF(Settings!$B$10="DOWN",INDEX(DownTrend!AJ:AJ,Settings!B4+3),INDEX(UpTrend!AJ:AJ,Settings!B4+3)),7)="WARNING"),"WARNING","OK"))</f>
        <v>OK</v>
      </c>
    </row>
    <row r="16" customFormat="false" ht="13.8" hidden="false" customHeight="false" outlineLevel="0" collapsed="false">
      <c r="A16" s="0" t="s">
        <v>74</v>
      </c>
      <c r="B16" s="0" t="str">
        <f aca="false">IF(Settings!$B$10="DOWN",INDEX(DownTrend!AJ:AJ,Settings!B4+3),INDEX(UpTrend!AJ:AJ,Settings!B4+3))</f>
        <v>OK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  <row r="40" customFormat="false" ht="13.8" hidden="false" customHeight="false" outlineLevel="0" collapsed="false"/>
    <row r="41" customFormat="false" ht="13.8" hidden="false" customHeight="false" outlineLevel="0" collapsed="false"/>
    <row r="42" customFormat="false" ht="13.8" hidden="false" customHeight="false" outlineLevel="0" collapsed="false"/>
    <row r="43" customFormat="false" ht="13.8" hidden="false" customHeight="false" outlineLevel="0" collapsed="false"/>
    <row r="44" customFormat="false" ht="13.8" hidden="false" customHeight="false" outlineLevel="0" collapsed="false"/>
    <row r="45" customFormat="false" ht="13.8" hidden="false" customHeight="false" outlineLevel="0" collapsed="false"/>
    <row r="46" customFormat="false" ht="13.8" hidden="false" customHeight="false" outlineLevel="0" collapsed="false"/>
    <row r="47" customFormat="false" ht="13.8" hidden="false" customHeight="false" outlineLevel="0" collapsed="false"/>
    <row r="48" customFormat="false" ht="13.8" hidden="false" customHeight="false" outlineLevel="0" collapsed="false"/>
    <row r="49" customFormat="false" ht="13.8" hidden="false" customHeight="false" outlineLevel="0" collapsed="false"/>
    <row r="50" customFormat="false" ht="13.8" hidden="false" customHeight="false" outlineLevel="0" collapsed="false"/>
    <row r="51" customFormat="false" ht="13.8" hidden="false" customHeight="false" outlineLevel="0" collapsed="false"/>
    <row r="52" customFormat="false" ht="13.8" hidden="false" customHeight="false" outlineLevel="0" collapsed="false"/>
    <row r="53" customFormat="false" ht="13.8" hidden="false" customHeight="false" outlineLevel="0" collapsed="false"/>
    <row r="54" customFormat="false" ht="13.8" hidden="false" customHeight="false" outlineLevel="0" collapsed="false"/>
    <row r="55" customFormat="false" ht="13.8" hidden="false" customHeight="false" outlineLevel="0" collapsed="false"/>
    <row r="56" customFormat="false" ht="13.8" hidden="false" customHeight="false" outlineLevel="0" collapsed="false"/>
    <row r="57" customFormat="false" ht="13.8" hidden="false" customHeight="false" outlineLevel="0" collapsed="false"/>
    <row r="58" customFormat="false" ht="13.8" hidden="false" customHeight="false" outlineLevel="0" collapsed="false"/>
    <row r="59" customFormat="false" ht="13.8" hidden="false" customHeight="false" outlineLevel="0" collapsed="false"/>
    <row r="60" customFormat="false" ht="13.8" hidden="false" customHeight="false" outlineLevel="0" collapsed="false"/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3.8" hidden="false" customHeight="false" outlineLevel="0" collapsed="false"/>
    <row r="64" customFormat="false" ht="13.8" hidden="false" customHeight="false" outlineLevel="0" collapsed="false"/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3.8" hidden="false" customHeight="false" outlineLevel="0" collapsed="false"/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  <row r="83" customFormat="false" ht="13.8" hidden="false" customHeight="false" outlineLevel="0" collapsed="false"/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3.8" hidden="false" customHeight="false" outlineLevel="0" collapsed="false"/>
    <row r="87" customFormat="false" ht="13.8" hidden="false" customHeight="false" outlineLevel="0" collapsed="false"/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3.8" hidden="false" customHeight="false" outlineLevel="0" collapsed="false"/>
    <row r="94" customFormat="false" ht="13.8" hidden="false" customHeight="false" outlineLevel="0" collapsed="false"/>
    <row r="95" customFormat="false" ht="13.8" hidden="false" customHeight="false" outlineLevel="0" collapsed="false"/>
    <row r="96" customFormat="false" ht="13.8" hidden="false" customHeight="false" outlineLevel="0" collapsed="false"/>
    <row r="97" customFormat="false" ht="13.8" hidden="false" customHeight="false" outlineLevel="0" collapsed="false"/>
    <row r="98" customFormat="false" ht="13.8" hidden="false" customHeight="false" outlineLevel="0" collapsed="false"/>
    <row r="99" customFormat="false" ht="13.8" hidden="false" customHeight="false" outlineLevel="0" collapsed="false"/>
    <row r="100" customFormat="false" ht="13.8" hidden="false" customHeight="false" outlineLevel="0" collapsed="false"/>
    <row r="101" customFormat="false" ht="13.8" hidden="false" customHeight="false" outlineLevel="0" collapsed="false"/>
    <row r="102" customFormat="false" ht="13.8" hidden="false" customHeight="false" outlineLevel="0" collapsed="false"/>
    <row r="103" customFormat="false" ht="13.8" hidden="false" customHeight="false" outlineLevel="0" collapsed="false"/>
    <row r="104" customFormat="false" ht="13.8" hidden="false" customHeight="false" outlineLevel="0" collapsed="false"/>
    <row r="105" customFormat="false" ht="13.8" hidden="false" customHeight="false" outlineLevel="0" collapsed="false"/>
    <row r="106" customFormat="false" ht="13.8" hidden="false" customHeight="false" outlineLevel="0" collapsed="false"/>
    <row r="107" customFormat="false" ht="13.8" hidden="false" customHeight="false" outlineLevel="0" collapsed="false"/>
    <row r="108" customFormat="false" ht="13.8" hidden="false" customHeight="false" outlineLevel="0" collapsed="false"/>
    <row r="109" customFormat="false" ht="13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75</v>
      </c>
    </row>
    <row r="2" customFormat="false" ht="13.8" hidden="false" customHeight="false" outlineLevel="0" collapsed="false">
      <c r="A2" s="0" t="s">
        <v>76</v>
      </c>
      <c r="B2" s="0" t="str">
        <f aca="false">IF(OR(NOT(ISNUMBER(Settings!B2)),Settings!B2&lt;=0),"ERROR","OK")</f>
        <v>OK</v>
      </c>
    </row>
    <row r="3" customFormat="false" ht="13.8" hidden="false" customHeight="false" outlineLevel="0" collapsed="false">
      <c r="A3" s="0" t="s">
        <v>77</v>
      </c>
      <c r="B3" s="0" t="str">
        <f aca="false">IF(OR(NOT(ISNUMBER(Settings!B5)),Settings!B5&lt;=0),"ERROR","OK")</f>
        <v>OK</v>
      </c>
    </row>
    <row r="4" customFormat="false" ht="13.8" hidden="false" customHeight="false" outlineLevel="0" collapsed="false">
      <c r="A4" s="0" t="s">
        <v>78</v>
      </c>
      <c r="B4" s="0" t="str">
        <f aca="false">IF(AND(Settings!B10&lt;&gt;"DOWN",Settings!B10&lt;&gt;"UP"),"ERROR","OK")</f>
        <v>OK</v>
      </c>
    </row>
    <row r="5" customFormat="false" ht="13.8" hidden="false" customHeight="false" outlineLevel="0" collapsed="false">
      <c r="A5" s="0" t="s">
        <v>79</v>
      </c>
      <c r="B5" s="0" t="str">
        <f aca="false">IF(OR(MIN(Settings!B22:E200)&lt;0,MIN(DownTrend!N3:N41)&lt;0,MIN(UpTrend!N3:N41)&lt;0),"ERROR","OK")</f>
        <v>OK</v>
      </c>
    </row>
    <row r="6" customFormat="false" ht="13.8" hidden="false" customHeight="false" outlineLevel="0" collapsed="false">
      <c r="A6" s="0" t="s">
        <v>80</v>
      </c>
      <c r="B6" s="0" t="str">
        <f aca="false">IF(SUMPRODUCT(--(DownTrend!C3:C41&lt;DownTrend!E3:E41))+SUMPRODUCT(--(UpTrend!C3:C41&lt;UpTrend!E3:E41))&gt;0,"ERROR","OK")</f>
        <v>OK</v>
      </c>
    </row>
    <row r="7" customFormat="false" ht="13.8" hidden="false" customHeight="false" outlineLevel="0" collapsed="false">
      <c r="A7" s="0" t="s">
        <v>81</v>
      </c>
      <c r="B7" s="0" t="str">
        <f aca="false">IF(OR(SUMPRODUCT(--(DownTrend!L3:L41&lt;&gt;""),--(DownTrend!L3:L41&gt;DownTrend!G3:G41))&gt;0,SUMPRODUCT(--(UpTrend!L3:L41&lt;&gt;""),--(UpTrend!L3:L41&gt;UpTrend!G3:G41))&gt;0),"ERROR","OK")</f>
        <v>OK</v>
      </c>
    </row>
    <row r="8" customFormat="false" ht="13.8" hidden="false" customHeight="false" outlineLevel="0" collapsed="false">
      <c r="A8" s="0" t="s">
        <v>82</v>
      </c>
      <c r="B8" s="0" t="str">
        <f aca="false">IF(OR(MIN(DownTrend!N3:N41)&lt;0,MIN(UpTrend!N3:N41)&lt;0),"ERROR","OK")</f>
        <v>OK</v>
      </c>
    </row>
    <row r="9" customFormat="false" ht="13.8" hidden="false" customHeight="false" outlineLevel="0" collapsed="false">
      <c r="A9" s="0" t="s">
        <v>83</v>
      </c>
      <c r="B9" s="0" t="str">
        <f aca="false">IF(OR(SUMPRODUCT(--(DownTrend!Q3:Q41&gt;DownTrend!R3:R41))&gt;0,SUMPRODUCT(--(UpTrend!Q3:Q41&gt;UpTrend!R3:R41))&gt;0),"ERROR","OK")</f>
        <v>OK</v>
      </c>
    </row>
    <row r="10" customFormat="false" ht="13.8" hidden="false" customHeight="false" outlineLevel="0" collapsed="false">
      <c r="A10" s="0" t="s">
        <v>84</v>
      </c>
      <c r="B10" s="0" t="str">
        <f aca="false">IF(OR(COUNTIF(DownTrend!AJ3:AJ41,"ERROR*")&gt;0,COUNTIF(UpTrend!AJ3:AJ41,"ERROR*")&gt;0),"ERROR","OK")</f>
        <v>OK</v>
      </c>
    </row>
    <row r="11" customFormat="false" ht="13.8" hidden="false" customHeight="false" outlineLevel="0" collapsed="false">
      <c r="A11" s="0" t="s">
        <v>85</v>
      </c>
      <c r="B11" s="0" t="str">
        <f aca="false">IF(OR(SUMPRODUCT(--(DownTrend!C3:C41&gt;0),--(DownTrend!W3:W41=0))&gt;0,SUMPRODUCT(--(UpTrend!C3:C41&gt;0),--(UpTrend!W3:W41=0))&gt;0),"ERROR","OK")</f>
        <v>OK</v>
      </c>
    </row>
    <row r="12" customFormat="false" ht="13.8" hidden="false" customHeight="false" outlineLevel="0" collapsed="false">
      <c r="A12" s="0" t="s">
        <v>86</v>
      </c>
      <c r="B12" s="0" t="str">
        <f aca="false">IF(OR(SUMPRODUCT(--(DownTrend!E3:E41&gt;0),--(DownTrend!Y3:Y41=0))&gt;0,SUMPRODUCT(--(UpTrend!E3:E41&gt;0),--(UpTrend!Y3:Y41=0))&gt;0),"ERROR","OK")</f>
        <v>OK</v>
      </c>
    </row>
    <row r="13" customFormat="false" ht="13.8" hidden="false" customHeight="false" outlineLevel="0" collapsed="false">
      <c r="A13" s="0" t="s">
        <v>87</v>
      </c>
      <c r="B13" s="0" t="str">
        <f aca="false">IF(Settings!B2&lt;Settings!B5,"ERROR","OK")</f>
        <v>OK</v>
      </c>
    </row>
    <row r="14" customFormat="false" ht="13.8" hidden="false" customHeight="false" outlineLevel="0" collapsed="false">
      <c r="A14" s="0" t="s">
        <v>88</v>
      </c>
      <c r="B14" s="0" t="str">
        <f aca="false">IF(OR(COUNTIF(DownTrend!T3:T41,"ERROR*")&gt;0,COUNTIF(UpTrend!T3:T41,"ERROR*")&gt;0,COUNTIF(DownTrend!AJ3:AJ41,"ERROR*")&gt;0,COUNTIF(UpTrend!AJ3:AJ41,"ERROR*")&gt;0),"ERROR",IF(OR(COUNTIF(DownTrend!T3:T41,"WARNING*")&gt;0,COUNTIF(UpTrend!T3:T41,"WARNING*")&gt;0,COUNTIF(DownTrend!AJ3:AJ41,"WARNING*")&gt;0,COUNTIF(UpTrend!AJ3:AJ41,"WARNING*")&gt;0),"WARNING","OK")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0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90</v>
      </c>
    </row>
    <row r="2" customFormat="false" ht="13.8" hidden="false" customHeight="false" outlineLevel="0" collapsed="false">
      <c r="A2" s="0" t="s">
        <v>91</v>
      </c>
      <c r="B2" s="0" t="n">
        <v>1.1</v>
      </c>
    </row>
    <row r="3" customFormat="false" ht="13.8" hidden="false" customHeight="false" outlineLevel="0" collapsed="false">
      <c r="A3" s="0" t="s">
        <v>92</v>
      </c>
      <c r="B3" s="0" t="n">
        <v>80</v>
      </c>
    </row>
    <row r="4" customFormat="false" ht="13.8" hidden="false" customHeight="false" outlineLevel="0" collapsed="false">
      <c r="A4" s="0" t="s">
        <v>93</v>
      </c>
      <c r="B4" s="0" t="n">
        <v>2</v>
      </c>
    </row>
    <row r="5" customFormat="false" ht="13.8" hidden="false" customHeight="false" outlineLevel="0" collapsed="false">
      <c r="A5" s="0" t="s">
        <v>94</v>
      </c>
      <c r="B5" s="0" t="n">
        <v>12</v>
      </c>
    </row>
    <row r="6" customFormat="false" ht="13.8" hidden="false" customHeight="false" outlineLevel="0" collapsed="false">
      <c r="A6" s="0" t="s">
        <v>95</v>
      </c>
      <c r="B6" s="0" t="n">
        <v>-3</v>
      </c>
    </row>
    <row r="7" customFormat="false" ht="13.8" hidden="false" customHeight="false" outlineLevel="0" collapsed="false">
      <c r="A7" s="0" t="s">
        <v>96</v>
      </c>
      <c r="B7" s="0" t="n">
        <v>7</v>
      </c>
    </row>
    <row r="8" customFormat="false" ht="13.8" hidden="false" customHeight="false" outlineLevel="0" collapsed="false">
      <c r="A8" s="0" t="s">
        <v>97</v>
      </c>
      <c r="B8" s="0" t="n">
        <v>1.2</v>
      </c>
    </row>
    <row r="9" customFormat="false" ht="13.8" hidden="false" customHeight="false" outlineLevel="0" collapsed="false">
      <c r="A9" s="0" t="s">
        <v>98</v>
      </c>
      <c r="B9" s="0" t="n">
        <v>3.1</v>
      </c>
    </row>
    <row r="10" customFormat="false" ht="13.8" hidden="false" customHeight="false" outlineLevel="0" collapsed="false">
      <c r="A10" s="0" t="s">
        <v>99</v>
      </c>
      <c r="B10" s="0" t="n">
        <v>60</v>
      </c>
    </row>
    <row r="11" customFormat="false" ht="13.8" hidden="false" customHeight="false" outlineLevel="0" collapsed="false">
      <c r="A11" s="0" t="s">
        <v>100</v>
      </c>
      <c r="B11" s="0" t="str">
        <f aca="false">IF(B3&lt;60,"LOW_VOL",IF(B3&lt;120,"NORMAL",IF(B3&lt;200,"HIGH_VOL","EXTREME")))</f>
        <v>NORMAL</v>
      </c>
    </row>
    <row r="12" customFormat="false" ht="13.8" hidden="false" customHeight="false" outlineLevel="0" collapsed="false">
      <c r="A12" s="0" t="s">
        <v>101</v>
      </c>
      <c r="B12" s="0" t="n">
        <v>5</v>
      </c>
    </row>
    <row r="13" customFormat="false" ht="13.8" hidden="false" customHeight="false" outlineLevel="0" collapsed="false">
      <c r="A13" s="0" t="s">
        <v>102</v>
      </c>
      <c r="B13" s="0" t="n">
        <v>10</v>
      </c>
    </row>
    <row r="14" customFormat="false" ht="13.8" hidden="false" customHeight="false" outlineLevel="0" collapsed="false">
      <c r="A14" s="0" t="s">
        <v>103</v>
      </c>
      <c r="B14" s="0" t="n">
        <v>100000</v>
      </c>
    </row>
    <row r="15" customFormat="false" ht="13.8" hidden="false" customHeight="false" outlineLevel="0" collapsed="false"/>
    <row r="16" customFormat="false" ht="13.8" hidden="false" customHeight="false" outlineLevel="0" collapsed="false">
      <c r="A16" s="0" t="s">
        <v>67</v>
      </c>
      <c r="B16" s="0" t="n">
        <f aca="false">B3*B4</f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104</v>
      </c>
    </row>
    <row r="2" customFormat="false" ht="13.8" hidden="false" customHeight="false" outlineLevel="0" collapsed="false">
      <c r="A2" s="0" t="s">
        <v>105</v>
      </c>
      <c r="B2" s="0" t="n">
        <v>10</v>
      </c>
    </row>
    <row r="3" customFormat="false" ht="13.8" hidden="false" customHeight="false" outlineLevel="0" collapsed="false">
      <c r="A3" s="0" t="s">
        <v>106</v>
      </c>
      <c r="B3" s="0" t="n">
        <v>300</v>
      </c>
    </row>
    <row r="4" customFormat="false" ht="13.8" hidden="false" customHeight="false" outlineLevel="0" collapsed="false">
      <c r="A4" s="0" t="s">
        <v>107</v>
      </c>
      <c r="B4" s="0" t="n">
        <v>120</v>
      </c>
    </row>
    <row r="5" customFormat="false" ht="13.8" hidden="false" customHeight="false" outlineLevel="0" collapsed="false">
      <c r="A5" s="0" t="s">
        <v>108</v>
      </c>
      <c r="B5" s="0" t="n">
        <v>40</v>
      </c>
    </row>
    <row r="6" customFormat="false" ht="13.8" hidden="false" customHeight="false" outlineLevel="0" collapsed="false">
      <c r="A6" s="0" t="s">
        <v>109</v>
      </c>
      <c r="B6" s="0" t="n">
        <v>35</v>
      </c>
    </row>
    <row r="7" customFormat="false" ht="13.8" hidden="false" customHeight="false" outlineLevel="0" collapsed="false">
      <c r="A7" s="0" t="s">
        <v>110</v>
      </c>
      <c r="B7" s="0" t="n">
        <v>55</v>
      </c>
    </row>
    <row r="8" customFormat="false" ht="13.8" hidden="false" customHeight="false" outlineLevel="0" collapsed="false">
      <c r="A8" s="0" t="s">
        <v>111</v>
      </c>
      <c r="B8" s="0" t="n">
        <v>45</v>
      </c>
    </row>
    <row r="9" customFormat="false" ht="13.8" hidden="false" customHeight="false" outlineLevel="0" collapsed="false">
      <c r="A9" s="0" t="s">
        <v>112</v>
      </c>
      <c r="B9" s="0" t="n">
        <v>18</v>
      </c>
    </row>
    <row r="10" customFormat="false" ht="13.8" hidden="false" customHeight="false" outlineLevel="0" collapsed="false">
      <c r="A10" s="0" t="s">
        <v>113</v>
      </c>
      <c r="B10" s="0" t="n">
        <v>0.25</v>
      </c>
    </row>
    <row r="11" customFormat="false" ht="13.8" hidden="false" customHeight="false" outlineLevel="0" collapsed="false">
      <c r="A11" s="0" t="s">
        <v>114</v>
      </c>
      <c r="B11" s="0" t="n">
        <v>90</v>
      </c>
    </row>
    <row r="12" customFormat="false" ht="13.8" hidden="false" customHeight="false" outlineLevel="0" collapsed="false">
      <c r="A12" s="0" t="s">
        <v>115</v>
      </c>
      <c r="B12" s="0" t="n">
        <v>30</v>
      </c>
    </row>
    <row r="13" customFormat="false" ht="13.8" hidden="false" customHeight="false" outlineLevel="0" collapsed="false">
      <c r="A13" s="0" t="s">
        <v>116</v>
      </c>
      <c r="B13" s="0" t="n">
        <v>0.85</v>
      </c>
    </row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>
      <c r="A16" s="0" t="s">
        <v>21</v>
      </c>
      <c r="B16" s="0" t="s">
        <v>117</v>
      </c>
      <c r="C16" s="0" t="s">
        <v>118</v>
      </c>
      <c r="D16" s="0" t="s">
        <v>119</v>
      </c>
    </row>
    <row r="17" customFormat="false" ht="13.8" hidden="false" customHeight="false" outlineLevel="0" collapsed="false">
      <c r="A17" s="0" t="n">
        <v>1</v>
      </c>
      <c r="B17" s="0" t="n">
        <f aca="false">MAX(1,$B$11*EXP(-$B$10*A17)*$B$12)</f>
        <v>2102.76211429279</v>
      </c>
      <c r="C17" s="0" t="n">
        <f aca="false">MAX(1,$B$12*($B$6/50)*MAX(0.5,1+$B$2/100))</f>
        <v>23.1</v>
      </c>
      <c r="D17" s="0" t="n">
        <f aca="false">MIN(30,MAX(5,5+$B$6/5+$B$4/10))</f>
        <v>24</v>
      </c>
    </row>
    <row r="18" customFormat="false" ht="13.8" hidden="false" customHeight="false" outlineLevel="0" collapsed="false">
      <c r="A18" s="0" t="n">
        <v>2</v>
      </c>
      <c r="B18" s="0" t="n">
        <f aca="false">MAX(1,$B$11*EXP(-$B$10*A18)*$B$12)</f>
        <v>1637.63278122411</v>
      </c>
      <c r="C18" s="0" t="n">
        <f aca="false">MAX(1,$B$12*($B$6/50)*MAX(0.5,1+$B$2/100))</f>
        <v>23.1</v>
      </c>
      <c r="D18" s="0" t="n">
        <f aca="false">MIN(30,MAX(5,5+$B$6/5+$B$4/10))</f>
        <v>24</v>
      </c>
    </row>
    <row r="19" customFormat="false" ht="13.8" hidden="false" customHeight="false" outlineLevel="0" collapsed="false">
      <c r="A19" s="0" t="n">
        <v>3</v>
      </c>
      <c r="B19" s="0" t="n">
        <f aca="false">MAX(1,$B$11*EXP(-$B$10*A19)*$B$12)</f>
        <v>1275.38969240074</v>
      </c>
      <c r="C19" s="0" t="n">
        <f aca="false">MAX(1,$B$12*($B$6/50)*MAX(0.5,1+$B$2/100))</f>
        <v>23.1</v>
      </c>
      <c r="D19" s="0" t="n">
        <f aca="false">MIN(30,MAX(5,5+$B$6/5+$B$4/10))</f>
        <v>24</v>
      </c>
    </row>
    <row r="20" customFormat="false" ht="13.8" hidden="false" customHeight="false" outlineLevel="0" collapsed="false">
      <c r="A20" s="0" t="n">
        <v>4</v>
      </c>
      <c r="B20" s="0" t="n">
        <f aca="false">MAX(1,$B$11*EXP(-$B$10*A20)*$B$12)</f>
        <v>993.274491162894</v>
      </c>
      <c r="C20" s="0" t="n">
        <f aca="false">MAX(1,$B$12*($B$6/50)*MAX(0.5,1+$B$2/100))</f>
        <v>23.1</v>
      </c>
      <c r="D20" s="0" t="n">
        <f aca="false">MIN(30,MAX(5,5+$B$6/5+$B$4/10))</f>
        <v>24</v>
      </c>
    </row>
    <row r="21" customFormat="false" ht="13.8" hidden="false" customHeight="false" outlineLevel="0" collapsed="false">
      <c r="A21" s="0" t="n">
        <v>5</v>
      </c>
      <c r="B21" s="0" t="n">
        <f aca="false">MAX(1,$B$11*EXP(-$B$10*A21)*$B$12)</f>
        <v>773.562951522513</v>
      </c>
      <c r="C21" s="0" t="n">
        <f aca="false">MAX(1,$B$12*($B$6/50)*MAX(0.5,1+$B$2/100))</f>
        <v>23.1</v>
      </c>
      <c r="D21" s="0" t="n">
        <f aca="false">MIN(30,MAX(5,5+$B$6/5+$B$4/10))</f>
        <v>24</v>
      </c>
    </row>
    <row r="22" customFormat="false" ht="13.8" hidden="false" customHeight="false" outlineLevel="0" collapsed="false">
      <c r="A22" s="0" t="n">
        <v>6</v>
      </c>
      <c r="B22" s="0" t="n">
        <f aca="false">MAX(1,$B$11*EXP(-$B$10*A22)*$B$12)</f>
        <v>602.451432400761</v>
      </c>
      <c r="C22" s="0" t="n">
        <f aca="false">MAX(1,$B$12*($B$6/50)*MAX(0.5,1+$B$2/100))</f>
        <v>23.1</v>
      </c>
      <c r="D22" s="0" t="n">
        <f aca="false">MIN(30,MAX(5,5+$B$6/5+$B$4/10))</f>
        <v>24</v>
      </c>
    </row>
    <row r="23" customFormat="false" ht="13.8" hidden="false" customHeight="false" outlineLevel="0" collapsed="false">
      <c r="A23" s="0" t="n">
        <v>7</v>
      </c>
      <c r="B23" s="0" t="n">
        <f aca="false">MAX(1,$B$11*EXP(-$B$10*A23)*$B$12)</f>
        <v>469.189647316202</v>
      </c>
      <c r="C23" s="0" t="n">
        <f aca="false">MAX(1,$B$12*($B$6/50)*MAX(0.5,1+$B$2/100))</f>
        <v>23.1</v>
      </c>
      <c r="D23" s="0" t="n">
        <f aca="false">MIN(30,MAX(5,5+$B$6/5+$B$4/10))</f>
        <v>24</v>
      </c>
    </row>
    <row r="24" customFormat="false" ht="13.8" hidden="false" customHeight="false" outlineLevel="0" collapsed="false">
      <c r="A24" s="0" t="n">
        <v>8</v>
      </c>
      <c r="B24" s="0" t="n">
        <f aca="false">MAX(1,$B$11*EXP(-$B$10*A24)*$B$12)</f>
        <v>365.405264738854</v>
      </c>
      <c r="C24" s="0" t="n">
        <f aca="false">MAX(1,$B$12*($B$6/50)*MAX(0.5,1+$B$2/100))</f>
        <v>23.1</v>
      </c>
      <c r="D24" s="0" t="n">
        <f aca="false">MIN(30,MAX(5,5+$B$6/5+$B$4/10))</f>
        <v>24</v>
      </c>
    </row>
    <row r="25" customFormat="false" ht="13.8" hidden="false" customHeight="false" outlineLevel="0" collapsed="false">
      <c r="A25" s="0" t="n">
        <v>9</v>
      </c>
      <c r="B25" s="0" t="n">
        <f aca="false">MAX(1,$B$11*EXP(-$B$10*A25)*$B$12)</f>
        <v>284.577906317034</v>
      </c>
      <c r="C25" s="0" t="n">
        <f aca="false">MAX(1,$B$12*($B$6/50)*MAX(0.5,1+$B$2/100))</f>
        <v>23.1</v>
      </c>
      <c r="D25" s="0" t="n">
        <f aca="false">MIN(30,MAX(5,5+$B$6/5+$B$4/10))</f>
        <v>24</v>
      </c>
    </row>
    <row r="26" customFormat="false" ht="13.8" hidden="false" customHeight="false" outlineLevel="0" collapsed="false">
      <c r="A26" s="0" t="n">
        <v>10</v>
      </c>
      <c r="B26" s="0" t="n">
        <f aca="false">MAX(1,$B$11*EXP(-$B$10*A26)*$B$12)</f>
        <v>221.629496284527</v>
      </c>
      <c r="C26" s="0" t="n">
        <f aca="false">MAX(1,$B$12*($B$6/50)*MAX(0.5,1+$B$2/100))</f>
        <v>23.1</v>
      </c>
      <c r="D26" s="0" t="n">
        <f aca="false">MIN(30,MAX(5,5+$B$6/5+$B$4/10))</f>
        <v>24</v>
      </c>
    </row>
    <row r="27" customFormat="false" ht="13.8" hidden="false" customHeight="false" outlineLevel="0" collapsed="false">
      <c r="A27" s="0" t="n">
        <v>11</v>
      </c>
      <c r="B27" s="0" t="n">
        <f aca="false">MAX(1,$B$11*EXP(-$B$10*A27)*$B$12)</f>
        <v>172.60522525811</v>
      </c>
      <c r="C27" s="0" t="n">
        <f aca="false">MAX(1,$B$12*($B$6/50)*MAX(0.5,1+$B$2/100))</f>
        <v>23.1</v>
      </c>
      <c r="D27" s="0" t="n">
        <f aca="false">MIN(30,MAX(5,5+$B$6/5+$B$4/10))</f>
        <v>24</v>
      </c>
    </row>
    <row r="28" customFormat="false" ht="13.8" hidden="false" customHeight="false" outlineLevel="0" collapsed="false">
      <c r="A28" s="0" t="n">
        <v>12</v>
      </c>
      <c r="B28" s="0" t="n">
        <f aca="false">MAX(1,$B$11*EXP(-$B$10*A28)*$B$12)</f>
        <v>134.425084593233</v>
      </c>
      <c r="C28" s="0" t="n">
        <f aca="false">MAX(1,$B$12*($B$6/50)*MAX(0.5,1+$B$2/100))</f>
        <v>23.1</v>
      </c>
      <c r="D28" s="0" t="n">
        <f aca="false">MIN(30,MAX(5,5+$B$6/5+$B$4/10))</f>
        <v>24</v>
      </c>
    </row>
    <row r="29" customFormat="false" ht="13.8" hidden="false" customHeight="false" outlineLevel="0" collapsed="false">
      <c r="A29" s="0" t="n">
        <v>13</v>
      </c>
      <c r="B29" s="0" t="n">
        <f aca="false">MAX(1,$B$11*EXP(-$B$10*A29)*$B$12)</f>
        <v>104.690361145649</v>
      </c>
      <c r="C29" s="0" t="n">
        <f aca="false">MAX(1,$B$12*($B$6/50)*MAX(0.5,1+$B$2/100))</f>
        <v>23.1</v>
      </c>
      <c r="D29" s="0" t="n">
        <f aca="false">MIN(30,MAX(5,5+$B$6/5+$B$4/10))</f>
        <v>24</v>
      </c>
    </row>
    <row r="30" customFormat="false" ht="13.8" hidden="false" customHeight="false" outlineLevel="0" collapsed="false">
      <c r="A30" s="0" t="n">
        <v>14</v>
      </c>
      <c r="B30" s="0" t="n">
        <f aca="false">MAX(1,$B$11*EXP(-$B$10*A30)*$B$12)</f>
        <v>81.53293524026</v>
      </c>
      <c r="C30" s="0" t="n">
        <f aca="false">MAX(1,$B$12*($B$6/50)*MAX(0.5,1+$B$2/100))</f>
        <v>23.1</v>
      </c>
      <c r="D30" s="0" t="n">
        <f aca="false">MIN(30,MAX(5,5+$B$6/5+$B$4/10))</f>
        <v>24</v>
      </c>
    </row>
    <row r="31" customFormat="false" ht="13.8" hidden="false" customHeight="false" outlineLevel="0" collapsed="false">
      <c r="A31" s="0" t="n">
        <v>15</v>
      </c>
      <c r="B31" s="0" t="n">
        <f aca="false">MAX(1,$B$11*EXP(-$B$10*A31)*$B$12)</f>
        <v>63.4979138112246</v>
      </c>
      <c r="C31" s="0" t="n">
        <f aca="false">MAX(1,$B$12*($B$6/50)*MAX(0.5,1+$B$2/100))</f>
        <v>23.1</v>
      </c>
      <c r="D31" s="0" t="n">
        <f aca="false">MIN(30,MAX(5,5+$B$6/5+$B$4/10))</f>
        <v>24</v>
      </c>
    </row>
    <row r="32" customFormat="false" ht="13.8" hidden="false" customHeight="false" outlineLevel="0" collapsed="false">
      <c r="A32" s="0" t="n">
        <v>16</v>
      </c>
      <c r="B32" s="0" t="n">
        <f aca="false">MAX(1,$B$11*EXP(-$B$10*A32)*$B$12)</f>
        <v>49.4522249995823</v>
      </c>
      <c r="C32" s="0" t="n">
        <f aca="false">MAX(1,$B$12*($B$6/50)*MAX(0.5,1+$B$2/100))</f>
        <v>23.1</v>
      </c>
      <c r="D32" s="0" t="n">
        <f aca="false">MIN(30,MAX(5,5+$B$6/5+$B$4/10))</f>
        <v>24</v>
      </c>
    </row>
    <row r="33" customFormat="false" ht="13.8" hidden="false" customHeight="false" outlineLevel="0" collapsed="false">
      <c r="A33" s="0" t="n">
        <v>17</v>
      </c>
      <c r="B33" s="0" t="n">
        <f aca="false">MAX(1,$B$11*EXP(-$B$10*A33)*$B$12)</f>
        <v>38.513431554298</v>
      </c>
      <c r="C33" s="0" t="n">
        <f aca="false">MAX(1,$B$12*($B$6/50)*MAX(0.5,1+$B$2/100))</f>
        <v>23.1</v>
      </c>
      <c r="D33" s="0" t="n">
        <f aca="false">MIN(30,MAX(5,5+$B$6/5+$B$4/10))</f>
        <v>24</v>
      </c>
    </row>
    <row r="34" customFormat="false" ht="13.8" hidden="false" customHeight="false" outlineLevel="0" collapsed="false">
      <c r="A34" s="0" t="n">
        <v>18</v>
      </c>
      <c r="B34" s="0" t="n">
        <f aca="false">MAX(1,$B$11*EXP(-$B$10*A34)*$B$12)</f>
        <v>29.9942906532542</v>
      </c>
      <c r="C34" s="0" t="n">
        <f aca="false">MAX(1,$B$12*($B$6/50)*MAX(0.5,1+$B$2/100))</f>
        <v>23.1</v>
      </c>
      <c r="D34" s="0" t="n">
        <f aca="false">MIN(30,MAX(5,5+$B$6/5+$B$4/10))</f>
        <v>24</v>
      </c>
    </row>
    <row r="35" customFormat="false" ht="13.8" hidden="false" customHeight="false" outlineLevel="0" collapsed="false">
      <c r="A35" s="0" t="n">
        <v>19</v>
      </c>
      <c r="B35" s="0" t="n">
        <f aca="false">MAX(1,$B$11*EXP(-$B$10*A35)*$B$12)</f>
        <v>23.3595770484257</v>
      </c>
      <c r="C35" s="0" t="n">
        <f aca="false">MAX(1,$B$12*($B$6/50)*MAX(0.5,1+$B$2/100))</f>
        <v>23.1</v>
      </c>
      <c r="D35" s="0" t="n">
        <f aca="false">MIN(30,MAX(5,5+$B$6/5+$B$4/10))</f>
        <v>24</v>
      </c>
    </row>
    <row r="36" customFormat="false" ht="13.8" hidden="false" customHeight="false" outlineLevel="0" collapsed="false">
      <c r="A36" s="0" t="n">
        <v>20</v>
      </c>
      <c r="B36" s="0" t="n">
        <f aca="false">MAX(1,$B$11*EXP(-$B$10*A36)*$B$12)</f>
        <v>18.1924568975308</v>
      </c>
      <c r="C36" s="0" t="n">
        <f aca="false">MAX(1,$B$12*($B$6/50)*MAX(0.5,1+$B$2/100))</f>
        <v>23.1</v>
      </c>
      <c r="D36" s="0" t="n">
        <f aca="false">MIN(30,MAX(5,5+$B$6/5+$B$4/10))</f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120</v>
      </c>
    </row>
    <row r="2" customFormat="false" ht="13.8" hidden="false" customHeight="false" outlineLevel="0" collapsed="false">
      <c r="A2" s="0" t="s">
        <v>121</v>
      </c>
      <c r="B2" s="0" t="n">
        <v>10000</v>
      </c>
    </row>
    <row r="3" customFormat="false" ht="13.8" hidden="false" customHeight="false" outlineLevel="0" collapsed="false">
      <c r="A3" s="0" t="s">
        <v>122</v>
      </c>
      <c r="B3" s="0" t="n">
        <v>9400</v>
      </c>
    </row>
    <row r="4" customFormat="false" ht="13.8" hidden="false" customHeight="false" outlineLevel="0" collapsed="false">
      <c r="A4" s="0" t="s">
        <v>123</v>
      </c>
      <c r="B4" s="0" t="n">
        <v>7000</v>
      </c>
    </row>
    <row r="5" customFormat="false" ht="13.8" hidden="false" customHeight="false" outlineLevel="0" collapsed="false">
      <c r="A5" s="0" t="s">
        <v>124</v>
      </c>
      <c r="B5" s="0" t="n">
        <v>100</v>
      </c>
    </row>
    <row r="6" customFormat="false" ht="13.8" hidden="false" customHeight="false" outlineLevel="0" collapsed="false">
      <c r="A6" s="0" t="s">
        <v>125</v>
      </c>
      <c r="B6" s="0" t="n">
        <v>1000</v>
      </c>
    </row>
    <row r="7" customFormat="false" ht="13.8" hidden="false" customHeight="false" outlineLevel="0" collapsed="false">
      <c r="A7" s="0" t="s">
        <v>126</v>
      </c>
      <c r="B7" s="0" t="n">
        <v>80</v>
      </c>
    </row>
    <row r="8" customFormat="false" ht="13.8" hidden="false" customHeight="false" outlineLevel="0" collapsed="false">
      <c r="A8" s="0" t="s">
        <v>127</v>
      </c>
      <c r="B8" s="0" t="n">
        <v>50</v>
      </c>
    </row>
    <row r="9" customFormat="false" ht="13.8" hidden="false" customHeight="false" outlineLevel="0" collapsed="false">
      <c r="A9" s="0" t="s">
        <v>128</v>
      </c>
      <c r="B9" s="0" t="n">
        <v>2400</v>
      </c>
    </row>
    <row r="10" customFormat="false" ht="13.8" hidden="false" customHeight="false" outlineLevel="0" collapsed="false">
      <c r="A10" s="0" t="s">
        <v>129</v>
      </c>
      <c r="B10" s="0" t="n">
        <v>0.2</v>
      </c>
    </row>
    <row r="11" customFormat="false" ht="13.8" hidden="false" customHeight="false" outlineLevel="0" collapsed="false"/>
    <row r="12" customFormat="false" ht="13.8" hidden="false" customHeight="false" outlineLevel="0" collapsed="false">
      <c r="A12" s="0" t="s">
        <v>130</v>
      </c>
      <c r="B12" s="0" t="n">
        <f aca="false">B9*B5</f>
        <v>240000</v>
      </c>
    </row>
    <row r="13" customFormat="false" ht="13.8" hidden="false" customHeight="false" outlineLevel="0" collapsed="false">
      <c r="A13" s="0" t="s">
        <v>131</v>
      </c>
      <c r="B13" s="0" t="n">
        <f aca="false">B8/B3*100</f>
        <v>0.531914893617021</v>
      </c>
    </row>
    <row r="14" customFormat="false" ht="13.8" hidden="false" customHeight="false" outlineLevel="0" collapsed="false">
      <c r="A14" s="0" t="s">
        <v>132</v>
      </c>
      <c r="B14" s="0" t="n">
        <f aca="false">B4-B12</f>
        <v>-233000</v>
      </c>
    </row>
    <row r="15" customFormat="false" ht="13.8" hidden="false" customHeight="false" outlineLevel="0" collapsed="false">
      <c r="A15" s="0" t="s">
        <v>133</v>
      </c>
      <c r="B15" s="0" t="n">
        <f aca="false">B8+B12</f>
        <v>240050</v>
      </c>
    </row>
    <row r="16" customFormat="false" ht="13.8" hidden="false" customHeight="false" outlineLevel="0" collapsed="false">
      <c r="A16" s="0" t="s">
        <v>134</v>
      </c>
      <c r="B16" s="0" t="str">
        <f aca="false">IF(B13&lt;30,"SAFE",IF(B13&lt;50,"NORMAL",IF(B13&lt;70,"WARNING",IF(B13&lt;90,"DANGER","CRITICAL"))))</f>
        <v>SAFE</v>
      </c>
    </row>
    <row r="17" customFormat="false" ht="13.8" hidden="false" customHeight="false" outlineLevel="0" collapsed="false">
      <c r="A17" s="0" t="s">
        <v>135</v>
      </c>
      <c r="B17" s="0" t="n">
        <f aca="false">MAX(1,INT(B4/B12))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136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1" t="s">
        <v>137</v>
      </c>
      <c r="B3" s="1" t="s">
        <v>138</v>
      </c>
      <c r="C3" s="1" t="s">
        <v>139</v>
      </c>
      <c r="D3" s="1" t="s">
        <v>140</v>
      </c>
      <c r="E3" s="1" t="s">
        <v>141</v>
      </c>
      <c r="F3" s="1" t="s">
        <v>142</v>
      </c>
      <c r="G3" s="1" t="s">
        <v>143</v>
      </c>
    </row>
    <row r="4" customFormat="false" ht="13.8" hidden="false" customHeight="false" outlineLevel="0" collapsed="false">
      <c r="A4" s="0" t="s">
        <v>144</v>
      </c>
      <c r="B4" s="0" t="n">
        <f aca="false">25+AdaptiveEngine!B17/4</f>
        <v>550.690528573198</v>
      </c>
      <c r="C4" s="0" t="n">
        <f aca="false">INT(5+AdaptiveEngine!B17/20)</f>
        <v>110</v>
      </c>
      <c r="D4" s="0" t="s">
        <v>145</v>
      </c>
      <c r="E4" s="0" t="n">
        <f aca="false">500+AdaptiveEngine!B17*6</f>
        <v>13116.5726857568</v>
      </c>
      <c r="F4" s="0" t="n">
        <f aca="false">200+AdaptiveEngine!D17*8</f>
        <v>392</v>
      </c>
      <c r="G4" s="0" t="str">
        <f aca="false">IF(B4&gt;60,"LOW","MEDIUM")</f>
        <v>LOW</v>
      </c>
    </row>
    <row r="5" customFormat="false" ht="13.8" hidden="false" customHeight="false" outlineLevel="0" collapsed="false">
      <c r="A5" s="0" t="s">
        <v>146</v>
      </c>
      <c r="B5" s="0" t="n">
        <v>33</v>
      </c>
      <c r="C5" s="0" t="n">
        <v>8</v>
      </c>
      <c r="D5" s="0" t="s">
        <v>145</v>
      </c>
      <c r="E5" s="0" t="n">
        <v>820</v>
      </c>
      <c r="F5" s="0" t="n">
        <v>400</v>
      </c>
      <c r="G5" s="0" t="s">
        <v>147</v>
      </c>
    </row>
    <row r="6" customFormat="false" ht="13.8" hidden="false" customHeight="false" outlineLevel="0" collapsed="false">
      <c r="A6" s="0" t="s">
        <v>148</v>
      </c>
      <c r="B6" s="0" t="n">
        <v>45</v>
      </c>
      <c r="C6" s="0" t="n">
        <v>10</v>
      </c>
      <c r="D6" s="0" t="s">
        <v>149</v>
      </c>
      <c r="E6" s="0" t="n">
        <v>1200</v>
      </c>
      <c r="F6" s="0" t="n">
        <v>620</v>
      </c>
      <c r="G6" s="0" t="s">
        <v>150</v>
      </c>
    </row>
    <row r="7" customFormat="false" ht="13.8" hidden="false" customHeight="false" outlineLevel="0" collapsed="false">
      <c r="A7" s="0" t="s">
        <v>151</v>
      </c>
      <c r="B7" s="0" t="n">
        <v>60</v>
      </c>
      <c r="C7" s="0" t="n">
        <v>12</v>
      </c>
      <c r="D7" s="0" t="s">
        <v>152</v>
      </c>
      <c r="E7" s="0" t="n">
        <v>1800</v>
      </c>
      <c r="F7" s="0" t="n">
        <v>900</v>
      </c>
      <c r="G7" s="0" t="s">
        <v>150</v>
      </c>
    </row>
    <row r="8" customFormat="false" ht="13.8" hidden="false" customHeight="false" outlineLevel="0" collapsed="false">
      <c r="A8" s="0" t="s">
        <v>153</v>
      </c>
      <c r="B8" s="0" t="n">
        <v>28</v>
      </c>
      <c r="C8" s="0" t="n">
        <v>7</v>
      </c>
      <c r="D8" s="0" t="s">
        <v>154</v>
      </c>
      <c r="E8" s="0" t="n">
        <v>640</v>
      </c>
      <c r="F8" s="0" t="n">
        <v>300</v>
      </c>
      <c r="G8" s="0" t="s">
        <v>155</v>
      </c>
    </row>
    <row r="9" customFormat="false" ht="13.8" hidden="false" customHeight="false" outlineLevel="0" collapsed="false">
      <c r="A9" s="0" t="s">
        <v>156</v>
      </c>
      <c r="B9" s="0" t="n">
        <v>72</v>
      </c>
      <c r="C9" s="0" t="n">
        <v>14</v>
      </c>
      <c r="D9" s="0" t="s">
        <v>152</v>
      </c>
      <c r="E9" s="0" t="n">
        <v>2600</v>
      </c>
      <c r="F9" s="0" t="n">
        <v>1200</v>
      </c>
      <c r="G9" s="0" t="s">
        <v>157</v>
      </c>
    </row>
    <row r="10" customFormat="false" ht="13.8" hidden="false" customHeight="false" outlineLevel="0" collapsed="false">
      <c r="A10" s="0" t="s">
        <v>158</v>
      </c>
      <c r="B10" s="0" t="n">
        <v>55</v>
      </c>
      <c r="C10" s="0" t="n">
        <v>11</v>
      </c>
      <c r="D10" s="0" t="s">
        <v>149</v>
      </c>
      <c r="E10" s="0" t="n">
        <v>1500</v>
      </c>
      <c r="F10" s="0" t="n">
        <v>760</v>
      </c>
      <c r="G10" s="0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159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1" t="s">
        <v>160</v>
      </c>
      <c r="B3" s="1" t="s">
        <v>121</v>
      </c>
      <c r="C3" s="1" t="s">
        <v>122</v>
      </c>
      <c r="D3" s="1" t="s">
        <v>161</v>
      </c>
      <c r="E3" s="1" t="s">
        <v>162</v>
      </c>
      <c r="F3" s="1" t="s">
        <v>69</v>
      </c>
    </row>
    <row r="4" customFormat="false" ht="13.8" hidden="false" customHeight="false" outlineLevel="0" collapsed="false">
      <c r="A4" s="0" t="n">
        <v>0</v>
      </c>
      <c r="B4" s="0" t="n">
        <v>10000</v>
      </c>
      <c r="C4" s="0" t="n">
        <v>10000</v>
      </c>
      <c r="D4" s="0" t="n">
        <v>0</v>
      </c>
      <c r="E4" s="0" t="n">
        <v>0</v>
      </c>
      <c r="F4" s="0" t="n">
        <v>24</v>
      </c>
    </row>
    <row r="5" customFormat="false" ht="13.8" hidden="false" customHeight="false" outlineLevel="0" collapsed="false">
      <c r="A5" s="0" t="n">
        <v>1</v>
      </c>
      <c r="B5" s="0" t="n">
        <v>10000</v>
      </c>
      <c r="C5" s="0" t="n">
        <v>9800</v>
      </c>
      <c r="D5" s="0" t="n">
        <v>2</v>
      </c>
      <c r="E5" s="0" t="n">
        <v>10</v>
      </c>
      <c r="F5" s="0" t="n">
        <v>28</v>
      </c>
    </row>
    <row r="6" customFormat="false" ht="13.8" hidden="false" customHeight="false" outlineLevel="0" collapsed="false">
      <c r="A6" s="0" t="n">
        <v>2</v>
      </c>
      <c r="B6" s="0" t="n">
        <v>10000</v>
      </c>
      <c r="C6" s="0" t="n">
        <v>9500</v>
      </c>
      <c r="D6" s="0" t="n">
        <v>5</v>
      </c>
      <c r="E6" s="0" t="n">
        <v>20</v>
      </c>
      <c r="F6" s="0" t="n">
        <v>35</v>
      </c>
    </row>
    <row r="7" customFormat="false" ht="13.8" hidden="false" customHeight="false" outlineLevel="0" collapsed="false">
      <c r="A7" s="0" t="n">
        <v>3</v>
      </c>
      <c r="B7" s="0" t="n">
        <v>10000</v>
      </c>
      <c r="C7" s="0" t="n">
        <v>9300</v>
      </c>
      <c r="D7" s="0" t="n">
        <v>7</v>
      </c>
      <c r="E7" s="0" t="n">
        <v>35</v>
      </c>
      <c r="F7" s="0" t="n">
        <v>42</v>
      </c>
    </row>
    <row r="8" customFormat="false" ht="13.8" hidden="false" customHeight="false" outlineLevel="0" collapsed="false">
      <c r="A8" s="0" t="n">
        <v>4</v>
      </c>
      <c r="B8" s="0" t="n">
        <v>10000</v>
      </c>
      <c r="C8" s="0" t="n">
        <v>9400</v>
      </c>
      <c r="D8" s="0" t="n">
        <v>6</v>
      </c>
      <c r="E8" s="0" t="n">
        <v>50</v>
      </c>
      <c r="F8" s="0" t="n">
        <v>39</v>
      </c>
    </row>
    <row r="9" customFormat="false" ht="13.8" hidden="false" customHeight="false" outlineLevel="0" collapsed="false">
      <c r="A9" s="0" t="n">
        <v>5</v>
      </c>
      <c r="B9" s="0" t="n">
        <v>10000</v>
      </c>
      <c r="C9" s="0" t="n">
        <v>9700</v>
      </c>
      <c r="D9" s="0" t="n">
        <v>3</v>
      </c>
      <c r="E9" s="0" t="n">
        <v>72</v>
      </c>
      <c r="F9" s="0" t="n">
        <v>32</v>
      </c>
    </row>
    <row r="10" customFormat="false" ht="13.8" hidden="false" customHeight="false" outlineLevel="0" collapsed="false">
      <c r="A10" s="0" t="n">
        <v>6</v>
      </c>
      <c r="B10" s="0" t="n">
        <v>10000</v>
      </c>
      <c r="C10" s="0" t="n">
        <v>9950</v>
      </c>
      <c r="D10" s="0" t="n">
        <v>1</v>
      </c>
      <c r="E10" s="0" t="n">
        <v>90</v>
      </c>
      <c r="F10" s="0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163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1" t="s">
        <v>21</v>
      </c>
      <c r="B3" s="1" t="s">
        <v>164</v>
      </c>
      <c r="C3" s="1" t="s">
        <v>165</v>
      </c>
      <c r="D3" s="1" t="s">
        <v>166</v>
      </c>
      <c r="E3" s="1" t="s">
        <v>167</v>
      </c>
    </row>
    <row r="4" customFormat="false" ht="13.8" hidden="false" customHeight="false" outlineLevel="0" collapsed="false">
      <c r="A4" s="0" t="n">
        <v>1</v>
      </c>
      <c r="B4" s="0" t="n">
        <v>120</v>
      </c>
      <c r="C4" s="0" t="n">
        <v>8</v>
      </c>
      <c r="D4" s="0" t="n">
        <v>1</v>
      </c>
      <c r="E4" s="0" t="s">
        <v>168</v>
      </c>
    </row>
    <row r="5" customFormat="false" ht="13.8" hidden="false" customHeight="false" outlineLevel="0" collapsed="false">
      <c r="A5" s="0" t="n">
        <v>2</v>
      </c>
      <c r="B5" s="0" t="n">
        <v>260</v>
      </c>
      <c r="C5" s="0" t="n">
        <v>16</v>
      </c>
      <c r="D5" s="0" t="n">
        <v>2</v>
      </c>
      <c r="E5" s="0" t="s">
        <v>168</v>
      </c>
    </row>
    <row r="6" customFormat="false" ht="13.8" hidden="false" customHeight="false" outlineLevel="0" collapsed="false">
      <c r="A6" s="0" t="n">
        <v>3</v>
      </c>
      <c r="B6" s="0" t="n">
        <v>430</v>
      </c>
      <c r="C6" s="0" t="n">
        <v>28</v>
      </c>
      <c r="D6" s="0" t="n">
        <v>3</v>
      </c>
      <c r="E6" s="0" t="s">
        <v>168</v>
      </c>
    </row>
    <row r="7" customFormat="false" ht="13.8" hidden="false" customHeight="false" outlineLevel="0" collapsed="false">
      <c r="A7" s="0" t="n">
        <v>4</v>
      </c>
      <c r="B7" s="0" t="n">
        <v>660</v>
      </c>
      <c r="C7" s="0" t="n">
        <v>45</v>
      </c>
      <c r="D7" s="0" t="n">
        <v>4</v>
      </c>
      <c r="E7" s="0" t="s">
        <v>169</v>
      </c>
    </row>
    <row r="8" customFormat="false" ht="13.8" hidden="false" customHeight="false" outlineLevel="0" collapsed="false">
      <c r="A8" s="0" t="n">
        <v>5</v>
      </c>
      <c r="B8" s="0" t="n">
        <v>980</v>
      </c>
      <c r="C8" s="0" t="n">
        <v>70</v>
      </c>
      <c r="D8" s="0" t="n">
        <v>6</v>
      </c>
      <c r="E8" s="0" t="s">
        <v>169</v>
      </c>
    </row>
    <row r="9" customFormat="false" ht="13.8" hidden="false" customHeight="false" outlineLevel="0" collapsed="false">
      <c r="A9" s="0" t="n">
        <v>6</v>
      </c>
      <c r="B9" s="0" t="n">
        <v>1300</v>
      </c>
      <c r="C9" s="0" t="n">
        <v>95</v>
      </c>
      <c r="D9" s="0" t="n">
        <v>8</v>
      </c>
      <c r="E9" s="0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170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1" t="s">
        <v>171</v>
      </c>
      <c r="B3" s="1" t="s">
        <v>172</v>
      </c>
      <c r="C3" s="1" t="s">
        <v>173</v>
      </c>
    </row>
    <row r="4" customFormat="false" ht="13.8" hidden="false" customHeight="false" outlineLevel="0" collapsed="false">
      <c r="A4" s="0" t="s">
        <v>174</v>
      </c>
      <c r="B4" s="0" t="s">
        <v>175</v>
      </c>
      <c r="C4" s="0" t="s">
        <v>154</v>
      </c>
    </row>
    <row r="5" customFormat="false" ht="13.8" hidden="false" customHeight="false" outlineLevel="0" collapsed="false">
      <c r="A5" s="0" t="s">
        <v>176</v>
      </c>
      <c r="B5" s="0" t="s">
        <v>177</v>
      </c>
      <c r="C5" s="0" t="s">
        <v>149</v>
      </c>
    </row>
    <row r="6" customFormat="false" ht="13.8" hidden="false" customHeight="false" outlineLevel="0" collapsed="false">
      <c r="A6" s="0" t="s">
        <v>178</v>
      </c>
      <c r="B6" s="0" t="s">
        <v>177</v>
      </c>
      <c r="C6" s="0" t="s">
        <v>145</v>
      </c>
    </row>
    <row r="7" customFormat="false" ht="13.8" hidden="false" customHeight="false" outlineLevel="0" collapsed="false">
      <c r="A7" s="0" t="s">
        <v>179</v>
      </c>
      <c r="B7" s="0" t="s">
        <v>177</v>
      </c>
      <c r="C7" s="0" t="s">
        <v>149</v>
      </c>
    </row>
    <row r="8" customFormat="false" ht="13.8" hidden="false" customHeight="false" outlineLevel="0" collapsed="false">
      <c r="A8" s="0" t="s">
        <v>180</v>
      </c>
      <c r="B8" s="0" t="s">
        <v>181</v>
      </c>
      <c r="C8" s="0" t="s">
        <v>152</v>
      </c>
    </row>
    <row r="9" customFormat="false" ht="13.8" hidden="false" customHeight="false" outlineLevel="0" collapsed="false">
      <c r="A9" s="0" t="s">
        <v>182</v>
      </c>
      <c r="B9" s="0" t="s">
        <v>181</v>
      </c>
      <c r="C9" s="0" t="s">
        <v>152</v>
      </c>
    </row>
    <row r="10" customFormat="false" ht="13.8" hidden="false" customHeight="false" outlineLevel="0" collapsed="false">
      <c r="A10" s="0" t="s">
        <v>183</v>
      </c>
      <c r="B10" s="0" t="s">
        <v>181</v>
      </c>
      <c r="C10" s="0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184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1" t="s">
        <v>185</v>
      </c>
      <c r="B3" s="1" t="s">
        <v>186</v>
      </c>
    </row>
    <row r="4" customFormat="false" ht="13.8" hidden="false" customHeight="false" outlineLevel="0" collapsed="false">
      <c r="A4" s="0" t="s">
        <v>187</v>
      </c>
      <c r="B4" s="0" t="n">
        <f aca="false">MIN(100,MAX(0,0.35*EquityModel!D6+0.35*MarginControl!B13+0.2*AdaptiveEngine!B2+0.1*MarketModel!B3/2))</f>
        <v>7.93617021276596</v>
      </c>
    </row>
    <row r="5" customFormat="false" ht="13.8" hidden="false" customHeight="false" outlineLevel="0" collapsed="false">
      <c r="A5" s="0" t="s">
        <v>188</v>
      </c>
      <c r="B5" s="0" t="str">
        <f aca="false">IF(B4&lt;20,"SAFE",IF(B4&lt;40,"NORMAL",IF(B4&lt;60,"WARNING",IF(B4&lt;80,"DANGER","CRITICAL"))))</f>
        <v>SAFE</v>
      </c>
    </row>
    <row r="6" customFormat="false" ht="13.8" hidden="false" customHeight="false" outlineLevel="0" collapsed="false">
      <c r="A6" s="0" t="s">
        <v>105</v>
      </c>
      <c r="B6" s="0" t="n">
        <f aca="false">AdaptiveEngine!B2</f>
        <v>10</v>
      </c>
    </row>
    <row r="7" customFormat="false" ht="13.8" hidden="false" customHeight="false" outlineLevel="0" collapsed="false">
      <c r="A7" s="0" t="s">
        <v>189</v>
      </c>
      <c r="B7" s="0" t="n">
        <f aca="false">MAX(0,100-B4)</f>
        <v>92.063829787234</v>
      </c>
    </row>
    <row r="8" customFormat="false" ht="13.8" hidden="false" customHeight="false" outlineLevel="0" collapsed="false">
      <c r="A8" s="0" t="s">
        <v>190</v>
      </c>
      <c r="B8" s="0" t="str">
        <f aca="false">IF(OR(MarginControl!B13&gt;70,EquityModel!D6&gt;25,MarketModel!B3&gt;200,AdaptiveEngine!D17&gt;25),"STOP NEW LEVELS","ALLOW")</f>
        <v>ALLOW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2026-05-18T21:00:19Z</dcterms:created>
  <dc:creator>openpyxl</dc:creator>
  <dc:description/>
  <dc:language>en-US</dc:language>
  <cp:lastModifiedBy/>
  <dcterms:modified xsi:type="dcterms:W3CDTF">2026-05-18T21:00:19Z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