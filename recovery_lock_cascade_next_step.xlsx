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IFERROR(SUMPRODUCT((B7:B106="BUY")*E7:E106*D7:D106)/SUMIFS(D7:D106,B7:B106,"BUY"),0)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IFERROR(SUMPRODUCT((B7:B106="SELL")*E7:E106*D7:D106)/SUMIFS(D7:D106,B7:B106,"SELL"),0)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10">
      <c r="A110" t="inlineStr">
        <is>
          <t>TailType</t>
        </is>
      </c>
      <c r="B110" t="inlineStr">
        <is>
          <t>SELL</t>
        </is>
      </c>
    </row>
    <row r="111">
      <c r="A111" t="inlineStr">
        <is>
          <t>TailTicket</t>
        </is>
      </c>
      <c r="B111">
        <f>IFERROR(INDEX(A7:A106,MATCH(MINIFS(H7:H106,B7:B106,"SELL",H7:H106,"&lt;0"),H7:H106,0)),"N/A")</f>
        <v/>
      </c>
    </row>
    <row r="112">
      <c r="A112" t="inlineStr">
        <is>
          <t>TailLot</t>
        </is>
      </c>
      <c r="B112">
        <f>IF(B111="N/A",0,XLOOKUP(B111,A7:A106,D7:D106,0))</f>
        <v/>
      </c>
    </row>
    <row r="113">
      <c r="A113" t="inlineStr">
        <is>
          <t>TailOpenPrice</t>
        </is>
      </c>
      <c r="B113">
        <f>IF(B111="N/A",0,XLOOKUP(B111,A7:A106,E7:E106,0))</f>
        <v/>
      </c>
    </row>
    <row r="114">
      <c r="A114" t="inlineStr">
        <is>
          <t>TailLossMoney</t>
        </is>
      </c>
      <c r="B114">
        <f>IF(B111="N/A",0,ABS(XLOOKUP(B111,A7:A106,H7:H106,0)))</f>
        <v/>
      </c>
    </row>
    <row r="115">
      <c r="A115" t="inlineStr">
        <is>
          <t>TailLossPerLot</t>
        </is>
      </c>
      <c r="B115">
        <f>IF(B112=0,0,ABS(B114/B112))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IFERROR(SUMPRODUCT((B7:B106="BUY")*E7:E106*D7:D106)/SUMIFS(D7:D106,B7:B106,"BUY"),0)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IFERROR(SUMPRODUCT((B7:B106="SELL")*E7:E106*D7:D106)/SUMIFS(D7:D106,B7:B106,"SELL"),0)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10">
      <c r="A110" t="inlineStr">
        <is>
          <t>TailType</t>
        </is>
      </c>
      <c r="B110" t="inlineStr">
        <is>
          <t>BUY</t>
        </is>
      </c>
    </row>
    <row r="111">
      <c r="A111" t="inlineStr">
        <is>
          <t>TailTicket</t>
        </is>
      </c>
      <c r="B111">
        <f>IFERROR(INDEX(A7:A106,MATCH(MINIFS(H7:H106,B7:B106,"BUY",H7:H106,"&lt;0"),H7:H106,0)),"N/A")</f>
        <v/>
      </c>
    </row>
    <row r="112">
      <c r="A112" t="inlineStr">
        <is>
          <t>TailLot</t>
        </is>
      </c>
      <c r="B112">
        <f>IF(B111="N/A",0,XLOOKUP(B111,A7:A106,D7:D106,0))</f>
        <v/>
      </c>
    </row>
    <row r="113">
      <c r="A113" t="inlineStr">
        <is>
          <t>TailOpenPrice</t>
        </is>
      </c>
      <c r="B113">
        <f>IF(B111="N/A",0,XLOOKUP(B111,A7:A106,E7:E106,0))</f>
        <v/>
      </c>
    </row>
    <row r="114">
      <c r="A114" t="inlineStr">
        <is>
          <t>TailLossMoney</t>
        </is>
      </c>
      <c r="B114">
        <f>IF(B111="N/A",0,ABS(XLOOKUP(B111,A7:A106,H7:H106,0)))</f>
        <v/>
      </c>
    </row>
    <row r="115">
      <c r="A115" t="inlineStr">
        <is>
          <t>TailLossPerLot</t>
        </is>
      </c>
      <c r="B115">
        <f>IF(B112=0,0,ABS(B114/B112))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Scenario_UP!B110</f>
        <v/>
      </c>
    </row>
    <row r="3">
      <c r="A3" t="inlineStr">
        <is>
          <t>TailLot</t>
        </is>
      </c>
      <c r="B3">
        <f>Scenario_UP!B112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XLOOKUP(B4,Settings!A21:A24,Settings!B21:B24)</f>
        <v/>
      </c>
    </row>
    <row r="6">
      <c r="A6" t="inlineStr">
        <is>
          <t>SmallRatio</t>
        </is>
      </c>
      <c r="B6">
        <f>XLOOKUP(B4,Settings!A21:A24,Settings!C21:C24)</f>
        <v/>
      </c>
    </row>
    <row r="7">
      <c r="A7" t="inlineStr">
        <is>
          <t>BigType</t>
        </is>
      </c>
      <c r="B7">
        <f>IF(B2="BUY","BUY","SELL")</f>
        <v/>
      </c>
    </row>
    <row r="8">
      <c r="A8" t="inlineStr">
        <is>
          <t>SmallType</t>
        </is>
      </c>
      <c r="B8">
        <f>IF(B2="BUY","SELL","BUY")</f>
        <v/>
      </c>
    </row>
    <row r="9">
      <c r="A9" t="inlineStr">
        <is>
          <t>BigLotRaw</t>
        </is>
      </c>
      <c r="B9">
        <f>B3*B5</f>
        <v/>
      </c>
    </row>
    <row r="10">
      <c r="A10" t="inlineStr">
        <is>
          <t>SmallLotRaw</t>
        </is>
      </c>
      <c r="B10">
        <f>B3*B6</f>
        <v/>
      </c>
    </row>
    <row r="11">
      <c r="A11" t="inlineStr">
        <is>
          <t>BigLot</t>
        </is>
      </c>
      <c r="B11">
        <f>FLOOR(B9,Settings!$B$7)</f>
        <v/>
      </c>
    </row>
    <row r="12">
      <c r="A12" t="inlineStr">
        <is>
          <t>SmallLot</t>
        </is>
      </c>
      <c r="B12">
        <f>FLOOR(B10,Settings!$B$7)</f>
        <v/>
      </c>
    </row>
    <row r="13">
      <c r="A13" t="inlineStr">
        <is>
          <t>ActiveSections</t>
        </is>
      </c>
      <c r="B13">
        <f>COUNTIFS(CurrentPositions!C2:C200,"SECTION_BIG")</f>
        <v/>
      </c>
    </row>
    <row r="14">
      <c r="A14" t="inlineStr">
        <is>
          <t>TotalLotAfterOpen</t>
        </is>
      </c>
      <c r="B14">
        <f>SUM(CurrentPositions!D2:D200)+B11+B12</f>
        <v/>
      </c>
    </row>
    <row r="15">
      <c r="A15" t="inlineStr">
        <is>
          <t>NetLotAfterOpen</t>
        </is>
      </c>
      <c r="B15">
        <f>ABS(SUMIFS(CurrentPositions!D2:D200,CurrentPositions!B2:B200,"BUY")+IF(B7="BUY",B11,0)+IF(B8="BUY",B12,0)-SUMIFS(CurrentPositions!D2:D200,CurrentPositions!B2:B200,"SELL")-IF(B7="SELL",B11,0)-IF(B8="SELL",B12,0))</f>
        <v/>
      </c>
    </row>
    <row r="16">
      <c r="A16" t="inlineStr">
        <is>
          <t>CanOpenSection</t>
        </is>
      </c>
      <c r="B16">
        <f>IF(AND(B11&gt;=Settings!$B$6,B12&gt;=Settings!$B$6,B12&lt;B11,B11&lt;=B3,B13&lt;Settings!$B$8,B14&lt;=Settings!$B$15,B15&lt;=Settings!$B$16),"YES","NO")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Costs</t>
        </is>
      </c>
      <c r="L20" s="1" t="inlineStr">
        <is>
          <t>CycleProfit</t>
        </is>
      </c>
      <c r="M20" s="1" t="inlineStr">
        <is>
          <t>CanCloseSection</t>
        </is>
      </c>
      <c r="N20" s="1" t="inlineStr">
        <is>
          <t>ReserveAdd</t>
        </is>
      </c>
      <c r="O20" s="1" t="inlineStr">
        <is>
          <t>RecoveryAdd</t>
        </is>
      </c>
      <c r="P20" s="1" t="inlineStr">
        <is>
          <t>NewGlobalReserve</t>
        </is>
      </c>
      <c r="Q20" s="1" t="inlineStr">
        <is>
          <t>NewRecoveryFund</t>
        </is>
      </c>
    </row>
    <row r="21">
      <c r="A21" t="inlineStr">
        <is>
          <t>S1</t>
        </is>
      </c>
      <c r="B21">
        <f>INDEX(CurrentPositions!B2:B200,MATCH("SECTION_BIG",CurrentPositions!C2:C200,0))</f>
        <v/>
      </c>
      <c r="C21">
        <f>INDEX(CurrentPositions!D2:D200,MATCH("SECTION_BIG",CurrentPositions!C2:C200,0))</f>
        <v/>
      </c>
      <c r="D21">
        <f>INDEX(CurrentPositions!E2:E200,MATCH("SECTION_BIG",CurrentPositions!C2:C200,0))</f>
        <v/>
      </c>
      <c r="E21">
        <f>INDEX(CurrentPositions!B2:B200,MATCH("SECTION_SMALL",CurrentPositions!C2:C200,0))</f>
        <v/>
      </c>
      <c r="F21">
        <f>INDEX(CurrentPositions!D2:D200,MATCH("SECTION_SMALL",CurrentPositions!C2:C200,0))</f>
        <v/>
      </c>
      <c r="G21">
        <f>INDEX(CurrentPositions!E2:E200,MATCH("SECTION_SMALL",CurrentPositions!C2:C200,0))</f>
        <v/>
      </c>
      <c r="H21">
        <f>Scenario_UP!B4</f>
        <v/>
      </c>
      <c r="I21">
        <f>IF(B21="BUY",(H21-D21)/Settings!$B$3*C21*Settings!$B$4,(D21-H21)/Settings!$B$3*C21*Settings!$B$4)</f>
        <v/>
      </c>
      <c r="J21">
        <f>IF(E21="BUY",(H21-G21)/Settings!$B$3*F21*Settings!$B$4,(G21-H21)/Settings!$B$3*F21*Settings!$B$4)</f>
        <v/>
      </c>
      <c r="K21">
        <f>((Settings!$B$11*2)*Settings!$B$4*(C21+F21))+(Settings!$B$12*(C21+F21))+(Settings!$B$13*(C21+F21))</f>
        <v/>
      </c>
      <c r="L21">
        <f>I21+J21-K21</f>
        <v/>
      </c>
      <c r="M21">
        <f>IF(L21&gt;0,"YES","NO")</f>
        <v/>
      </c>
      <c r="N21">
        <f>IF(L21&gt;0,L21*Settings!$B$9,0)</f>
        <v/>
      </c>
      <c r="O21">
        <f>IF(L21&gt;0,L21*Settings!$B$10,0)</f>
        <v/>
      </c>
      <c r="P21">
        <f>Settings!$B$17+N21</f>
        <v/>
      </c>
      <c r="Q21">
        <f>Settings!$B$18+O21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Scenario_DOWN!B110</f>
        <v/>
      </c>
    </row>
    <row r="3">
      <c r="A3" t="inlineStr">
        <is>
          <t>TailLot</t>
        </is>
      </c>
      <c r="B3">
        <f>Scenario_DOWN!B112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XLOOKUP(B4,Settings!A21:A24,Settings!B21:B24)</f>
        <v/>
      </c>
    </row>
    <row r="6">
      <c r="A6" t="inlineStr">
        <is>
          <t>SmallRatio</t>
        </is>
      </c>
      <c r="B6">
        <f>XLOOKUP(B4,Settings!A21:A24,Settings!C21:C24)</f>
        <v/>
      </c>
    </row>
    <row r="7">
      <c r="A7" t="inlineStr">
        <is>
          <t>BigType</t>
        </is>
      </c>
      <c r="B7">
        <f>IF(B2="BUY","BUY","SELL")</f>
        <v/>
      </c>
    </row>
    <row r="8">
      <c r="A8" t="inlineStr">
        <is>
          <t>SmallType</t>
        </is>
      </c>
      <c r="B8">
        <f>IF(B2="BUY","SELL","BUY")</f>
        <v/>
      </c>
    </row>
    <row r="9">
      <c r="A9" t="inlineStr">
        <is>
          <t>BigLotRaw</t>
        </is>
      </c>
      <c r="B9">
        <f>B3*B5</f>
        <v/>
      </c>
    </row>
    <row r="10">
      <c r="A10" t="inlineStr">
        <is>
          <t>SmallLotRaw</t>
        </is>
      </c>
      <c r="B10">
        <f>B3*B6</f>
        <v/>
      </c>
    </row>
    <row r="11">
      <c r="A11" t="inlineStr">
        <is>
          <t>BigLot</t>
        </is>
      </c>
      <c r="B11">
        <f>FLOOR(B9,Settings!$B$7)</f>
        <v/>
      </c>
    </row>
    <row r="12">
      <c r="A12" t="inlineStr">
        <is>
          <t>SmallLot</t>
        </is>
      </c>
      <c r="B12">
        <f>FLOOR(B10,Settings!$B$7)</f>
        <v/>
      </c>
    </row>
    <row r="13">
      <c r="A13" t="inlineStr">
        <is>
          <t>ActiveSections</t>
        </is>
      </c>
      <c r="B13">
        <f>COUNTIFS(CurrentPositions!C2:C200,"SECTION_BIG")</f>
        <v/>
      </c>
    </row>
    <row r="14">
      <c r="A14" t="inlineStr">
        <is>
          <t>TotalLotAfterOpen</t>
        </is>
      </c>
      <c r="B14">
        <f>SUM(CurrentPositions!D2:D200)+B11+B12</f>
        <v/>
      </c>
    </row>
    <row r="15">
      <c r="A15" t="inlineStr">
        <is>
          <t>NetLotAfterOpen</t>
        </is>
      </c>
      <c r="B15">
        <f>ABS(SUMIFS(CurrentPositions!D2:D200,CurrentPositions!B2:B200,"BUY")+IF(B7="BUY",B11,0)+IF(B8="BUY",B12,0)-SUMIFS(CurrentPositions!D2:D200,CurrentPositions!B2:B200,"SELL")-IF(B7="SELL",B11,0)-IF(B8="SELL",B12,0))</f>
        <v/>
      </c>
    </row>
    <row r="16">
      <c r="A16" t="inlineStr">
        <is>
          <t>CanOpenSection</t>
        </is>
      </c>
      <c r="B16">
        <f>IF(AND(B11&gt;=Settings!$B$6,B12&gt;=Settings!$B$6,B12&lt;B11,B11&lt;=B3,B13&lt;Settings!$B$8,B14&lt;=Settings!$B$15,B15&lt;=Settings!$B$16),"YES","NO")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Costs</t>
        </is>
      </c>
      <c r="L20" s="1" t="inlineStr">
        <is>
          <t>CycleProfit</t>
        </is>
      </c>
      <c r="M20" s="1" t="inlineStr">
        <is>
          <t>CanCloseSection</t>
        </is>
      </c>
      <c r="N20" s="1" t="inlineStr">
        <is>
          <t>ReserveAdd</t>
        </is>
      </c>
      <c r="O20" s="1" t="inlineStr">
        <is>
          <t>RecoveryAdd</t>
        </is>
      </c>
      <c r="P20" s="1" t="inlineStr">
        <is>
          <t>NewGlobalReserve</t>
        </is>
      </c>
      <c r="Q20" s="1" t="inlineStr">
        <is>
          <t>NewRecoveryFund</t>
        </is>
      </c>
    </row>
    <row r="21">
      <c r="A21" t="inlineStr">
        <is>
          <t>S1</t>
        </is>
      </c>
      <c r="B21">
        <f>INDEX(CurrentPositions!B2:B200,MATCH("SECTION_BIG",CurrentPositions!C2:C200,0))</f>
        <v/>
      </c>
      <c r="C21">
        <f>INDEX(CurrentPositions!D2:D200,MATCH("SECTION_BIG",CurrentPositions!C2:C200,0))</f>
        <v/>
      </c>
      <c r="D21">
        <f>INDEX(CurrentPositions!E2:E200,MATCH("SECTION_BIG",CurrentPositions!C2:C200,0))</f>
        <v/>
      </c>
      <c r="E21">
        <f>INDEX(CurrentPositions!B2:B200,MATCH("SECTION_SMALL",CurrentPositions!C2:C200,0))</f>
        <v/>
      </c>
      <c r="F21">
        <f>INDEX(CurrentPositions!D2:D200,MATCH("SECTION_SMALL",CurrentPositions!C2:C200,0))</f>
        <v/>
      </c>
      <c r="G21">
        <f>INDEX(CurrentPositions!E2:E200,MATCH("SECTION_SMALL",CurrentPositions!C2:C200,0))</f>
        <v/>
      </c>
      <c r="H21">
        <f>Scenario_DOWN!B4</f>
        <v/>
      </c>
      <c r="I21">
        <f>IF(B21="BUY",(H21-D21)/Settings!$B$3*C21*Settings!$B$4,(D21-H21)/Settings!$B$3*C21*Settings!$B$4)</f>
        <v/>
      </c>
      <c r="J21">
        <f>IF(E21="BUY",(H21-G21)/Settings!$B$3*F21*Settings!$B$4,(G21-H21)/Settings!$B$3*F21*Settings!$B$4)</f>
        <v/>
      </c>
      <c r="K21">
        <f>((Settings!$B$11*2)*Settings!$B$4*(C21+F21))+(Settings!$B$12*(C21+F21))+(Settings!$B$13*(C21+F21))</f>
        <v/>
      </c>
      <c r="L21">
        <f>I21+J21-K21</f>
        <v/>
      </c>
      <c r="M21">
        <f>IF(L21&gt;0,"YES","NO")</f>
        <v/>
      </c>
      <c r="N21">
        <f>IF(L21&gt;0,L21*Settings!$B$9,0)</f>
        <v/>
      </c>
      <c r="O21">
        <f>IF(L21&gt;0,L21*Settings!$B$10,0)</f>
        <v/>
      </c>
      <c r="P21">
        <f>Settings!$B$17+N21</f>
        <v/>
      </c>
      <c r="Q21">
        <f>Settings!$B$18+O21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Scenario_UP!B110</f>
        <v/>
      </c>
    </row>
    <row r="3">
      <c r="A3" t="inlineStr">
        <is>
          <t>TailTicket</t>
        </is>
      </c>
      <c r="B3">
        <f>Scenario_UP!B111</f>
        <v/>
      </c>
    </row>
    <row r="4">
      <c r="A4" t="inlineStr">
        <is>
          <t>TailLot</t>
        </is>
      </c>
      <c r="B4">
        <f>Scenario_UP!B112</f>
        <v/>
      </c>
    </row>
    <row r="5">
      <c r="A5" t="inlineStr">
        <is>
          <t>TailLossMoney</t>
        </is>
      </c>
      <c r="B5">
        <f>Scenario_UP!B114</f>
        <v/>
      </c>
    </row>
    <row r="6">
      <c r="A6" t="inlineStr">
        <is>
          <t>TailLossPerLot</t>
        </is>
      </c>
      <c r="B6">
        <f>Scenario_UP!B115</f>
        <v/>
      </c>
    </row>
    <row r="7">
      <c r="A7" t="inlineStr">
        <is>
          <t>CanCloseSection</t>
        </is>
      </c>
      <c r="B7">
        <f>SectionCalculator_UP!M21</f>
        <v/>
      </c>
    </row>
    <row r="8">
      <c r="A8" t="inlineStr">
        <is>
          <t>RecoveryFundAfterCycle</t>
        </is>
      </c>
      <c r="B8">
        <f>SectionCalculator_UP!Q21</f>
        <v/>
      </c>
    </row>
    <row r="9">
      <c r="A9" t="inlineStr">
        <is>
          <t>CloseLotRaw</t>
        </is>
      </c>
      <c r="B9">
        <f>IF(OR(B6&lt;&gt;"YES",B5=0),0,B7/B5)</f>
        <v/>
      </c>
    </row>
    <row r="10">
      <c r="A10" t="inlineStr">
        <is>
          <t>CloseLotRounded</t>
        </is>
      </c>
      <c r="B10">
        <f>FLOOR(B8,Settings!$B$7)</f>
        <v/>
      </c>
    </row>
    <row r="11">
      <c r="A11" t="inlineStr">
        <is>
          <t>CloseLotFinal</t>
        </is>
      </c>
      <c r="B11">
        <f>MIN(B9,B3)</f>
        <v/>
      </c>
    </row>
    <row r="12">
      <c r="A12" t="inlineStr">
        <is>
          <t>CloseAllowed</t>
        </is>
      </c>
      <c r="B12">
        <f>IF(AND(B6="YES",B10&gt;=Settings!$B$6),"YES","NO")</f>
        <v/>
      </c>
    </row>
    <row r="13">
      <c r="A13" t="inlineStr">
        <is>
          <t>TailCloseLoss</t>
        </is>
      </c>
      <c r="B13">
        <f>B10*B5</f>
        <v/>
      </c>
    </row>
    <row r="14">
      <c r="A14" t="inlineStr">
        <is>
          <t>RecoveryFundAfterClose</t>
        </is>
      </c>
      <c r="B14">
        <f>B7-B12</f>
        <v/>
      </c>
    </row>
    <row r="15">
      <c r="A15" t="inlineStr">
        <is>
          <t>TailLotAfterClose</t>
        </is>
      </c>
      <c r="B15">
        <f>B3-B10</f>
        <v/>
      </c>
    </row>
    <row r="16">
      <c r="A16" t="inlineStr">
        <is>
          <t>Rule_TailCloseLoss&lt;=RecoveryFund</t>
        </is>
      </c>
      <c r="B16">
        <f>IF(B12&lt;=B7,"OK","ERROR")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Scenario_DOWN!B110</f>
        <v/>
      </c>
    </row>
    <row r="3">
      <c r="A3" t="inlineStr">
        <is>
          <t>TailTicket</t>
        </is>
      </c>
      <c r="B3">
        <f>Scenario_DOWN!B111</f>
        <v/>
      </c>
    </row>
    <row r="4">
      <c r="A4" t="inlineStr">
        <is>
          <t>TailLot</t>
        </is>
      </c>
      <c r="B4">
        <f>Scenario_DOWN!B112</f>
        <v/>
      </c>
    </row>
    <row r="5">
      <c r="A5" t="inlineStr">
        <is>
          <t>TailLossMoney</t>
        </is>
      </c>
      <c r="B5">
        <f>Scenario_DOWN!B114</f>
        <v/>
      </c>
    </row>
    <row r="6">
      <c r="A6" t="inlineStr">
        <is>
          <t>TailLossPerLot</t>
        </is>
      </c>
      <c r="B6">
        <f>Scenario_DOWN!B115</f>
        <v/>
      </c>
    </row>
    <row r="7">
      <c r="A7" t="inlineStr">
        <is>
          <t>CanCloseSection</t>
        </is>
      </c>
      <c r="B7">
        <f>SectionCalculator_DOWN!M21</f>
        <v/>
      </c>
    </row>
    <row r="8">
      <c r="A8" t="inlineStr">
        <is>
          <t>RecoveryFundAfterCycle</t>
        </is>
      </c>
      <c r="B8">
        <f>SectionCalculator_DOWN!Q21</f>
        <v/>
      </c>
    </row>
    <row r="9">
      <c r="A9" t="inlineStr">
        <is>
          <t>CloseLotRaw</t>
        </is>
      </c>
      <c r="B9">
        <f>IF(OR(B6&lt;&gt;"YES",B5=0),0,B7/B5)</f>
        <v/>
      </c>
    </row>
    <row r="10">
      <c r="A10" t="inlineStr">
        <is>
          <t>CloseLotRounded</t>
        </is>
      </c>
      <c r="B10">
        <f>FLOOR(B8,Settings!$B$7)</f>
        <v/>
      </c>
    </row>
    <row r="11">
      <c r="A11" t="inlineStr">
        <is>
          <t>CloseLotFinal</t>
        </is>
      </c>
      <c r="B11">
        <f>MIN(B9,B3)</f>
        <v/>
      </c>
    </row>
    <row r="12">
      <c r="A12" t="inlineStr">
        <is>
          <t>CloseAllowed</t>
        </is>
      </c>
      <c r="B12">
        <f>IF(AND(B6="YES",B10&gt;=Settings!$B$6),"YES","NO")</f>
        <v/>
      </c>
    </row>
    <row r="13">
      <c r="A13" t="inlineStr">
        <is>
          <t>TailCloseLoss</t>
        </is>
      </c>
      <c r="B13">
        <f>B10*B5</f>
        <v/>
      </c>
    </row>
    <row r="14">
      <c r="A14" t="inlineStr">
        <is>
          <t>RecoveryFundAfterClose</t>
        </is>
      </c>
      <c r="B14">
        <f>B7-B12</f>
        <v/>
      </c>
    </row>
    <row r="15">
      <c r="A15" t="inlineStr">
        <is>
          <t>TailLotAfterClose</t>
        </is>
      </c>
      <c r="B15">
        <f>B3-B10</f>
        <v/>
      </c>
    </row>
    <row r="16">
      <c r="A16" t="inlineStr">
        <is>
          <t>Rule_TailCloseLoss&lt;=RecoveryFund</t>
        </is>
      </c>
      <c r="B16">
        <f>IF(B12&lt;=B7,"OK","ERROR")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SUM(Scenario_UP!H7:H106)</f>
        <v/>
      </c>
      <c r="C3">
        <f>SUM(Scenario_DOWN!H7:H106)</f>
        <v/>
      </c>
    </row>
    <row r="4">
      <c r="A4" t="inlineStr">
        <is>
          <t>GlobalReserveBefore</t>
        </is>
      </c>
      <c r="B4">
        <f>Settings!$B$17</f>
        <v/>
      </c>
      <c r="C4">
        <f>Settings!$B$17</f>
        <v/>
      </c>
    </row>
    <row r="5">
      <c r="A5" t="inlineStr">
        <is>
          <t>GlobalReserveAfter</t>
        </is>
      </c>
      <c r="B5">
        <f>SectionCalculator_UP!P21</f>
        <v/>
      </c>
      <c r="C5">
        <f>SectionCalculator_DOWN!P21</f>
        <v/>
      </c>
    </row>
    <row r="6">
      <c r="A6" t="inlineStr">
        <is>
          <t>RecoveryFundBefore</t>
        </is>
      </c>
      <c r="B6">
        <f>Settings!$B$18</f>
        <v/>
      </c>
      <c r="C6">
        <f>Settings!$B$18</f>
        <v/>
      </c>
    </row>
    <row r="7">
      <c r="A7" t="inlineStr">
        <is>
          <t>RecoveryFundAfter</t>
        </is>
      </c>
      <c r="B7">
        <f>TailRecovery_UP!B13</f>
        <v/>
      </c>
      <c r="C7">
        <f>TailRecovery_DOWN!B13</f>
        <v/>
      </c>
    </row>
    <row r="8">
      <c r="A8" t="inlineStr">
        <is>
          <t>TailType</t>
        </is>
      </c>
      <c r="B8">
        <f>Scenario_UP!B110</f>
        <v/>
      </c>
      <c r="C8">
        <f>Scenario_DOWN!B110</f>
        <v/>
      </c>
    </row>
    <row r="9">
      <c r="A9" t="inlineStr">
        <is>
          <t>TailLotBefore</t>
        </is>
      </c>
      <c r="B9">
        <f>TailRecovery_UP!B4</f>
        <v/>
      </c>
      <c r="C9">
        <f>TailRecovery_DOWN!B4</f>
        <v/>
      </c>
    </row>
    <row r="10">
      <c r="A10" t="inlineStr">
        <is>
          <t>TailLotAfter</t>
        </is>
      </c>
      <c r="B10">
        <f>TailRecovery_UP!B14</f>
        <v/>
      </c>
      <c r="C10">
        <f>TailRecovery_DOWN!B14</f>
        <v/>
      </c>
    </row>
    <row r="11">
      <c r="A11" t="inlineStr">
        <is>
          <t>CloseLot</t>
        </is>
      </c>
      <c r="B11">
        <f>TailRecovery_UP!B10</f>
        <v/>
      </c>
      <c r="C11">
        <f>TailRecovery_DOWN!B10</f>
        <v/>
      </c>
    </row>
    <row r="12">
      <c r="A12" t="inlineStr">
        <is>
          <t>CanCloseSection</t>
        </is>
      </c>
      <c r="B12">
        <f>SectionCalculator_UP!M21</f>
        <v/>
      </c>
      <c r="C12">
        <f>SectionCalculator_DOWN!M21</f>
        <v/>
      </c>
    </row>
    <row r="13">
      <c r="A13" t="inlineStr">
        <is>
          <t>CanCloseTail</t>
        </is>
      </c>
      <c r="B13">
        <f>TailRecovery_UP!B11</f>
        <v/>
      </c>
      <c r="C13">
        <f>TailRecovery_DOWN!B11</f>
        <v/>
      </c>
    </row>
    <row r="14">
      <c r="A14" t="inlineStr">
        <is>
          <t>CanCloseBasket</t>
        </is>
      </c>
      <c r="B14">
        <f>IF(B3+B5&gt;=Settings!$B$10,"YES","NO")</f>
        <v/>
      </c>
      <c r="C14">
        <f>IF(C3+C5&gt;=Settings!$B$10,"YES","NO")</f>
        <v/>
      </c>
    </row>
    <row r="15">
      <c r="A15" t="inlineStr">
        <is>
          <t>NextAction</t>
        </is>
      </c>
      <c r="B15">
        <f>IF(B14="YES","BASKET_CLOSE",IF(B12="NO","WAIT",IF(B13="YES","CLOSE_SECTION+CLOSE_TAIL","CLOSE_SECTION/SAFE")))</f>
        <v/>
      </c>
      <c r="C15">
        <f>IF(C14="YES","BASKET_CLOSE",IF(C12="NO","WAIT",IF(C13="YES","CLOSE_SECTION+CLOSE_TAIL","CLOSE_SECTION/SAFE")))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 Status</t>
        </is>
      </c>
      <c r="C1" s="1" t="inlineStr">
        <is>
          <t>DOWN Status</t>
        </is>
      </c>
    </row>
    <row r="2">
      <c r="A2" t="inlineStr">
        <is>
          <t>Tail close only if section profit &gt; 0</t>
        </is>
      </c>
      <c r="B2">
        <f>IF(OR(SectionCalculator_UP!L21&gt;0,TailRecovery_UP!B10=0),"OK","ERROR")</f>
        <v/>
      </c>
      <c r="C2">
        <f>IF(OR(SectionCalculator_DOWN!L21&gt;0,TailRecovery_DOWN!B10=0),"OK","ERROR")</f>
        <v/>
      </c>
    </row>
    <row r="3">
      <c r="A3" t="inlineStr">
        <is>
          <t>TailCloseLoss &lt;= RecoveryFundAfterCycle</t>
        </is>
      </c>
      <c r="B3">
        <f>IF(TailRecovery_UP!B12&lt;=TailRecovery_UP!B7,"OK","ERROR")</f>
        <v/>
      </c>
      <c r="C3">
        <f>IF(TailRecovery_DOWN!B12&lt;=TailRecovery_DOWN!B7,"OK","ERROR")</f>
        <v/>
      </c>
    </row>
    <row r="4">
      <c r="A4" t="inlineStr">
        <is>
          <t>BigLot &lt;= TailLot</t>
        </is>
      </c>
      <c r="B4">
        <f>IF(SectionCalculator_UP!B11&lt;=SectionCalculator_UP!B3,"OK","ERROR")</f>
        <v/>
      </c>
      <c r="C4">
        <f>IF(SectionCalculator_DOWN!B11&lt;=SectionCalculator_DOWN!B3,"OK","ERROR")</f>
        <v/>
      </c>
    </row>
    <row r="5">
      <c r="A5" t="inlineStr">
        <is>
          <t>SmallLot &lt; BigLot</t>
        </is>
      </c>
      <c r="B5">
        <f>IF(SectionCalculator_UP!B12&lt;SectionCalculator_UP!B11,"OK","ERROR")</f>
        <v/>
      </c>
      <c r="C5">
        <f>IF(SectionCalculator_DOWN!B12&lt;SectionCalculator_DOWN!B11,"OK","ERROR")</f>
        <v/>
      </c>
    </row>
    <row r="6">
      <c r="A6" t="inlineStr">
        <is>
          <t>MaxActiveSections</t>
        </is>
      </c>
      <c r="B6">
        <f>IF(SectionCalculator_UP!B13&lt;=Settings!$B$8,"OK","ERROR")</f>
        <v/>
      </c>
      <c r="C6">
        <f>IF(SectionCalculator_DOWN!B13&lt;=Settings!$B$8,"OK","ERROR")</f>
        <v/>
      </c>
    </row>
    <row r="7">
      <c r="A7" t="inlineStr">
        <is>
          <t>MaxTotalLot</t>
        </is>
      </c>
      <c r="B7">
        <f>IF(SectionCalculator_UP!B14&lt;=Settings!$B$15,"OK","ERROR")</f>
        <v/>
      </c>
      <c r="C7">
        <f>IF(SectionCalculator_DOWN!B14&lt;=Settings!$B$15,"OK","ERROR")</f>
        <v/>
      </c>
    </row>
    <row r="8">
      <c r="A8" t="inlineStr">
        <is>
          <t>MaxNetLot</t>
        </is>
      </c>
      <c r="B8">
        <f>IF(SectionCalculator_UP!B15&lt;=Settings!$B$16,"OK","ERROR")</f>
        <v/>
      </c>
      <c r="C8">
        <f>IF(SectionCalculator_DOWN!B15&lt;=Settings!$B$16,"OK","ERROR")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>
        <f>"NEXT ACTION UP:"&amp;CHAR(10)&amp;"Price="&amp;TEXT(BasketSummary!B2,"0.00000")&amp;CHAR(10)&amp;"CycleProfit="&amp;TEXT(SectionCalculator_UP!L21,"0.00")&amp;CHAR(10)&amp;"CanCloseSection="&amp;BasketSummary!B12&amp;CHAR(10)&amp;"CloseTailLot="&amp;TEXT(BasketSummary!B11,"0.00")&amp;CHAR(10)&amp;"TailAfter="&amp;TEXT(BasketSummary!B10,"0.00")&amp;CHAR(10)&amp;"Next="&amp;BasketSummary!B15</f>
        <v/>
      </c>
    </row>
    <row r="2">
      <c r="A2">
        <f>"NEXT ACTION DOWN:"&amp;CHAR(10)&amp;"Price="&amp;TEXT(BasketSummary!C2,"0.00000")&amp;CHAR(10)&amp;"CycleProfit="&amp;TEXT(SectionCalculator_DOWN!L21,"0.00")&amp;CHAR(10)&amp;"CanCloseSection="&amp;BasketSummary!C12&amp;CHAR(10)&amp;"CloseTailLot="&amp;TEXT(BasketSummary!C11,"0.00")&amp;CHAR(10)&amp;"TailAfter="&amp;TEXT(BasketSummary!C10,"0.00")&amp;CHAR(10)&amp;"Next="&amp;BasketSummary!C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2026-05-09T19:04:49Z</dcterms:created>
  <dcterms:modified xsi:type="dcterms:W3CDTF">2026-05-09T19:04:50Z</dcterms:modified>
</cp:coreProperties>
</file>