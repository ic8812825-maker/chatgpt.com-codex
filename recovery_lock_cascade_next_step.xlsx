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TailTicket</t>
        </is>
      </c>
      <c r="B221">
        <f>IFERROR(INDEX(A7:A206,MATCH(MINIFS(H7:H206,B7:B206,"SELL",H7:H206,"&lt;0"),H7:H206,0)),"N/A")</f>
        <v/>
      </c>
    </row>
    <row r="222">
      <c r="A222" t="inlineStr">
        <is>
          <t>TailLot</t>
        </is>
      </c>
      <c r="B222">
        <f>IF(B221="N/A",0,XLOOKUP(B221,A7:A206,D7:D206,0))</f>
        <v/>
      </c>
    </row>
    <row r="223">
      <c r="A223" t="inlineStr">
        <is>
          <t>TailLossMoney</t>
        </is>
      </c>
      <c r="B223">
        <f>IF(B221="N/A",0,ABS(XLOOKUP(B221,A7:A206,H7:H206,0)))</f>
        <v/>
      </c>
    </row>
    <row r="224">
      <c r="A224" t="inlineStr">
        <is>
          <t>TailLossPerLot</t>
        </is>
      </c>
      <c r="B224">
        <f>IF(B222=0,0,ABS(B223/B222))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TailTicket</t>
        </is>
      </c>
      <c r="B221">
        <f>IFERROR(INDEX(A7:A206,MATCH(MINIFS(H7:H206,B7:B206,"BUY",H7:H206,"&lt;0"),H7:H206,0)),"N/A")</f>
        <v/>
      </c>
    </row>
    <row r="222">
      <c r="A222" t="inlineStr">
        <is>
          <t>TailLot</t>
        </is>
      </c>
      <c r="B222">
        <f>IF(B221="N/A",0,XLOOKUP(B221,A7:A206,D7:D206,0))</f>
        <v/>
      </c>
    </row>
    <row r="223">
      <c r="A223" t="inlineStr">
        <is>
          <t>TailLossMoney</t>
        </is>
      </c>
      <c r="B223">
        <f>IF(B221="N/A",0,ABS(XLOOKUP(B221,A7:A206,H7:H206,0)))</f>
        <v/>
      </c>
    </row>
    <row r="224">
      <c r="A224" t="inlineStr">
        <is>
          <t>TailLossPerLot</t>
        </is>
      </c>
      <c r="B224">
        <f>IF(B222=0,0,ABS(B223/B222))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ABS(SUMIFS(CurrentPositions!D2:D500,CurrentPositions!B2:B500,"BUY")-SUMIFS(CurrentPositions!D2:D500,CurrentPositions!B2:B500,"SELL"))</f>
        <v/>
      </c>
    </row>
    <row r="12">
      <c r="A12" t="inlineStr">
        <is>
          <t>LevelReached</t>
        </is>
      </c>
      <c r="B12">
        <f>IF(Scenario_UP!B4&gt;=Scenario_UP!E4,"YES","NO")</f>
        <v/>
      </c>
    </row>
    <row r="13">
      <c r="A13" t="inlineStr">
        <is>
          <t>CanOpenSection</t>
        </is>
      </c>
      <c r="B13">
        <f>IF(AND(B7&gt;=Settings!$B$6,B8&gt;=Settings!$B$6,B8&lt;B7,B7&lt;=B3,B9&lt;Settings!$B$8,B10&lt;=Settings!$B$15,B11&lt;=Settings!$B$16,B12="YES"),"YES","NO")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(Settings!$B$12*Settings!$B$4*(C21+F21))+(Settings!$B$13*(C21+F21))+(Settings!$B$14*(C21+F21))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(Settings!$B$12*Settings!$B$4*(C22+F22))+(Settings!$B$13*(C22+F22))+(Settings!$B$14*(C22+F22))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(Settings!$B$12*Settings!$B$4*(C23+F23))+(Settings!$B$13*(C23+F23))+(Settings!$B$14*(C23+F23))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(Settings!$B$12*Settings!$B$4*(C24+F24))+(Settings!$B$13*(C24+F24))+(Settings!$B$14*(C24+F24))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Scenario_DOWN!B222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XLOOKUP(B4,Settings!A21:A24,Settings!B21:B24)</f>
        <v/>
      </c>
    </row>
    <row r="6">
      <c r="A6" t="inlineStr">
        <is>
          <t>SmallRatio</t>
        </is>
      </c>
      <c r="B6">
        <f>XLOOKUP(B4,Settings!A21:A24,Settings!C21:C24)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ABS(SUMIFS(CurrentPositions!D2:D500,CurrentPositions!B2:B500,"BUY")-SUMIFS(CurrentPositions!D2:D500,CurrentPositions!B2:B500,"SELL"))</f>
        <v/>
      </c>
    </row>
    <row r="12">
      <c r="A12" t="inlineStr">
        <is>
          <t>LevelReached</t>
        </is>
      </c>
      <c r="B12">
        <f>IF(Scenario_DOWN!B4&lt;=Scenario_DOWN!E9,"YES","NO")</f>
        <v/>
      </c>
    </row>
    <row r="13">
      <c r="A13" t="inlineStr">
        <is>
          <t>CanOpenSection</t>
        </is>
      </c>
      <c r="B13">
        <f>IF(AND(B7&gt;=Settings!$B$6,B8&gt;=Settings!$B$6,B8&lt;B7,B7&lt;=B3,B9&lt;Settings!$B$8,B10&lt;=Settings!$B$15,B11&lt;=Settings!$B$16,B12="YES"),"YES","NO")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Costs</t>
        </is>
      </c>
      <c r="L20" s="1" t="inlineStr">
        <is>
          <t>CycleProfit</t>
        </is>
      </c>
      <c r="M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(Settings!$B$12*Settings!$B$4*(C21+F21))+(Settings!$B$13*(C21+F21))+(Settings!$B$14*(C21+F21))</f>
        <v/>
      </c>
      <c r="L21">
        <f>I21+J21-K21</f>
        <v/>
      </c>
      <c r="M21">
        <f>IF(L21&gt;0,"YES","NO")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(Settings!$B$12*Settings!$B$4*(C22+F22))+(Settings!$B$13*(C22+F22))+(Settings!$B$14*(C22+F22))</f>
        <v/>
      </c>
      <c r="L22">
        <f>I22+J22-K22</f>
        <v/>
      </c>
      <c r="M22">
        <f>IF(L22&gt;0,"YES","NO")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(Settings!$B$12*Settings!$B$4*(C23+F23))+(Settings!$B$13*(C23+F23))+(Settings!$B$14*(C23+F23))</f>
        <v/>
      </c>
      <c r="L23">
        <f>I23+J23-K23</f>
        <v/>
      </c>
      <c r="M23">
        <f>IF(L23&gt;0,"YES","NO")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(Settings!$B$12*Settings!$B$4*(C24+F24))+(Settings!$B$13*(C24+F24))+(Settings!$B$14*(C24+F24))</f>
        <v/>
      </c>
      <c r="L24">
        <f>I24+J24-K24</f>
        <v/>
      </c>
      <c r="M24">
        <f>IF(L24&gt;0,"YES","NO")</f>
        <v/>
      </c>
    </row>
    <row r="30">
      <c r="A30" t="inlineStr">
        <is>
          <t>SelectedSectionID</t>
        </is>
      </c>
      <c r="B30">
        <f>IFERROR(INDEX(A21:A24,MATCH("YES",M21:M24,0)),"NONE")</f>
        <v/>
      </c>
    </row>
    <row r="31">
      <c r="A31" t="inlineStr">
        <is>
          <t>CycleProfit</t>
        </is>
      </c>
      <c r="B31">
        <f>IF(B30="NONE",0,XLOOKUP(B30,A21:A24,L21:L24,0))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Scenario_UP!B221</f>
        <v/>
      </c>
    </row>
    <row r="4">
      <c r="A4" t="inlineStr">
        <is>
          <t>TailLot</t>
        </is>
      </c>
      <c r="B4">
        <f>Scenario_UP!B222</f>
        <v/>
      </c>
    </row>
    <row r="5">
      <c r="A5" t="inlineStr">
        <is>
          <t>TailLossPerLot</t>
        </is>
      </c>
      <c r="B5">
        <f>Scenario_UP!B224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NextBigLotAfterRecovery</t>
        </is>
      </c>
      <c r="B15">
        <f>FLOOR(B14*XLOOKUP(1,Settings!A21:A24,Settings!B21:B24),Settings!$B$7)</f>
        <v/>
      </c>
    </row>
    <row r="16">
      <c r="A16" t="inlineStr">
        <is>
          <t>NextSmallLotAfterRecovery</t>
        </is>
      </c>
      <c r="B16">
        <f>FLOOR(B14*XLOOKUP(1,Settings!A21:A24,Settings!C21:C24),Settings!$B$7)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Scenario_DOWN!B221</f>
        <v/>
      </c>
    </row>
    <row r="4">
      <c r="A4" t="inlineStr">
        <is>
          <t>TailLot</t>
        </is>
      </c>
      <c r="B4">
        <f>Scenario_DOWN!B222</f>
        <v/>
      </c>
    </row>
    <row r="5">
      <c r="A5" t="inlineStr">
        <is>
          <t>TailLossPerLot</t>
        </is>
      </c>
      <c r="B5">
        <f>Scenario_DOWN!B224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NextBigLotAfterRecovery</t>
        </is>
      </c>
      <c r="B15">
        <f>FLOOR(B14*XLOOKUP(1,Settings!A21:A24,Settings!B21:B24),Settings!$B$7)</f>
        <v/>
      </c>
    </row>
    <row r="16">
      <c r="A16" t="inlineStr">
        <is>
          <t>NextSmallLotAfterRecovery</t>
        </is>
      </c>
      <c r="B16">
        <f>FLOOR(B14*XLOOKUP(1,Settings!A21:A24,Settings!C21:C24),Settings!$B$7)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IF(B3+B4&gt;=Settings!$B$10,"YES","NO")</f>
        <v/>
      </c>
      <c r="C10">
        <f>IF(C3+C4&gt;=Settings!$B$10,"YES","NO")</f>
        <v/>
      </c>
    </row>
    <row r="11">
      <c r="A11" t="inlineStr">
        <is>
          <t>NextBigLot</t>
        </is>
      </c>
      <c r="B11">
        <f>TailRecovery_UP!B15</f>
        <v/>
      </c>
      <c r="C11">
        <f>TailRecovery_DOWN!B15</f>
        <v/>
      </c>
    </row>
    <row r="12">
      <c r="A12" t="inlineStr">
        <is>
          <t>NextSmallLot</t>
        </is>
      </c>
      <c r="B12">
        <f>TailRecovery_UP!B16</f>
        <v/>
      </c>
      <c r="C12">
        <f>TailRecovery_DOWN!B16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IF(OR(SectionCalculator_UP!B13="NO",SectionCalculator_UP!B12="YES"),"OK","ERROR")</f>
        <v/>
      </c>
      <c r="C5">
        <f>IF(OR(SectionCalculator_DOWN!B13="NO",SectionCalculator_DOWN!B12="YES"),"OK","ERROR")</f>
        <v/>
      </c>
    </row>
    <row r="6">
      <c r="A6" t="inlineStr">
        <is>
          <t>No opposite cascade active</t>
        </is>
      </c>
      <c r="B6" t="inlineStr">
        <is>
          <t>OK</t>
        </is>
      </c>
      <c r="C6" t="inlineStr">
        <is>
          <t>OK</t>
        </is>
      </c>
    </row>
    <row r="7">
      <c r="A7" t="inlineStr">
        <is>
          <t>CloseLot &lt; MinLot =&gt; do not close</t>
        </is>
      </c>
      <c r="B7">
        <f>IF(OR(TailRecovery_UP!B10&gt;=Settings!$B$6,TailRecovery_UP!B10=0),"OK","ERROR")</f>
        <v/>
      </c>
      <c r="C7">
        <f>IF(OR(TailRecovery_DOWN!B10&gt;=Settings!$B$6,TailRecovery_DOWN!B10=0),"OK","ERROR")</f>
        <v/>
      </c>
    </row>
    <row r="8">
      <c r="A8" t="inlineStr">
        <is>
          <t>RecoveryFundAfterClose &gt;= 0</t>
        </is>
      </c>
      <c r="B8">
        <f>IF(TailRecovery_UP!B13&gt;=0,"OK","ERROR")</f>
        <v/>
      </c>
      <c r="C8">
        <f>IF(TailRecovery_DOWN!B13&gt;=0,"OK","ERROR")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UP:"&amp;CHAR(10)&amp;"CloseSection="&amp;BasketSummary!B8&amp;CHAR(10)&amp;"CloseTail="&amp;BasketSummary!B9&amp;CHAR(10)&amp;"CloseLot="&amp;TEXT(BasketSummary!B7,"0.00")&amp;CHAR(10)&amp;"TailAfter="&amp;TEXT(BasketSummary!B6,"0.00")&amp;CHAR(10)&amp;"NextSection Big/Small="&amp;TEXT(BasketSummary!B11,"0.00")&amp;"/"&amp;TEXT(BasketSummary!B12,"0.00")&amp;CHAR(10)&amp;"Action="&amp;BasketSummary!B13</f>
        <v/>
      </c>
    </row>
    <row r="2">
      <c r="A2">
        <f>"NEXT ACTION DOWN:"&amp;CHAR(10)&amp;"CloseSection="&amp;BasketSummary!C8&amp;CHAR(10)&amp;"CloseTail="&amp;BasketSummary!C9&amp;CHAR(10)&amp;"CloseLot="&amp;TEXT(BasketSummary!C7,"0.00")&amp;CHAR(10)&amp;"TailAfter="&amp;TEXT(BasketSummary!C6,"0.00")&amp;CHAR(10)&amp;"NextSection Big/Small="&amp;TEXT(BasketSummary!C11,"0.00")&amp;"/"&amp;TEXT(BasketSummary!C12,"0.00")&amp;CHAR(10)&amp;"Action="&amp;BasketSummary!C13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2026-05-09T21:33:32Z</dcterms:created>
  <dcterms:modified xsi:type="dcterms:W3CDTF">2026-05-09T21:33:33Z</dcterms:modified>
</cp:coreProperties>
</file>