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CurrentPositions" sheetId="2" state="visible" r:id="rId2"/>
    <sheet name="Scenario_UP" sheetId="3" state="visible" r:id="rId3"/>
    <sheet name="Scenario_DOWN" sheetId="4" state="visible" r:id="rId4"/>
    <sheet name="SectionCalculator_UP" sheetId="5" state="visible" r:id="rId5"/>
    <sheet name="SectionCalculator_DOWN" sheetId="6" state="visible" r:id="rId6"/>
    <sheet name="TailRecovery_UP" sheetId="7" state="visible" r:id="rId7"/>
    <sheet name="TailRecovery_DOWN" sheetId="8" state="visible" r:id="rId8"/>
    <sheet name="BasketSummary" sheetId="9" state="visible" r:id="rId9"/>
    <sheet name="Validation" sheetId="10" state="visible" r:id="rId10"/>
    <sheet name="Log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Symbol</t>
        </is>
      </c>
      <c r="B2" t="inlineStr">
        <is>
          <t>EURUSD</t>
        </is>
      </c>
    </row>
    <row r="3">
      <c r="A3" t="inlineStr">
        <is>
          <t>Point</t>
        </is>
      </c>
      <c r="B3" t="n">
        <v>0.0001</v>
      </c>
    </row>
    <row r="4">
      <c r="A4" t="inlineStr">
        <is>
          <t>PointValuePerLot</t>
        </is>
      </c>
      <c r="B4" t="n">
        <v>1</v>
      </c>
    </row>
    <row r="5">
      <c r="A5" t="inlineStr">
        <is>
          <t>StepPoints</t>
        </is>
      </c>
      <c r="B5" t="n">
        <v>100</v>
      </c>
    </row>
    <row r="6">
      <c r="A6" t="inlineStr">
        <is>
          <t>MinLot</t>
        </is>
      </c>
      <c r="B6" t="n">
        <v>0.01</v>
      </c>
    </row>
    <row r="7">
      <c r="A7" t="inlineStr">
        <is>
          <t>LotStep</t>
        </is>
      </c>
      <c r="B7" t="n">
        <v>0.01</v>
      </c>
    </row>
    <row r="8">
      <c r="A8" t="inlineStr">
        <is>
          <t>MaxActiveSections</t>
        </is>
      </c>
      <c r="B8" t="n">
        <v>4</v>
      </c>
    </row>
    <row r="9">
      <c r="A9" t="inlineStr">
        <is>
          <t>ReservePercent</t>
        </is>
      </c>
      <c r="B9" t="n">
        <v>0.2</v>
      </c>
    </row>
    <row r="10">
      <c r="A10" t="inlineStr">
        <is>
          <t>RecoveryPercent</t>
        </is>
      </c>
      <c r="B10" t="n">
        <v>0.8</v>
      </c>
    </row>
    <row r="11">
      <c r="A11" t="inlineStr">
        <is>
          <t>BasketTarget</t>
        </is>
      </c>
      <c r="B11" t="n">
        <v>0</v>
      </c>
    </row>
    <row r="12">
      <c r="A12" t="inlineStr">
        <is>
          <t>MaxSpreadPoints</t>
        </is>
      </c>
      <c r="B12" t="n">
        <v>20</v>
      </c>
    </row>
    <row r="13">
      <c r="A13" t="inlineStr">
        <is>
          <t>CommissionPerLot</t>
        </is>
      </c>
      <c r="B13" t="n">
        <v>0</v>
      </c>
    </row>
    <row r="14">
      <c r="A14" t="inlineStr">
        <is>
          <t>SwapPerLot</t>
        </is>
      </c>
      <c r="B14" t="n">
        <v>0</v>
      </c>
    </row>
    <row r="15">
      <c r="A15" t="inlineStr">
        <is>
          <t>MaxTotalLot</t>
        </is>
      </c>
      <c r="B15" t="n">
        <v>20</v>
      </c>
    </row>
    <row r="16">
      <c r="A16" t="inlineStr">
        <is>
          <t>MaxNetLot</t>
        </is>
      </c>
      <c r="B16" t="n">
        <v>10</v>
      </c>
    </row>
    <row r="17">
      <c r="A17" t="inlineStr">
        <is>
          <t>GlobalReserve</t>
        </is>
      </c>
      <c r="B17" t="n">
        <v>0</v>
      </c>
    </row>
    <row r="18">
      <c r="A18" t="inlineStr">
        <is>
          <t>RecoveryFund</t>
        </is>
      </c>
      <c r="B18" t="n">
        <v>0</v>
      </c>
    </row>
    <row r="20">
      <c r="A20" s="1" t="inlineStr">
        <is>
          <t>Level</t>
        </is>
      </c>
      <c r="B20" s="1" t="inlineStr">
        <is>
          <t>BigRatio</t>
        </is>
      </c>
      <c r="C20" s="1" t="inlineStr">
        <is>
          <t>SmallRatio</t>
        </is>
      </c>
    </row>
    <row r="21">
      <c r="A21" t="n">
        <v>1</v>
      </c>
      <c r="B21" t="n">
        <v>0.4</v>
      </c>
      <c r="C21" t="n">
        <v>0.15</v>
      </c>
    </row>
    <row r="22">
      <c r="A22" t="n">
        <v>2</v>
      </c>
      <c r="B22" t="n">
        <v>0.25</v>
      </c>
      <c r="C22" t="n">
        <v>0.1</v>
      </c>
    </row>
    <row r="23">
      <c r="A23" t="n">
        <v>3</v>
      </c>
      <c r="B23" t="n">
        <v>0.15</v>
      </c>
      <c r="C23" t="n">
        <v>0.06</v>
      </c>
    </row>
    <row r="24">
      <c r="A24" t="n">
        <v>4</v>
      </c>
      <c r="B24" t="n">
        <v>0.1</v>
      </c>
      <c r="C24" t="n">
        <v>0.04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Ticket</t>
        </is>
      </c>
      <c r="B1" s="1" t="inlineStr">
        <is>
          <t>Type</t>
        </is>
      </c>
      <c r="C1" s="1" t="inlineStr">
        <is>
          <t>Role</t>
        </is>
      </c>
      <c r="D1" s="1" t="inlineStr">
        <is>
          <t>Lot</t>
        </is>
      </c>
      <c r="E1" s="1" t="inlineStr">
        <is>
          <t>OpenPrice</t>
        </is>
      </c>
      <c r="F1" s="1" t="inlineStr">
        <is>
          <t>CurrentPrice</t>
        </is>
      </c>
      <c r="G1" s="1" t="inlineStr">
        <is>
          <t>PointsPnL</t>
        </is>
      </c>
      <c r="H1" s="1" t="inlineStr">
        <is>
          <t>MoneyPnL</t>
        </is>
      </c>
      <c r="I1" s="1" t="inlineStr">
        <is>
          <t>IsTail</t>
        </is>
      </c>
      <c r="J1" s="1" t="inlineStr">
        <is>
          <t>SectionID</t>
        </is>
      </c>
    </row>
    <row r="2">
      <c r="A2" t="n">
        <v>10001</v>
      </c>
      <c r="B2" t="inlineStr">
        <is>
          <t>BUY</t>
        </is>
      </c>
      <c r="C2" t="inlineStr">
        <is>
          <t>MAIN</t>
        </is>
      </c>
      <c r="D2" t="n">
        <v>1</v>
      </c>
      <c r="E2" t="n">
        <v>1.23</v>
      </c>
      <c r="F2" t="n">
        <v>1.23</v>
      </c>
      <c r="G2">
        <f>IF(B2="BUY",(F2-E2)/Settings!$B$3,(E2-F2)/Settings!$B$3)</f>
        <v/>
      </c>
      <c r="H2">
        <f>G2*D2*Settings!$B$4</f>
        <v/>
      </c>
      <c r="I2" t="inlineStr">
        <is>
          <t>NO</t>
        </is>
      </c>
      <c r="J2" t="inlineStr"/>
    </row>
    <row r="3">
      <c r="A3" t="n">
        <v>10002</v>
      </c>
      <c r="B3" t="inlineStr">
        <is>
          <t>SELL</t>
        </is>
      </c>
      <c r="C3" t="inlineStr">
        <is>
          <t>TAIL</t>
        </is>
      </c>
      <c r="D3" t="n">
        <v>1</v>
      </c>
      <c r="E3" t="n">
        <v>1.23</v>
      </c>
      <c r="F3" t="n">
        <v>1.23</v>
      </c>
      <c r="G3">
        <f>IF(B3="BUY",(F3-E3)/Settings!$B$3,(E3-F3)/Settings!$B$3)</f>
        <v/>
      </c>
      <c r="H3">
        <f>G3*D3*Settings!$B$4</f>
        <v/>
      </c>
      <c r="I3" t="inlineStr">
        <is>
          <t>YES</t>
        </is>
      </c>
      <c r="J3" t="inlineStr"/>
    </row>
    <row r="4">
      <c r="A4" t="n">
        <v>10003</v>
      </c>
      <c r="B4" t="inlineStr">
        <is>
          <t>SELL</t>
        </is>
      </c>
      <c r="C4" t="inlineStr">
        <is>
          <t>SECTION_BIG</t>
        </is>
      </c>
      <c r="D4" t="n">
        <v>0.4</v>
      </c>
      <c r="E4" t="n">
        <v>1.235</v>
      </c>
      <c r="F4" t="n">
        <v>1.23</v>
      </c>
      <c r="G4">
        <f>IF(B4="BUY",(F4-E4)/Settings!$B$3,(E4-F4)/Settings!$B$3)</f>
        <v/>
      </c>
      <c r="H4">
        <f>G4*D4*Settings!$B$4</f>
        <v/>
      </c>
      <c r="I4" t="inlineStr">
        <is>
          <t>NO</t>
        </is>
      </c>
      <c r="J4" t="inlineStr">
        <is>
          <t>S1</t>
        </is>
      </c>
    </row>
    <row r="5">
      <c r="A5" t="n">
        <v>10004</v>
      </c>
      <c r="B5" t="inlineStr">
        <is>
          <t>BUY</t>
        </is>
      </c>
      <c r="C5" t="inlineStr">
        <is>
          <t>SECTION_SMALL</t>
        </is>
      </c>
      <c r="D5" t="n">
        <v>0.15</v>
      </c>
      <c r="E5" t="n">
        <v>1.235</v>
      </c>
      <c r="F5" t="n">
        <v>1.23</v>
      </c>
      <c r="G5">
        <f>IF(B5="BUY",(F5-E5)/Settings!$B$3,(E5-F5)/Settings!$B$3)</f>
        <v/>
      </c>
      <c r="H5">
        <f>G5*D5*Settings!$B$4</f>
        <v/>
      </c>
      <c r="I5" t="inlineStr">
        <is>
          <t>NO</t>
        </is>
      </c>
      <c r="J5" t="inlineStr">
        <is>
          <t>S1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  <c r="D1" t="inlineStr">
        <is>
          <t>AverageBuyPrice</t>
        </is>
      </c>
      <c r="E1">
        <f>IFERROR(SUMPRODUCT((B7:B206="BUY")*E7:E206*D7:D206)/SUMIFS(D7:D206,B7:B206,"BUY"),0)</f>
        <v/>
      </c>
    </row>
    <row r="2">
      <c r="A2" t="inlineStr">
        <is>
          <t>CurrentPrice</t>
        </is>
      </c>
      <c r="B2">
        <f>CurrentPositions!F2</f>
        <v/>
      </c>
      <c r="D2" t="inlineStr">
        <is>
          <t>AverageSellPrice</t>
        </is>
      </c>
      <c r="E2">
        <f>IFERROR(SUMPRODUCT((B7:B206="SELL")*E7:E206*D7:D206)/SUMIFS(D7:D206,B7:B206,"SELL"),0)</f>
        <v/>
      </c>
    </row>
    <row r="3">
      <c r="A3" t="inlineStr">
        <is>
          <t>MoveUpPoints</t>
        </is>
      </c>
      <c r="B3" t="n">
        <v>100</v>
      </c>
      <c r="D3" t="inlineStr">
        <is>
          <t>Center</t>
        </is>
      </c>
      <c r="E3">
        <f>(E1+E2)/2</f>
        <v/>
      </c>
    </row>
    <row r="4">
      <c r="A4" t="inlineStr">
        <is>
          <t>ScenarioPrice</t>
        </is>
      </c>
      <c r="B4">
        <f>B2+B3*Settings!$B$3</f>
        <v/>
      </c>
      <c r="D4" t="inlineStr">
        <is>
          <t>UpperLevel1</t>
        </is>
      </c>
      <c r="E4">
        <f>E3+1*Settings!$B$5*Settings!$B$3</f>
        <v/>
      </c>
    </row>
    <row r="5">
      <c r="D5" t="inlineStr">
        <is>
          <t>UpperLevel2</t>
        </is>
      </c>
      <c r="E5">
        <f>E3+2*Settings!$B$5*Settings!$B$3</f>
        <v/>
      </c>
    </row>
    <row r="6">
      <c r="A6" s="1" t="inlineStr">
        <is>
          <t>Ticket</t>
        </is>
      </c>
      <c r="B6" s="1" t="inlineStr">
        <is>
          <t>Type</t>
        </is>
      </c>
      <c r="C6" s="1" t="inlineStr">
        <is>
          <t>Role</t>
        </is>
      </c>
      <c r="D6" s="1" t="inlineStr">
        <is>
          <t>UpperLevel3</t>
        </is>
      </c>
      <c r="E6" s="1">
        <f>E3+3*Settings!$B$5*Settings!$B$3</f>
        <v/>
      </c>
      <c r="F6" s="1" t="inlineStr">
        <is>
          <t>ScenarioPrice</t>
        </is>
      </c>
      <c r="G6" s="1" t="inlineStr">
        <is>
          <t>ScenarioPointsPnL</t>
        </is>
      </c>
      <c r="H6" s="1" t="inlineStr">
        <is>
          <t>ScenarioMoneyPnL</t>
        </is>
      </c>
      <c r="I6" s="1" t="inlineStr">
        <is>
          <t>IsTail</t>
        </is>
      </c>
      <c r="J6" s="1" t="inlineStr">
        <is>
          <t>SectionID</t>
        </is>
      </c>
    </row>
    <row r="7">
      <c r="A7">
        <f>CurrentPositions!A2</f>
        <v/>
      </c>
      <c r="B7">
        <f>CurrentPositions!B2</f>
        <v/>
      </c>
      <c r="C7">
        <f>CurrentPositions!C2</f>
        <v/>
      </c>
      <c r="D7" t="inlineStr">
        <is>
          <t>UpperLevel4</t>
        </is>
      </c>
      <c r="E7">
        <f>E3+4*Settings!$B$5*Settings!$B$3</f>
        <v/>
      </c>
      <c r="F7">
        <f>$B$4</f>
        <v/>
      </c>
      <c r="G7">
        <f>IF(B7="BUY",(F7-E7)/Settings!$B$3,(E7-F7)/Settings!$B$3)</f>
        <v/>
      </c>
      <c r="H7">
        <f>G7*D7*Settings!$B$4</f>
        <v/>
      </c>
      <c r="I7">
        <f>CurrentPositions!I2</f>
        <v/>
      </c>
      <c r="J7">
        <f>CurrentPositions!J2</f>
        <v/>
      </c>
    </row>
    <row r="8">
      <c r="A8">
        <f>CurrentPositions!A3</f>
        <v/>
      </c>
      <c r="B8">
        <f>CurrentPositions!B3</f>
        <v/>
      </c>
      <c r="C8">
        <f>CurrentPositions!C3</f>
        <v/>
      </c>
      <c r="D8">
        <f>CurrentPositions!D3</f>
        <v/>
      </c>
      <c r="E8">
        <f>CurrentPositions!E3</f>
        <v/>
      </c>
      <c r="F8">
        <f>$B$4</f>
        <v/>
      </c>
      <c r="G8">
        <f>IF(B8="BUY",(F8-E8)/Settings!$B$3,(E8-F8)/Settings!$B$3)</f>
        <v/>
      </c>
      <c r="H8">
        <f>G8*D8*Settings!$B$4</f>
        <v/>
      </c>
      <c r="I8">
        <f>CurrentPositions!I3</f>
        <v/>
      </c>
      <c r="J8">
        <f>CurrentPositions!J3</f>
        <v/>
      </c>
    </row>
    <row r="9">
      <c r="A9">
        <f>CurrentPositions!A4</f>
        <v/>
      </c>
      <c r="B9">
        <f>CurrentPositions!B4</f>
        <v/>
      </c>
      <c r="C9">
        <f>CurrentPositions!C4</f>
        <v/>
      </c>
      <c r="D9" t="inlineStr">
        <is>
          <t>LowerLevel1</t>
        </is>
      </c>
      <c r="E9">
        <f>E3-1*Settings!$B$5*Settings!$B$3</f>
        <v/>
      </c>
      <c r="F9">
        <f>$B$4</f>
        <v/>
      </c>
      <c r="G9">
        <f>IF(B9="BUY",(F9-E9)/Settings!$B$3,(E9-F9)/Settings!$B$3)</f>
        <v/>
      </c>
      <c r="H9">
        <f>G9*D9*Settings!$B$4</f>
        <v/>
      </c>
      <c r="I9">
        <f>CurrentPositions!I4</f>
        <v/>
      </c>
      <c r="J9">
        <f>CurrentPositions!J4</f>
        <v/>
      </c>
    </row>
    <row r="10">
      <c r="A10">
        <f>CurrentPositions!A5</f>
        <v/>
      </c>
      <c r="B10">
        <f>CurrentPositions!B5</f>
        <v/>
      </c>
      <c r="C10">
        <f>CurrentPositions!C5</f>
        <v/>
      </c>
      <c r="D10" t="inlineStr">
        <is>
          <t>LowerLevel2</t>
        </is>
      </c>
      <c r="E10">
        <f>E3-2*Settings!$B$5*Settings!$B$3</f>
        <v/>
      </c>
      <c r="F10">
        <f>$B$4</f>
        <v/>
      </c>
      <c r="G10">
        <f>IF(B10="BUY",(F10-E10)/Settings!$B$3,(E10-F10)/Settings!$B$3)</f>
        <v/>
      </c>
      <c r="H10">
        <f>G10*D10*Settings!$B$4</f>
        <v/>
      </c>
      <c r="I10">
        <f>CurrentPositions!I5</f>
        <v/>
      </c>
      <c r="J10">
        <f>CurrentPositions!J5</f>
        <v/>
      </c>
    </row>
    <row r="11">
      <c r="A11">
        <f>CurrentPositions!A6</f>
        <v/>
      </c>
      <c r="B11">
        <f>CurrentPositions!B6</f>
        <v/>
      </c>
      <c r="C11">
        <f>CurrentPositions!C6</f>
        <v/>
      </c>
      <c r="D11" t="inlineStr">
        <is>
          <t>LowerLevel3</t>
        </is>
      </c>
      <c r="E11">
        <f>E3-3*Settings!$B$5*Settings!$B$3</f>
        <v/>
      </c>
      <c r="F11">
        <f>$B$4</f>
        <v/>
      </c>
      <c r="G11">
        <f>IF(B11="BUY",(F11-E11)/Settings!$B$3,(E11-F11)/Settings!$B$3)</f>
        <v/>
      </c>
      <c r="H11">
        <f>G11*D11*Settings!$B$4</f>
        <v/>
      </c>
      <c r="I11">
        <f>CurrentPositions!I6</f>
        <v/>
      </c>
      <c r="J11">
        <f>CurrentPositions!J6</f>
        <v/>
      </c>
    </row>
    <row r="12">
      <c r="A12">
        <f>CurrentPositions!A7</f>
        <v/>
      </c>
      <c r="B12">
        <f>CurrentPositions!B7</f>
        <v/>
      </c>
      <c r="C12">
        <f>CurrentPositions!C7</f>
        <v/>
      </c>
      <c r="D12" t="inlineStr">
        <is>
          <t>LowerLevel4</t>
        </is>
      </c>
      <c r="E12">
        <f>E3-4*Settings!$B$5*Settings!$B$3</f>
        <v/>
      </c>
      <c r="F12">
        <f>$B$4</f>
        <v/>
      </c>
      <c r="G12">
        <f>IF(B12="BUY",(F12-E12)/Settings!$B$3,(E12-F12)/Settings!$B$3)</f>
        <v/>
      </c>
      <c r="H12">
        <f>G12*D12*Settings!$B$4</f>
        <v/>
      </c>
      <c r="I12">
        <f>CurrentPositions!I7</f>
        <v/>
      </c>
      <c r="J12">
        <f>CurrentPositions!J7</f>
        <v/>
      </c>
    </row>
    <row r="13">
      <c r="A13">
        <f>CurrentPositions!A8</f>
        <v/>
      </c>
      <c r="B13">
        <f>CurrentPositions!B8</f>
        <v/>
      </c>
      <c r="C13">
        <f>CurrentPositions!C8</f>
        <v/>
      </c>
      <c r="D13">
        <f>CurrentPositions!D8</f>
        <v/>
      </c>
      <c r="E13">
        <f>CurrentPositions!E8</f>
        <v/>
      </c>
      <c r="F13">
        <f>$B$4</f>
        <v/>
      </c>
      <c r="G13">
        <f>IF(B13="BUY",(F13-E13)/Settings!$B$3,(E13-F13)/Settings!$B$3)</f>
        <v/>
      </c>
      <c r="H13">
        <f>G13*D13*Settings!$B$4</f>
        <v/>
      </c>
      <c r="I13">
        <f>CurrentPositions!I8</f>
        <v/>
      </c>
      <c r="J13">
        <f>CurrentPositions!J8</f>
        <v/>
      </c>
    </row>
    <row r="14">
      <c r="A14">
        <f>CurrentPositions!A9</f>
        <v/>
      </c>
      <c r="B14">
        <f>CurrentPositions!B9</f>
        <v/>
      </c>
      <c r="C14">
        <f>CurrentPositions!C9</f>
        <v/>
      </c>
      <c r="D14">
        <f>CurrentPositions!D9</f>
        <v/>
      </c>
      <c r="E14">
        <f>CurrentPositions!E9</f>
        <v/>
      </c>
      <c r="F14">
        <f>$B$4</f>
        <v/>
      </c>
      <c r="G14">
        <f>IF(B14="BUY",(F14-E14)/Settings!$B$3,(E14-F14)/Settings!$B$3)</f>
        <v/>
      </c>
      <c r="H14">
        <f>G14*D14*Settings!$B$4</f>
        <v/>
      </c>
      <c r="I14">
        <f>CurrentPositions!I9</f>
        <v/>
      </c>
      <c r="J14">
        <f>CurrentPositions!J9</f>
        <v/>
      </c>
    </row>
    <row r="15">
      <c r="A15">
        <f>CurrentPositions!A10</f>
        <v/>
      </c>
      <c r="B15">
        <f>CurrentPositions!B10</f>
        <v/>
      </c>
      <c r="C15">
        <f>CurrentPositions!C10</f>
        <v/>
      </c>
      <c r="D15">
        <f>CurrentPositions!D10</f>
        <v/>
      </c>
      <c r="E15">
        <f>CurrentPositions!E10</f>
        <v/>
      </c>
      <c r="F15">
        <f>$B$4</f>
        <v/>
      </c>
      <c r="G15">
        <f>IF(B15="BUY",(F15-E15)/Settings!$B$3,(E15-F15)/Settings!$B$3)</f>
        <v/>
      </c>
      <c r="H15">
        <f>G15*D15*Settings!$B$4</f>
        <v/>
      </c>
      <c r="I15">
        <f>CurrentPositions!I10</f>
        <v/>
      </c>
      <c r="J15">
        <f>CurrentPositions!J10</f>
        <v/>
      </c>
    </row>
    <row r="16">
      <c r="A16">
        <f>CurrentPositions!A11</f>
        <v/>
      </c>
      <c r="B16">
        <f>CurrentPositions!B11</f>
        <v/>
      </c>
      <c r="C16">
        <f>CurrentPositions!C11</f>
        <v/>
      </c>
      <c r="D16">
        <f>CurrentPositions!D11</f>
        <v/>
      </c>
      <c r="E16">
        <f>CurrentPositions!E11</f>
        <v/>
      </c>
      <c r="F16">
        <f>$B$4</f>
        <v/>
      </c>
      <c r="G16">
        <f>IF(B16="BUY",(F16-E16)/Settings!$B$3,(E16-F16)/Settings!$B$3)</f>
        <v/>
      </c>
      <c r="H16">
        <f>G16*D16*Settings!$B$4</f>
        <v/>
      </c>
      <c r="I16">
        <f>CurrentPositions!I11</f>
        <v/>
      </c>
      <c r="J16">
        <f>CurrentPositions!J11</f>
        <v/>
      </c>
    </row>
    <row r="17">
      <c r="A17">
        <f>CurrentPositions!A12</f>
        <v/>
      </c>
      <c r="B17">
        <f>CurrentPositions!B12</f>
        <v/>
      </c>
      <c r="C17">
        <f>CurrentPositions!C12</f>
        <v/>
      </c>
      <c r="D17">
        <f>CurrentPositions!D12</f>
        <v/>
      </c>
      <c r="E17">
        <f>CurrentPositions!E12</f>
        <v/>
      </c>
      <c r="F17">
        <f>$B$4</f>
        <v/>
      </c>
      <c r="G17">
        <f>IF(B17="BUY",(F17-E17)/Settings!$B$3,(E17-F17)/Settings!$B$3)</f>
        <v/>
      </c>
      <c r="H17">
        <f>G17*D17*Settings!$B$4</f>
        <v/>
      </c>
      <c r="I17">
        <f>CurrentPositions!I12</f>
        <v/>
      </c>
      <c r="J17">
        <f>CurrentPositions!J12</f>
        <v/>
      </c>
    </row>
    <row r="18">
      <c r="A18">
        <f>CurrentPositions!A13</f>
        <v/>
      </c>
      <c r="B18">
        <f>CurrentPositions!B13</f>
        <v/>
      </c>
      <c r="C18">
        <f>CurrentPositions!C13</f>
        <v/>
      </c>
      <c r="D18">
        <f>CurrentPositions!D13</f>
        <v/>
      </c>
      <c r="E18">
        <f>CurrentPositions!E13</f>
        <v/>
      </c>
      <c r="F18">
        <f>$B$4</f>
        <v/>
      </c>
      <c r="G18">
        <f>IF(B18="BUY",(F18-E18)/Settings!$B$3,(E18-F18)/Settings!$B$3)</f>
        <v/>
      </c>
      <c r="H18">
        <f>G18*D18*Settings!$B$4</f>
        <v/>
      </c>
      <c r="I18">
        <f>CurrentPositions!I13</f>
        <v/>
      </c>
      <c r="J18">
        <f>CurrentPositions!J13</f>
        <v/>
      </c>
    </row>
    <row r="19">
      <c r="A19">
        <f>CurrentPositions!A14</f>
        <v/>
      </c>
      <c r="B19">
        <f>CurrentPositions!B14</f>
        <v/>
      </c>
      <c r="C19">
        <f>CurrentPositions!C14</f>
        <v/>
      </c>
      <c r="D19">
        <f>CurrentPositions!D14</f>
        <v/>
      </c>
      <c r="E19">
        <f>CurrentPositions!E14</f>
        <v/>
      </c>
      <c r="F19">
        <f>$B$4</f>
        <v/>
      </c>
      <c r="G19">
        <f>IF(B19="BUY",(F19-E19)/Settings!$B$3,(E19-F19)/Settings!$B$3)</f>
        <v/>
      </c>
      <c r="H19">
        <f>G19*D19*Settings!$B$4</f>
        <v/>
      </c>
      <c r="I19">
        <f>CurrentPositions!I14</f>
        <v/>
      </c>
      <c r="J19">
        <f>CurrentPositions!J14</f>
        <v/>
      </c>
    </row>
    <row r="20">
      <c r="A20">
        <f>CurrentPositions!A15</f>
        <v/>
      </c>
      <c r="B20">
        <f>CurrentPositions!B15</f>
        <v/>
      </c>
      <c r="C20">
        <f>CurrentPositions!C15</f>
        <v/>
      </c>
      <c r="D20">
        <f>CurrentPositions!D15</f>
        <v/>
      </c>
      <c r="E20">
        <f>CurrentPositions!E15</f>
        <v/>
      </c>
      <c r="F20">
        <f>$B$4</f>
        <v/>
      </c>
      <c r="G20">
        <f>IF(B20="BUY",(F20-E20)/Settings!$B$3,(E20-F20)/Settings!$B$3)</f>
        <v/>
      </c>
      <c r="H20">
        <f>G20*D20*Settings!$B$4</f>
        <v/>
      </c>
      <c r="I20">
        <f>CurrentPositions!I15</f>
        <v/>
      </c>
      <c r="J20">
        <f>CurrentPositions!J15</f>
        <v/>
      </c>
    </row>
    <row r="21">
      <c r="A21">
        <f>CurrentPositions!A16</f>
        <v/>
      </c>
      <c r="B21">
        <f>CurrentPositions!B16</f>
        <v/>
      </c>
      <c r="C21">
        <f>CurrentPositions!C16</f>
        <v/>
      </c>
      <c r="D21">
        <f>CurrentPositions!D16</f>
        <v/>
      </c>
      <c r="E21">
        <f>CurrentPositions!E16</f>
        <v/>
      </c>
      <c r="F21">
        <f>$B$4</f>
        <v/>
      </c>
      <c r="G21">
        <f>IF(B21="BUY",(F21-E21)/Settings!$B$3,(E21-F21)/Settings!$B$3)</f>
        <v/>
      </c>
      <c r="H21">
        <f>G21*D21*Settings!$B$4</f>
        <v/>
      </c>
      <c r="I21">
        <f>CurrentPositions!I16</f>
        <v/>
      </c>
      <c r="J21">
        <f>CurrentPositions!J16</f>
        <v/>
      </c>
    </row>
    <row r="22">
      <c r="A22">
        <f>CurrentPositions!A17</f>
        <v/>
      </c>
      <c r="B22">
        <f>CurrentPositions!B17</f>
        <v/>
      </c>
      <c r="C22">
        <f>CurrentPositions!C17</f>
        <v/>
      </c>
      <c r="D22">
        <f>CurrentPositions!D17</f>
        <v/>
      </c>
      <c r="E22">
        <f>CurrentPositions!E17</f>
        <v/>
      </c>
      <c r="F22">
        <f>$B$4</f>
        <v/>
      </c>
      <c r="G22">
        <f>IF(B22="BUY",(F22-E22)/Settings!$B$3,(E22-F22)/Settings!$B$3)</f>
        <v/>
      </c>
      <c r="H22">
        <f>G22*D22*Settings!$B$4</f>
        <v/>
      </c>
      <c r="I22">
        <f>CurrentPositions!I17</f>
        <v/>
      </c>
      <c r="J22">
        <f>CurrentPositions!J17</f>
        <v/>
      </c>
    </row>
    <row r="23">
      <c r="A23">
        <f>CurrentPositions!A18</f>
        <v/>
      </c>
      <c r="B23">
        <f>CurrentPositions!B18</f>
        <v/>
      </c>
      <c r="C23">
        <f>CurrentPositions!C18</f>
        <v/>
      </c>
      <c r="D23">
        <f>CurrentPositions!D18</f>
        <v/>
      </c>
      <c r="E23">
        <f>CurrentPositions!E18</f>
        <v/>
      </c>
      <c r="F23">
        <f>$B$4</f>
        <v/>
      </c>
      <c r="G23">
        <f>IF(B23="BUY",(F23-E23)/Settings!$B$3,(E23-F23)/Settings!$B$3)</f>
        <v/>
      </c>
      <c r="H23">
        <f>G23*D23*Settings!$B$4</f>
        <v/>
      </c>
      <c r="I23">
        <f>CurrentPositions!I18</f>
        <v/>
      </c>
      <c r="J23">
        <f>CurrentPositions!J18</f>
        <v/>
      </c>
    </row>
    <row r="24">
      <c r="A24">
        <f>CurrentPositions!A19</f>
        <v/>
      </c>
      <c r="B24">
        <f>CurrentPositions!B19</f>
        <v/>
      </c>
      <c r="C24">
        <f>CurrentPositions!C19</f>
        <v/>
      </c>
      <c r="D24">
        <f>CurrentPositions!D19</f>
        <v/>
      </c>
      <c r="E24">
        <f>CurrentPositions!E19</f>
        <v/>
      </c>
      <c r="F24">
        <f>$B$4</f>
        <v/>
      </c>
      <c r="G24">
        <f>IF(B24="BUY",(F24-E24)/Settings!$B$3,(E24-F24)/Settings!$B$3)</f>
        <v/>
      </c>
      <c r="H24">
        <f>G24*D24*Settings!$B$4</f>
        <v/>
      </c>
      <c r="I24">
        <f>CurrentPositions!I19</f>
        <v/>
      </c>
      <c r="J24">
        <f>CurrentPositions!J19</f>
        <v/>
      </c>
    </row>
    <row r="25">
      <c r="A25">
        <f>CurrentPositions!A20</f>
        <v/>
      </c>
      <c r="B25">
        <f>CurrentPositions!B20</f>
        <v/>
      </c>
      <c r="C25">
        <f>CurrentPositions!C20</f>
        <v/>
      </c>
      <c r="D25">
        <f>CurrentPositions!D20</f>
        <v/>
      </c>
      <c r="E25">
        <f>CurrentPositions!E20</f>
        <v/>
      </c>
      <c r="F25">
        <f>$B$4</f>
        <v/>
      </c>
      <c r="G25">
        <f>IF(B25="BUY",(F25-E25)/Settings!$B$3,(E25-F25)/Settings!$B$3)</f>
        <v/>
      </c>
      <c r="H25">
        <f>G25*D25*Settings!$B$4</f>
        <v/>
      </c>
      <c r="I25">
        <f>CurrentPositions!I20</f>
        <v/>
      </c>
      <c r="J25">
        <f>CurrentPositions!J20</f>
        <v/>
      </c>
    </row>
    <row r="26">
      <c r="A26">
        <f>CurrentPositions!A21</f>
        <v/>
      </c>
      <c r="B26">
        <f>CurrentPositions!B21</f>
        <v/>
      </c>
      <c r="C26">
        <f>CurrentPositions!C21</f>
        <v/>
      </c>
      <c r="D26">
        <f>CurrentPositions!D21</f>
        <v/>
      </c>
      <c r="E26">
        <f>CurrentPositions!E21</f>
        <v/>
      </c>
      <c r="F26">
        <f>$B$4</f>
        <v/>
      </c>
      <c r="G26">
        <f>IF(B26="BUY",(F26-E26)/Settings!$B$3,(E26-F26)/Settings!$B$3)</f>
        <v/>
      </c>
      <c r="H26">
        <f>G26*D26*Settings!$B$4</f>
        <v/>
      </c>
      <c r="I26">
        <f>CurrentPositions!I21</f>
        <v/>
      </c>
      <c r="J26">
        <f>CurrentPositions!J21</f>
        <v/>
      </c>
    </row>
    <row r="27">
      <c r="A27">
        <f>CurrentPositions!A22</f>
        <v/>
      </c>
      <c r="B27">
        <f>CurrentPositions!B22</f>
        <v/>
      </c>
      <c r="C27">
        <f>CurrentPositions!C22</f>
        <v/>
      </c>
      <c r="D27">
        <f>CurrentPositions!D22</f>
        <v/>
      </c>
      <c r="E27">
        <f>CurrentPositions!E22</f>
        <v/>
      </c>
      <c r="F27">
        <f>$B$4</f>
        <v/>
      </c>
      <c r="G27">
        <f>IF(B27="BUY",(F27-E27)/Settings!$B$3,(E27-F27)/Settings!$B$3)</f>
        <v/>
      </c>
      <c r="H27">
        <f>G27*D27*Settings!$B$4</f>
        <v/>
      </c>
      <c r="I27">
        <f>CurrentPositions!I22</f>
        <v/>
      </c>
      <c r="J27">
        <f>CurrentPositions!J22</f>
        <v/>
      </c>
    </row>
    <row r="28">
      <c r="A28">
        <f>CurrentPositions!A23</f>
        <v/>
      </c>
      <c r="B28">
        <f>CurrentPositions!B23</f>
        <v/>
      </c>
      <c r="C28">
        <f>CurrentPositions!C23</f>
        <v/>
      </c>
      <c r="D28">
        <f>CurrentPositions!D23</f>
        <v/>
      </c>
      <c r="E28">
        <f>CurrentPositions!E23</f>
        <v/>
      </c>
      <c r="F28">
        <f>$B$4</f>
        <v/>
      </c>
      <c r="G28">
        <f>IF(B28="BUY",(F28-E28)/Settings!$B$3,(E28-F28)/Settings!$B$3)</f>
        <v/>
      </c>
      <c r="H28">
        <f>G28*D28*Settings!$B$4</f>
        <v/>
      </c>
      <c r="I28">
        <f>CurrentPositions!I23</f>
        <v/>
      </c>
      <c r="J28">
        <f>CurrentPositions!J23</f>
        <v/>
      </c>
    </row>
    <row r="29">
      <c r="A29">
        <f>CurrentPositions!A24</f>
        <v/>
      </c>
      <c r="B29">
        <f>CurrentPositions!B24</f>
        <v/>
      </c>
      <c r="C29">
        <f>CurrentPositions!C24</f>
        <v/>
      </c>
      <c r="D29">
        <f>CurrentPositions!D24</f>
        <v/>
      </c>
      <c r="E29">
        <f>CurrentPositions!E24</f>
        <v/>
      </c>
      <c r="F29">
        <f>$B$4</f>
        <v/>
      </c>
      <c r="G29">
        <f>IF(B29="BUY",(F29-E29)/Settings!$B$3,(E29-F29)/Settings!$B$3)</f>
        <v/>
      </c>
      <c r="H29">
        <f>G29*D29*Settings!$B$4</f>
        <v/>
      </c>
      <c r="I29">
        <f>CurrentPositions!I24</f>
        <v/>
      </c>
      <c r="J29">
        <f>CurrentPositions!J24</f>
        <v/>
      </c>
    </row>
    <row r="30">
      <c r="A30">
        <f>CurrentPositions!A25</f>
        <v/>
      </c>
      <c r="B30">
        <f>CurrentPositions!B25</f>
        <v/>
      </c>
      <c r="C30">
        <f>CurrentPositions!C25</f>
        <v/>
      </c>
      <c r="D30">
        <f>CurrentPositions!D25</f>
        <v/>
      </c>
      <c r="E30">
        <f>CurrentPositions!E25</f>
        <v/>
      </c>
      <c r="F30">
        <f>$B$4</f>
        <v/>
      </c>
      <c r="G30">
        <f>IF(B30="BUY",(F30-E30)/Settings!$B$3,(E30-F30)/Settings!$B$3)</f>
        <v/>
      </c>
      <c r="H30">
        <f>G30*D30*Settings!$B$4</f>
        <v/>
      </c>
      <c r="I30">
        <f>CurrentPositions!I25</f>
        <v/>
      </c>
      <c r="J30">
        <f>CurrentPositions!J25</f>
        <v/>
      </c>
    </row>
    <row r="31">
      <c r="A31">
        <f>CurrentPositions!A26</f>
        <v/>
      </c>
      <c r="B31">
        <f>CurrentPositions!B26</f>
        <v/>
      </c>
      <c r="C31">
        <f>CurrentPositions!C26</f>
        <v/>
      </c>
      <c r="D31">
        <f>CurrentPositions!D26</f>
        <v/>
      </c>
      <c r="E31">
        <f>CurrentPositions!E26</f>
        <v/>
      </c>
      <c r="F31">
        <f>$B$4</f>
        <v/>
      </c>
      <c r="G31">
        <f>IF(B31="BUY",(F31-E31)/Settings!$B$3,(E31-F31)/Settings!$B$3)</f>
        <v/>
      </c>
      <c r="H31">
        <f>G31*D31*Settings!$B$4</f>
        <v/>
      </c>
      <c r="I31">
        <f>CurrentPositions!I26</f>
        <v/>
      </c>
      <c r="J31">
        <f>CurrentPositions!J26</f>
        <v/>
      </c>
    </row>
    <row r="32">
      <c r="A32">
        <f>CurrentPositions!A27</f>
        <v/>
      </c>
      <c r="B32">
        <f>CurrentPositions!B27</f>
        <v/>
      </c>
      <c r="C32">
        <f>CurrentPositions!C27</f>
        <v/>
      </c>
      <c r="D32">
        <f>CurrentPositions!D27</f>
        <v/>
      </c>
      <c r="E32">
        <f>CurrentPositions!E27</f>
        <v/>
      </c>
      <c r="F32">
        <f>$B$4</f>
        <v/>
      </c>
      <c r="G32">
        <f>IF(B32="BUY",(F32-E32)/Settings!$B$3,(E32-F32)/Settings!$B$3)</f>
        <v/>
      </c>
      <c r="H32">
        <f>G32*D32*Settings!$B$4</f>
        <v/>
      </c>
      <c r="I32">
        <f>CurrentPositions!I27</f>
        <v/>
      </c>
      <c r="J32">
        <f>CurrentPositions!J27</f>
        <v/>
      </c>
    </row>
    <row r="33">
      <c r="A33">
        <f>CurrentPositions!A28</f>
        <v/>
      </c>
      <c r="B33">
        <f>CurrentPositions!B28</f>
        <v/>
      </c>
      <c r="C33">
        <f>CurrentPositions!C28</f>
        <v/>
      </c>
      <c r="D33">
        <f>CurrentPositions!D28</f>
        <v/>
      </c>
      <c r="E33">
        <f>CurrentPositions!E28</f>
        <v/>
      </c>
      <c r="F33">
        <f>$B$4</f>
        <v/>
      </c>
      <c r="G33">
        <f>IF(B33="BUY",(F33-E33)/Settings!$B$3,(E33-F33)/Settings!$B$3)</f>
        <v/>
      </c>
      <c r="H33">
        <f>G33*D33*Settings!$B$4</f>
        <v/>
      </c>
      <c r="I33">
        <f>CurrentPositions!I28</f>
        <v/>
      </c>
      <c r="J33">
        <f>CurrentPositions!J28</f>
        <v/>
      </c>
    </row>
    <row r="34">
      <c r="A34">
        <f>CurrentPositions!A29</f>
        <v/>
      </c>
      <c r="B34">
        <f>CurrentPositions!B29</f>
        <v/>
      </c>
      <c r="C34">
        <f>CurrentPositions!C29</f>
        <v/>
      </c>
      <c r="D34">
        <f>CurrentPositions!D29</f>
        <v/>
      </c>
      <c r="E34">
        <f>CurrentPositions!E29</f>
        <v/>
      </c>
      <c r="F34">
        <f>$B$4</f>
        <v/>
      </c>
      <c r="G34">
        <f>IF(B34="BUY",(F34-E34)/Settings!$B$3,(E34-F34)/Settings!$B$3)</f>
        <v/>
      </c>
      <c r="H34">
        <f>G34*D34*Settings!$B$4</f>
        <v/>
      </c>
      <c r="I34">
        <f>CurrentPositions!I29</f>
        <v/>
      </c>
      <c r="J34">
        <f>CurrentPositions!J29</f>
        <v/>
      </c>
    </row>
    <row r="35">
      <c r="A35">
        <f>CurrentPositions!A30</f>
        <v/>
      </c>
      <c r="B35">
        <f>CurrentPositions!B30</f>
        <v/>
      </c>
      <c r="C35">
        <f>CurrentPositions!C30</f>
        <v/>
      </c>
      <c r="D35">
        <f>CurrentPositions!D30</f>
        <v/>
      </c>
      <c r="E35">
        <f>CurrentPositions!E30</f>
        <v/>
      </c>
      <c r="F35">
        <f>$B$4</f>
        <v/>
      </c>
      <c r="G35">
        <f>IF(B35="BUY",(F35-E35)/Settings!$B$3,(E35-F35)/Settings!$B$3)</f>
        <v/>
      </c>
      <c r="H35">
        <f>G35*D35*Settings!$B$4</f>
        <v/>
      </c>
      <c r="I35">
        <f>CurrentPositions!I30</f>
        <v/>
      </c>
      <c r="J35">
        <f>CurrentPositions!J30</f>
        <v/>
      </c>
    </row>
    <row r="36">
      <c r="A36">
        <f>CurrentPositions!A31</f>
        <v/>
      </c>
      <c r="B36">
        <f>CurrentPositions!B31</f>
        <v/>
      </c>
      <c r="C36">
        <f>CurrentPositions!C31</f>
        <v/>
      </c>
      <c r="D36">
        <f>CurrentPositions!D31</f>
        <v/>
      </c>
      <c r="E36">
        <f>CurrentPositions!E31</f>
        <v/>
      </c>
      <c r="F36">
        <f>$B$4</f>
        <v/>
      </c>
      <c r="G36">
        <f>IF(B36="BUY",(F36-E36)/Settings!$B$3,(E36-F36)/Settings!$B$3)</f>
        <v/>
      </c>
      <c r="H36">
        <f>G36*D36*Settings!$B$4</f>
        <v/>
      </c>
      <c r="I36">
        <f>CurrentPositions!I31</f>
        <v/>
      </c>
      <c r="J36">
        <f>CurrentPositions!J31</f>
        <v/>
      </c>
    </row>
    <row r="37">
      <c r="A37">
        <f>CurrentPositions!A32</f>
        <v/>
      </c>
      <c r="B37">
        <f>CurrentPositions!B32</f>
        <v/>
      </c>
      <c r="C37">
        <f>CurrentPositions!C32</f>
        <v/>
      </c>
      <c r="D37">
        <f>CurrentPositions!D32</f>
        <v/>
      </c>
      <c r="E37">
        <f>CurrentPositions!E32</f>
        <v/>
      </c>
      <c r="F37">
        <f>$B$4</f>
        <v/>
      </c>
      <c r="G37">
        <f>IF(B37="BUY",(F37-E37)/Settings!$B$3,(E37-F37)/Settings!$B$3)</f>
        <v/>
      </c>
      <c r="H37">
        <f>G37*D37*Settings!$B$4</f>
        <v/>
      </c>
      <c r="I37">
        <f>CurrentPositions!I32</f>
        <v/>
      </c>
      <c r="J37">
        <f>CurrentPositions!J32</f>
        <v/>
      </c>
    </row>
    <row r="38">
      <c r="A38">
        <f>CurrentPositions!A33</f>
        <v/>
      </c>
      <c r="B38">
        <f>CurrentPositions!B33</f>
        <v/>
      </c>
      <c r="C38">
        <f>CurrentPositions!C33</f>
        <v/>
      </c>
      <c r="D38">
        <f>CurrentPositions!D33</f>
        <v/>
      </c>
      <c r="E38">
        <f>CurrentPositions!E33</f>
        <v/>
      </c>
      <c r="F38">
        <f>$B$4</f>
        <v/>
      </c>
      <c r="G38">
        <f>IF(B38="BUY",(F38-E38)/Settings!$B$3,(E38-F38)/Settings!$B$3)</f>
        <v/>
      </c>
      <c r="H38">
        <f>G38*D38*Settings!$B$4</f>
        <v/>
      </c>
      <c r="I38">
        <f>CurrentPositions!I33</f>
        <v/>
      </c>
      <c r="J38">
        <f>CurrentPositions!J33</f>
        <v/>
      </c>
    </row>
    <row r="39">
      <c r="A39">
        <f>CurrentPositions!A34</f>
        <v/>
      </c>
      <c r="B39">
        <f>CurrentPositions!B34</f>
        <v/>
      </c>
      <c r="C39">
        <f>CurrentPositions!C34</f>
        <v/>
      </c>
      <c r="D39">
        <f>CurrentPositions!D34</f>
        <v/>
      </c>
      <c r="E39">
        <f>CurrentPositions!E34</f>
        <v/>
      </c>
      <c r="F39">
        <f>$B$4</f>
        <v/>
      </c>
      <c r="G39">
        <f>IF(B39="BUY",(F39-E39)/Settings!$B$3,(E39-F39)/Settings!$B$3)</f>
        <v/>
      </c>
      <c r="H39">
        <f>G39*D39*Settings!$B$4</f>
        <v/>
      </c>
      <c r="I39">
        <f>CurrentPositions!I34</f>
        <v/>
      </c>
      <c r="J39">
        <f>CurrentPositions!J34</f>
        <v/>
      </c>
    </row>
    <row r="40">
      <c r="A40">
        <f>CurrentPositions!A35</f>
        <v/>
      </c>
      <c r="B40">
        <f>CurrentPositions!B35</f>
        <v/>
      </c>
      <c r="C40">
        <f>CurrentPositions!C35</f>
        <v/>
      </c>
      <c r="D40">
        <f>CurrentPositions!D35</f>
        <v/>
      </c>
      <c r="E40">
        <f>CurrentPositions!E35</f>
        <v/>
      </c>
      <c r="F40">
        <f>$B$4</f>
        <v/>
      </c>
      <c r="G40">
        <f>IF(B40="BUY",(F40-E40)/Settings!$B$3,(E40-F40)/Settings!$B$3)</f>
        <v/>
      </c>
      <c r="H40">
        <f>G40*D40*Settings!$B$4</f>
        <v/>
      </c>
      <c r="I40">
        <f>CurrentPositions!I35</f>
        <v/>
      </c>
      <c r="J40">
        <f>CurrentPositions!J35</f>
        <v/>
      </c>
    </row>
    <row r="41">
      <c r="A41">
        <f>CurrentPositions!A36</f>
        <v/>
      </c>
      <c r="B41">
        <f>CurrentPositions!B36</f>
        <v/>
      </c>
      <c r="C41">
        <f>CurrentPositions!C36</f>
        <v/>
      </c>
      <c r="D41">
        <f>CurrentPositions!D36</f>
        <v/>
      </c>
      <c r="E41">
        <f>CurrentPositions!E36</f>
        <v/>
      </c>
      <c r="F41">
        <f>$B$4</f>
        <v/>
      </c>
      <c r="G41">
        <f>IF(B41="BUY",(F41-E41)/Settings!$B$3,(E41-F41)/Settings!$B$3)</f>
        <v/>
      </c>
      <c r="H41">
        <f>G41*D41*Settings!$B$4</f>
        <v/>
      </c>
      <c r="I41">
        <f>CurrentPositions!I36</f>
        <v/>
      </c>
      <c r="J41">
        <f>CurrentPositions!J36</f>
        <v/>
      </c>
    </row>
    <row r="42">
      <c r="A42">
        <f>CurrentPositions!A37</f>
        <v/>
      </c>
      <c r="B42">
        <f>CurrentPositions!B37</f>
        <v/>
      </c>
      <c r="C42">
        <f>CurrentPositions!C37</f>
        <v/>
      </c>
      <c r="D42">
        <f>CurrentPositions!D37</f>
        <v/>
      </c>
      <c r="E42">
        <f>CurrentPositions!E37</f>
        <v/>
      </c>
      <c r="F42">
        <f>$B$4</f>
        <v/>
      </c>
      <c r="G42">
        <f>IF(B42="BUY",(F42-E42)/Settings!$B$3,(E42-F42)/Settings!$B$3)</f>
        <v/>
      </c>
      <c r="H42">
        <f>G42*D42*Settings!$B$4</f>
        <v/>
      </c>
      <c r="I42">
        <f>CurrentPositions!I37</f>
        <v/>
      </c>
      <c r="J42">
        <f>CurrentPositions!J37</f>
        <v/>
      </c>
    </row>
    <row r="43">
      <c r="A43">
        <f>CurrentPositions!A38</f>
        <v/>
      </c>
      <c r="B43">
        <f>CurrentPositions!B38</f>
        <v/>
      </c>
      <c r="C43">
        <f>CurrentPositions!C38</f>
        <v/>
      </c>
      <c r="D43">
        <f>CurrentPositions!D38</f>
        <v/>
      </c>
      <c r="E43">
        <f>CurrentPositions!E38</f>
        <v/>
      </c>
      <c r="F43">
        <f>$B$4</f>
        <v/>
      </c>
      <c r="G43">
        <f>IF(B43="BUY",(F43-E43)/Settings!$B$3,(E43-F43)/Settings!$B$3)</f>
        <v/>
      </c>
      <c r="H43">
        <f>G43*D43*Settings!$B$4</f>
        <v/>
      </c>
      <c r="I43">
        <f>CurrentPositions!I38</f>
        <v/>
      </c>
      <c r="J43">
        <f>CurrentPositions!J38</f>
        <v/>
      </c>
    </row>
    <row r="44">
      <c r="A44">
        <f>CurrentPositions!A39</f>
        <v/>
      </c>
      <c r="B44">
        <f>CurrentPositions!B39</f>
        <v/>
      </c>
      <c r="C44">
        <f>CurrentPositions!C39</f>
        <v/>
      </c>
      <c r="D44">
        <f>CurrentPositions!D39</f>
        <v/>
      </c>
      <c r="E44">
        <f>CurrentPositions!E39</f>
        <v/>
      </c>
      <c r="F44">
        <f>$B$4</f>
        <v/>
      </c>
      <c r="G44">
        <f>IF(B44="BUY",(F44-E44)/Settings!$B$3,(E44-F44)/Settings!$B$3)</f>
        <v/>
      </c>
      <c r="H44">
        <f>G44*D44*Settings!$B$4</f>
        <v/>
      </c>
      <c r="I44">
        <f>CurrentPositions!I39</f>
        <v/>
      </c>
      <c r="J44">
        <f>CurrentPositions!J39</f>
        <v/>
      </c>
    </row>
    <row r="45">
      <c r="A45">
        <f>CurrentPositions!A40</f>
        <v/>
      </c>
      <c r="B45">
        <f>CurrentPositions!B40</f>
        <v/>
      </c>
      <c r="C45">
        <f>CurrentPositions!C40</f>
        <v/>
      </c>
      <c r="D45">
        <f>CurrentPositions!D40</f>
        <v/>
      </c>
      <c r="E45">
        <f>CurrentPositions!E40</f>
        <v/>
      </c>
      <c r="F45">
        <f>$B$4</f>
        <v/>
      </c>
      <c r="G45">
        <f>IF(B45="BUY",(F45-E45)/Settings!$B$3,(E45-F45)/Settings!$B$3)</f>
        <v/>
      </c>
      <c r="H45">
        <f>G45*D45*Settings!$B$4</f>
        <v/>
      </c>
      <c r="I45">
        <f>CurrentPositions!I40</f>
        <v/>
      </c>
      <c r="J45">
        <f>CurrentPositions!J40</f>
        <v/>
      </c>
    </row>
    <row r="46">
      <c r="A46">
        <f>CurrentPositions!A41</f>
        <v/>
      </c>
      <c r="B46">
        <f>CurrentPositions!B41</f>
        <v/>
      </c>
      <c r="C46">
        <f>CurrentPositions!C41</f>
        <v/>
      </c>
      <c r="D46">
        <f>CurrentPositions!D41</f>
        <v/>
      </c>
      <c r="E46">
        <f>CurrentPositions!E41</f>
        <v/>
      </c>
      <c r="F46">
        <f>$B$4</f>
        <v/>
      </c>
      <c r="G46">
        <f>IF(B46="BUY",(F46-E46)/Settings!$B$3,(E46-F46)/Settings!$B$3)</f>
        <v/>
      </c>
      <c r="H46">
        <f>G46*D46*Settings!$B$4</f>
        <v/>
      </c>
      <c r="I46">
        <f>CurrentPositions!I41</f>
        <v/>
      </c>
      <c r="J46">
        <f>CurrentPositions!J41</f>
        <v/>
      </c>
    </row>
    <row r="47">
      <c r="A47">
        <f>CurrentPositions!A42</f>
        <v/>
      </c>
      <c r="B47">
        <f>CurrentPositions!B42</f>
        <v/>
      </c>
      <c r="C47">
        <f>CurrentPositions!C42</f>
        <v/>
      </c>
      <c r="D47">
        <f>CurrentPositions!D42</f>
        <v/>
      </c>
      <c r="E47">
        <f>CurrentPositions!E42</f>
        <v/>
      </c>
      <c r="F47">
        <f>$B$4</f>
        <v/>
      </c>
      <c r="G47">
        <f>IF(B47="BUY",(F47-E47)/Settings!$B$3,(E47-F47)/Settings!$B$3)</f>
        <v/>
      </c>
      <c r="H47">
        <f>G47*D47*Settings!$B$4</f>
        <v/>
      </c>
      <c r="I47">
        <f>CurrentPositions!I42</f>
        <v/>
      </c>
      <c r="J47">
        <f>CurrentPositions!J42</f>
        <v/>
      </c>
    </row>
    <row r="48">
      <c r="A48">
        <f>CurrentPositions!A43</f>
        <v/>
      </c>
      <c r="B48">
        <f>CurrentPositions!B43</f>
        <v/>
      </c>
      <c r="C48">
        <f>CurrentPositions!C43</f>
        <v/>
      </c>
      <c r="D48">
        <f>CurrentPositions!D43</f>
        <v/>
      </c>
      <c r="E48">
        <f>CurrentPositions!E43</f>
        <v/>
      </c>
      <c r="F48">
        <f>$B$4</f>
        <v/>
      </c>
      <c r="G48">
        <f>IF(B48="BUY",(F48-E48)/Settings!$B$3,(E48-F48)/Settings!$B$3)</f>
        <v/>
      </c>
      <c r="H48">
        <f>G48*D48*Settings!$B$4</f>
        <v/>
      </c>
      <c r="I48">
        <f>CurrentPositions!I43</f>
        <v/>
      </c>
      <c r="J48">
        <f>CurrentPositions!J43</f>
        <v/>
      </c>
    </row>
    <row r="49">
      <c r="A49">
        <f>CurrentPositions!A44</f>
        <v/>
      </c>
      <c r="B49">
        <f>CurrentPositions!B44</f>
        <v/>
      </c>
      <c r="C49">
        <f>CurrentPositions!C44</f>
        <v/>
      </c>
      <c r="D49">
        <f>CurrentPositions!D44</f>
        <v/>
      </c>
      <c r="E49">
        <f>CurrentPositions!E44</f>
        <v/>
      </c>
      <c r="F49">
        <f>$B$4</f>
        <v/>
      </c>
      <c r="G49">
        <f>IF(B49="BUY",(F49-E49)/Settings!$B$3,(E49-F49)/Settings!$B$3)</f>
        <v/>
      </c>
      <c r="H49">
        <f>G49*D49*Settings!$B$4</f>
        <v/>
      </c>
      <c r="I49">
        <f>CurrentPositions!I44</f>
        <v/>
      </c>
      <c r="J49">
        <f>CurrentPositions!J44</f>
        <v/>
      </c>
    </row>
    <row r="50">
      <c r="A50">
        <f>CurrentPositions!A45</f>
        <v/>
      </c>
      <c r="B50">
        <f>CurrentPositions!B45</f>
        <v/>
      </c>
      <c r="C50">
        <f>CurrentPositions!C45</f>
        <v/>
      </c>
      <c r="D50">
        <f>CurrentPositions!D45</f>
        <v/>
      </c>
      <c r="E50">
        <f>CurrentPositions!E45</f>
        <v/>
      </c>
      <c r="F50">
        <f>$B$4</f>
        <v/>
      </c>
      <c r="G50">
        <f>IF(B50="BUY",(F50-E50)/Settings!$B$3,(E50-F50)/Settings!$B$3)</f>
        <v/>
      </c>
      <c r="H50">
        <f>G50*D50*Settings!$B$4</f>
        <v/>
      </c>
      <c r="I50">
        <f>CurrentPositions!I45</f>
        <v/>
      </c>
      <c r="J50">
        <f>CurrentPositions!J45</f>
        <v/>
      </c>
    </row>
    <row r="51">
      <c r="A51">
        <f>CurrentPositions!A46</f>
        <v/>
      </c>
      <c r="B51">
        <f>CurrentPositions!B46</f>
        <v/>
      </c>
      <c r="C51">
        <f>CurrentPositions!C46</f>
        <v/>
      </c>
      <c r="D51">
        <f>CurrentPositions!D46</f>
        <v/>
      </c>
      <c r="E51">
        <f>CurrentPositions!E46</f>
        <v/>
      </c>
      <c r="F51">
        <f>$B$4</f>
        <v/>
      </c>
      <c r="G51">
        <f>IF(B51="BUY",(F51-E51)/Settings!$B$3,(E51-F51)/Settings!$B$3)</f>
        <v/>
      </c>
      <c r="H51">
        <f>G51*D51*Settings!$B$4</f>
        <v/>
      </c>
      <c r="I51">
        <f>CurrentPositions!I46</f>
        <v/>
      </c>
      <c r="J51">
        <f>CurrentPositions!J46</f>
        <v/>
      </c>
    </row>
    <row r="52">
      <c r="A52">
        <f>CurrentPositions!A47</f>
        <v/>
      </c>
      <c r="B52">
        <f>CurrentPositions!B47</f>
        <v/>
      </c>
      <c r="C52">
        <f>CurrentPositions!C47</f>
        <v/>
      </c>
      <c r="D52">
        <f>CurrentPositions!D47</f>
        <v/>
      </c>
      <c r="E52">
        <f>CurrentPositions!E47</f>
        <v/>
      </c>
      <c r="F52">
        <f>$B$4</f>
        <v/>
      </c>
      <c r="G52">
        <f>IF(B52="BUY",(F52-E52)/Settings!$B$3,(E52-F52)/Settings!$B$3)</f>
        <v/>
      </c>
      <c r="H52">
        <f>G52*D52*Settings!$B$4</f>
        <v/>
      </c>
      <c r="I52">
        <f>CurrentPositions!I47</f>
        <v/>
      </c>
      <c r="J52">
        <f>CurrentPositions!J47</f>
        <v/>
      </c>
    </row>
    <row r="53">
      <c r="A53">
        <f>CurrentPositions!A48</f>
        <v/>
      </c>
      <c r="B53">
        <f>CurrentPositions!B48</f>
        <v/>
      </c>
      <c r="C53">
        <f>CurrentPositions!C48</f>
        <v/>
      </c>
      <c r="D53">
        <f>CurrentPositions!D48</f>
        <v/>
      </c>
      <c r="E53">
        <f>CurrentPositions!E48</f>
        <v/>
      </c>
      <c r="F53">
        <f>$B$4</f>
        <v/>
      </c>
      <c r="G53">
        <f>IF(B53="BUY",(F53-E53)/Settings!$B$3,(E53-F53)/Settings!$B$3)</f>
        <v/>
      </c>
      <c r="H53">
        <f>G53*D53*Settings!$B$4</f>
        <v/>
      </c>
      <c r="I53">
        <f>CurrentPositions!I48</f>
        <v/>
      </c>
      <c r="J53">
        <f>CurrentPositions!J48</f>
        <v/>
      </c>
    </row>
    <row r="54">
      <c r="A54">
        <f>CurrentPositions!A49</f>
        <v/>
      </c>
      <c r="B54">
        <f>CurrentPositions!B49</f>
        <v/>
      </c>
      <c r="C54">
        <f>CurrentPositions!C49</f>
        <v/>
      </c>
      <c r="D54">
        <f>CurrentPositions!D49</f>
        <v/>
      </c>
      <c r="E54">
        <f>CurrentPositions!E49</f>
        <v/>
      </c>
      <c r="F54">
        <f>$B$4</f>
        <v/>
      </c>
      <c r="G54">
        <f>IF(B54="BUY",(F54-E54)/Settings!$B$3,(E54-F54)/Settings!$B$3)</f>
        <v/>
      </c>
      <c r="H54">
        <f>G54*D54*Settings!$B$4</f>
        <v/>
      </c>
      <c r="I54">
        <f>CurrentPositions!I49</f>
        <v/>
      </c>
      <c r="J54">
        <f>CurrentPositions!J49</f>
        <v/>
      </c>
    </row>
    <row r="55">
      <c r="A55">
        <f>CurrentPositions!A50</f>
        <v/>
      </c>
      <c r="B55">
        <f>CurrentPositions!B50</f>
        <v/>
      </c>
      <c r="C55">
        <f>CurrentPositions!C50</f>
        <v/>
      </c>
      <c r="D55">
        <f>CurrentPositions!D50</f>
        <v/>
      </c>
      <c r="E55">
        <f>CurrentPositions!E50</f>
        <v/>
      </c>
      <c r="F55">
        <f>$B$4</f>
        <v/>
      </c>
      <c r="G55">
        <f>IF(B55="BUY",(F55-E55)/Settings!$B$3,(E55-F55)/Settings!$B$3)</f>
        <v/>
      </c>
      <c r="H55">
        <f>G55*D55*Settings!$B$4</f>
        <v/>
      </c>
      <c r="I55">
        <f>CurrentPositions!I50</f>
        <v/>
      </c>
      <c r="J55">
        <f>CurrentPositions!J50</f>
        <v/>
      </c>
    </row>
    <row r="56">
      <c r="A56">
        <f>CurrentPositions!A51</f>
        <v/>
      </c>
      <c r="B56">
        <f>CurrentPositions!B51</f>
        <v/>
      </c>
      <c r="C56">
        <f>CurrentPositions!C51</f>
        <v/>
      </c>
      <c r="D56">
        <f>CurrentPositions!D51</f>
        <v/>
      </c>
      <c r="E56">
        <f>CurrentPositions!E51</f>
        <v/>
      </c>
      <c r="F56">
        <f>$B$4</f>
        <v/>
      </c>
      <c r="G56">
        <f>IF(B56="BUY",(F56-E56)/Settings!$B$3,(E56-F56)/Settings!$B$3)</f>
        <v/>
      </c>
      <c r="H56">
        <f>G56*D56*Settings!$B$4</f>
        <v/>
      </c>
      <c r="I56">
        <f>CurrentPositions!I51</f>
        <v/>
      </c>
      <c r="J56">
        <f>CurrentPositions!J51</f>
        <v/>
      </c>
    </row>
    <row r="57">
      <c r="A57">
        <f>CurrentPositions!A52</f>
        <v/>
      </c>
      <c r="B57">
        <f>CurrentPositions!B52</f>
        <v/>
      </c>
      <c r="C57">
        <f>CurrentPositions!C52</f>
        <v/>
      </c>
      <c r="D57">
        <f>CurrentPositions!D52</f>
        <v/>
      </c>
      <c r="E57">
        <f>CurrentPositions!E52</f>
        <v/>
      </c>
      <c r="F57">
        <f>$B$4</f>
        <v/>
      </c>
      <c r="G57">
        <f>IF(B57="BUY",(F57-E57)/Settings!$B$3,(E57-F57)/Settings!$B$3)</f>
        <v/>
      </c>
      <c r="H57">
        <f>G57*D57*Settings!$B$4</f>
        <v/>
      </c>
      <c r="I57">
        <f>CurrentPositions!I52</f>
        <v/>
      </c>
      <c r="J57">
        <f>CurrentPositions!J52</f>
        <v/>
      </c>
    </row>
    <row r="58">
      <c r="A58">
        <f>CurrentPositions!A53</f>
        <v/>
      </c>
      <c r="B58">
        <f>CurrentPositions!B53</f>
        <v/>
      </c>
      <c r="C58">
        <f>CurrentPositions!C53</f>
        <v/>
      </c>
      <c r="D58">
        <f>CurrentPositions!D53</f>
        <v/>
      </c>
      <c r="E58">
        <f>CurrentPositions!E53</f>
        <v/>
      </c>
      <c r="F58">
        <f>$B$4</f>
        <v/>
      </c>
      <c r="G58">
        <f>IF(B58="BUY",(F58-E58)/Settings!$B$3,(E58-F58)/Settings!$B$3)</f>
        <v/>
      </c>
      <c r="H58">
        <f>G58*D58*Settings!$B$4</f>
        <v/>
      </c>
      <c r="I58">
        <f>CurrentPositions!I53</f>
        <v/>
      </c>
      <c r="J58">
        <f>CurrentPositions!J53</f>
        <v/>
      </c>
    </row>
    <row r="59">
      <c r="A59">
        <f>CurrentPositions!A54</f>
        <v/>
      </c>
      <c r="B59">
        <f>CurrentPositions!B54</f>
        <v/>
      </c>
      <c r="C59">
        <f>CurrentPositions!C54</f>
        <v/>
      </c>
      <c r="D59">
        <f>CurrentPositions!D54</f>
        <v/>
      </c>
      <c r="E59">
        <f>CurrentPositions!E54</f>
        <v/>
      </c>
      <c r="F59">
        <f>$B$4</f>
        <v/>
      </c>
      <c r="G59">
        <f>IF(B59="BUY",(F59-E59)/Settings!$B$3,(E59-F59)/Settings!$B$3)</f>
        <v/>
      </c>
      <c r="H59">
        <f>G59*D59*Settings!$B$4</f>
        <v/>
      </c>
      <c r="I59">
        <f>CurrentPositions!I54</f>
        <v/>
      </c>
      <c r="J59">
        <f>CurrentPositions!J54</f>
        <v/>
      </c>
    </row>
    <row r="60">
      <c r="A60">
        <f>CurrentPositions!A55</f>
        <v/>
      </c>
      <c r="B60">
        <f>CurrentPositions!B55</f>
        <v/>
      </c>
      <c r="C60">
        <f>CurrentPositions!C55</f>
        <v/>
      </c>
      <c r="D60">
        <f>CurrentPositions!D55</f>
        <v/>
      </c>
      <c r="E60">
        <f>CurrentPositions!E55</f>
        <v/>
      </c>
      <c r="F60">
        <f>$B$4</f>
        <v/>
      </c>
      <c r="G60">
        <f>IF(B60="BUY",(F60-E60)/Settings!$B$3,(E60-F60)/Settings!$B$3)</f>
        <v/>
      </c>
      <c r="H60">
        <f>G60*D60*Settings!$B$4</f>
        <v/>
      </c>
      <c r="I60">
        <f>CurrentPositions!I55</f>
        <v/>
      </c>
      <c r="J60">
        <f>CurrentPositions!J55</f>
        <v/>
      </c>
    </row>
    <row r="61">
      <c r="A61">
        <f>CurrentPositions!A56</f>
        <v/>
      </c>
      <c r="B61">
        <f>CurrentPositions!B56</f>
        <v/>
      </c>
      <c r="C61">
        <f>CurrentPositions!C56</f>
        <v/>
      </c>
      <c r="D61">
        <f>CurrentPositions!D56</f>
        <v/>
      </c>
      <c r="E61">
        <f>CurrentPositions!E56</f>
        <v/>
      </c>
      <c r="F61">
        <f>$B$4</f>
        <v/>
      </c>
      <c r="G61">
        <f>IF(B61="BUY",(F61-E61)/Settings!$B$3,(E61-F61)/Settings!$B$3)</f>
        <v/>
      </c>
      <c r="H61">
        <f>G61*D61*Settings!$B$4</f>
        <v/>
      </c>
      <c r="I61">
        <f>CurrentPositions!I56</f>
        <v/>
      </c>
      <c r="J61">
        <f>CurrentPositions!J56</f>
        <v/>
      </c>
    </row>
    <row r="62">
      <c r="A62">
        <f>CurrentPositions!A57</f>
        <v/>
      </c>
      <c r="B62">
        <f>CurrentPositions!B57</f>
        <v/>
      </c>
      <c r="C62">
        <f>CurrentPositions!C57</f>
        <v/>
      </c>
      <c r="D62">
        <f>CurrentPositions!D57</f>
        <v/>
      </c>
      <c r="E62">
        <f>CurrentPositions!E57</f>
        <v/>
      </c>
      <c r="F62">
        <f>$B$4</f>
        <v/>
      </c>
      <c r="G62">
        <f>IF(B62="BUY",(F62-E62)/Settings!$B$3,(E62-F62)/Settings!$B$3)</f>
        <v/>
      </c>
      <c r="H62">
        <f>G62*D62*Settings!$B$4</f>
        <v/>
      </c>
      <c r="I62">
        <f>CurrentPositions!I57</f>
        <v/>
      </c>
      <c r="J62">
        <f>CurrentPositions!J57</f>
        <v/>
      </c>
    </row>
    <row r="63">
      <c r="A63">
        <f>CurrentPositions!A58</f>
        <v/>
      </c>
      <c r="B63">
        <f>CurrentPositions!B58</f>
        <v/>
      </c>
      <c r="C63">
        <f>CurrentPositions!C58</f>
        <v/>
      </c>
      <c r="D63">
        <f>CurrentPositions!D58</f>
        <v/>
      </c>
      <c r="E63">
        <f>CurrentPositions!E58</f>
        <v/>
      </c>
      <c r="F63">
        <f>$B$4</f>
        <v/>
      </c>
      <c r="G63">
        <f>IF(B63="BUY",(F63-E63)/Settings!$B$3,(E63-F63)/Settings!$B$3)</f>
        <v/>
      </c>
      <c r="H63">
        <f>G63*D63*Settings!$B$4</f>
        <v/>
      </c>
      <c r="I63">
        <f>CurrentPositions!I58</f>
        <v/>
      </c>
      <c r="J63">
        <f>CurrentPositions!J58</f>
        <v/>
      </c>
    </row>
    <row r="64">
      <c r="A64">
        <f>CurrentPositions!A59</f>
        <v/>
      </c>
      <c r="B64">
        <f>CurrentPositions!B59</f>
        <v/>
      </c>
      <c r="C64">
        <f>CurrentPositions!C59</f>
        <v/>
      </c>
      <c r="D64">
        <f>CurrentPositions!D59</f>
        <v/>
      </c>
      <c r="E64">
        <f>CurrentPositions!E59</f>
        <v/>
      </c>
      <c r="F64">
        <f>$B$4</f>
        <v/>
      </c>
      <c r="G64">
        <f>IF(B64="BUY",(F64-E64)/Settings!$B$3,(E64-F64)/Settings!$B$3)</f>
        <v/>
      </c>
      <c r="H64">
        <f>G64*D64*Settings!$B$4</f>
        <v/>
      </c>
      <c r="I64">
        <f>CurrentPositions!I59</f>
        <v/>
      </c>
      <c r="J64">
        <f>CurrentPositions!J59</f>
        <v/>
      </c>
    </row>
    <row r="65">
      <c r="A65">
        <f>CurrentPositions!A60</f>
        <v/>
      </c>
      <c r="B65">
        <f>CurrentPositions!B60</f>
        <v/>
      </c>
      <c r="C65">
        <f>CurrentPositions!C60</f>
        <v/>
      </c>
      <c r="D65">
        <f>CurrentPositions!D60</f>
        <v/>
      </c>
      <c r="E65">
        <f>CurrentPositions!E60</f>
        <v/>
      </c>
      <c r="F65">
        <f>$B$4</f>
        <v/>
      </c>
      <c r="G65">
        <f>IF(B65="BUY",(F65-E65)/Settings!$B$3,(E65-F65)/Settings!$B$3)</f>
        <v/>
      </c>
      <c r="H65">
        <f>G65*D65*Settings!$B$4</f>
        <v/>
      </c>
      <c r="I65">
        <f>CurrentPositions!I60</f>
        <v/>
      </c>
      <c r="J65">
        <f>CurrentPositions!J60</f>
        <v/>
      </c>
    </row>
    <row r="66">
      <c r="A66">
        <f>CurrentPositions!A61</f>
        <v/>
      </c>
      <c r="B66">
        <f>CurrentPositions!B61</f>
        <v/>
      </c>
      <c r="C66">
        <f>CurrentPositions!C61</f>
        <v/>
      </c>
      <c r="D66">
        <f>CurrentPositions!D61</f>
        <v/>
      </c>
      <c r="E66">
        <f>CurrentPositions!E61</f>
        <v/>
      </c>
      <c r="F66">
        <f>$B$4</f>
        <v/>
      </c>
      <c r="G66">
        <f>IF(B66="BUY",(F66-E66)/Settings!$B$3,(E66-F66)/Settings!$B$3)</f>
        <v/>
      </c>
      <c r="H66">
        <f>G66*D66*Settings!$B$4</f>
        <v/>
      </c>
      <c r="I66">
        <f>CurrentPositions!I61</f>
        <v/>
      </c>
      <c r="J66">
        <f>CurrentPositions!J61</f>
        <v/>
      </c>
    </row>
    <row r="67">
      <c r="A67">
        <f>CurrentPositions!A62</f>
        <v/>
      </c>
      <c r="B67">
        <f>CurrentPositions!B62</f>
        <v/>
      </c>
      <c r="C67">
        <f>CurrentPositions!C62</f>
        <v/>
      </c>
      <c r="D67">
        <f>CurrentPositions!D62</f>
        <v/>
      </c>
      <c r="E67">
        <f>CurrentPositions!E62</f>
        <v/>
      </c>
      <c r="F67">
        <f>$B$4</f>
        <v/>
      </c>
      <c r="G67">
        <f>IF(B67="BUY",(F67-E67)/Settings!$B$3,(E67-F67)/Settings!$B$3)</f>
        <v/>
      </c>
      <c r="H67">
        <f>G67*D67*Settings!$B$4</f>
        <v/>
      </c>
      <c r="I67">
        <f>CurrentPositions!I62</f>
        <v/>
      </c>
      <c r="J67">
        <f>CurrentPositions!J62</f>
        <v/>
      </c>
    </row>
    <row r="68">
      <c r="A68">
        <f>CurrentPositions!A63</f>
        <v/>
      </c>
      <c r="B68">
        <f>CurrentPositions!B63</f>
        <v/>
      </c>
      <c r="C68">
        <f>CurrentPositions!C63</f>
        <v/>
      </c>
      <c r="D68">
        <f>CurrentPositions!D63</f>
        <v/>
      </c>
      <c r="E68">
        <f>CurrentPositions!E63</f>
        <v/>
      </c>
      <c r="F68">
        <f>$B$4</f>
        <v/>
      </c>
      <c r="G68">
        <f>IF(B68="BUY",(F68-E68)/Settings!$B$3,(E68-F68)/Settings!$B$3)</f>
        <v/>
      </c>
      <c r="H68">
        <f>G68*D68*Settings!$B$4</f>
        <v/>
      </c>
      <c r="I68">
        <f>CurrentPositions!I63</f>
        <v/>
      </c>
      <c r="J68">
        <f>CurrentPositions!J63</f>
        <v/>
      </c>
    </row>
    <row r="69">
      <c r="A69">
        <f>CurrentPositions!A64</f>
        <v/>
      </c>
      <c r="B69">
        <f>CurrentPositions!B64</f>
        <v/>
      </c>
      <c r="C69">
        <f>CurrentPositions!C64</f>
        <v/>
      </c>
      <c r="D69">
        <f>CurrentPositions!D64</f>
        <v/>
      </c>
      <c r="E69">
        <f>CurrentPositions!E64</f>
        <v/>
      </c>
      <c r="F69">
        <f>$B$4</f>
        <v/>
      </c>
      <c r="G69">
        <f>IF(B69="BUY",(F69-E69)/Settings!$B$3,(E69-F69)/Settings!$B$3)</f>
        <v/>
      </c>
      <c r="H69">
        <f>G69*D69*Settings!$B$4</f>
        <v/>
      </c>
      <c r="I69">
        <f>CurrentPositions!I64</f>
        <v/>
      </c>
      <c r="J69">
        <f>CurrentPositions!J64</f>
        <v/>
      </c>
    </row>
    <row r="70">
      <c r="A70">
        <f>CurrentPositions!A65</f>
        <v/>
      </c>
      <c r="B70">
        <f>CurrentPositions!B65</f>
        <v/>
      </c>
      <c r="C70">
        <f>CurrentPositions!C65</f>
        <v/>
      </c>
      <c r="D70">
        <f>CurrentPositions!D65</f>
        <v/>
      </c>
      <c r="E70">
        <f>CurrentPositions!E65</f>
        <v/>
      </c>
      <c r="F70">
        <f>$B$4</f>
        <v/>
      </c>
      <c r="G70">
        <f>IF(B70="BUY",(F70-E70)/Settings!$B$3,(E70-F70)/Settings!$B$3)</f>
        <v/>
      </c>
      <c r="H70">
        <f>G70*D70*Settings!$B$4</f>
        <v/>
      </c>
      <c r="I70">
        <f>CurrentPositions!I65</f>
        <v/>
      </c>
      <c r="J70">
        <f>CurrentPositions!J65</f>
        <v/>
      </c>
    </row>
    <row r="71">
      <c r="A71">
        <f>CurrentPositions!A66</f>
        <v/>
      </c>
      <c r="B71">
        <f>CurrentPositions!B66</f>
        <v/>
      </c>
      <c r="C71">
        <f>CurrentPositions!C66</f>
        <v/>
      </c>
      <c r="D71">
        <f>CurrentPositions!D66</f>
        <v/>
      </c>
      <c r="E71">
        <f>CurrentPositions!E66</f>
        <v/>
      </c>
      <c r="F71">
        <f>$B$4</f>
        <v/>
      </c>
      <c r="G71">
        <f>IF(B71="BUY",(F71-E71)/Settings!$B$3,(E71-F71)/Settings!$B$3)</f>
        <v/>
      </c>
      <c r="H71">
        <f>G71*D71*Settings!$B$4</f>
        <v/>
      </c>
      <c r="I71">
        <f>CurrentPositions!I66</f>
        <v/>
      </c>
      <c r="J71">
        <f>CurrentPositions!J66</f>
        <v/>
      </c>
    </row>
    <row r="72">
      <c r="A72">
        <f>CurrentPositions!A67</f>
        <v/>
      </c>
      <c r="B72">
        <f>CurrentPositions!B67</f>
        <v/>
      </c>
      <c r="C72">
        <f>CurrentPositions!C67</f>
        <v/>
      </c>
      <c r="D72">
        <f>CurrentPositions!D67</f>
        <v/>
      </c>
      <c r="E72">
        <f>CurrentPositions!E67</f>
        <v/>
      </c>
      <c r="F72">
        <f>$B$4</f>
        <v/>
      </c>
      <c r="G72">
        <f>IF(B72="BUY",(F72-E72)/Settings!$B$3,(E72-F72)/Settings!$B$3)</f>
        <v/>
      </c>
      <c r="H72">
        <f>G72*D72*Settings!$B$4</f>
        <v/>
      </c>
      <c r="I72">
        <f>CurrentPositions!I67</f>
        <v/>
      </c>
      <c r="J72">
        <f>CurrentPositions!J67</f>
        <v/>
      </c>
    </row>
    <row r="73">
      <c r="A73">
        <f>CurrentPositions!A68</f>
        <v/>
      </c>
      <c r="B73">
        <f>CurrentPositions!B68</f>
        <v/>
      </c>
      <c r="C73">
        <f>CurrentPositions!C68</f>
        <v/>
      </c>
      <c r="D73">
        <f>CurrentPositions!D68</f>
        <v/>
      </c>
      <c r="E73">
        <f>CurrentPositions!E68</f>
        <v/>
      </c>
      <c r="F73">
        <f>$B$4</f>
        <v/>
      </c>
      <c r="G73">
        <f>IF(B73="BUY",(F73-E73)/Settings!$B$3,(E73-F73)/Settings!$B$3)</f>
        <v/>
      </c>
      <c r="H73">
        <f>G73*D73*Settings!$B$4</f>
        <v/>
      </c>
      <c r="I73">
        <f>CurrentPositions!I68</f>
        <v/>
      </c>
      <c r="J73">
        <f>CurrentPositions!J68</f>
        <v/>
      </c>
    </row>
    <row r="74">
      <c r="A74">
        <f>CurrentPositions!A69</f>
        <v/>
      </c>
      <c r="B74">
        <f>CurrentPositions!B69</f>
        <v/>
      </c>
      <c r="C74">
        <f>CurrentPositions!C69</f>
        <v/>
      </c>
      <c r="D74">
        <f>CurrentPositions!D69</f>
        <v/>
      </c>
      <c r="E74">
        <f>CurrentPositions!E69</f>
        <v/>
      </c>
      <c r="F74">
        <f>$B$4</f>
        <v/>
      </c>
      <c r="G74">
        <f>IF(B74="BUY",(F74-E74)/Settings!$B$3,(E74-F74)/Settings!$B$3)</f>
        <v/>
      </c>
      <c r="H74">
        <f>G74*D74*Settings!$B$4</f>
        <v/>
      </c>
      <c r="I74">
        <f>CurrentPositions!I69</f>
        <v/>
      </c>
      <c r="J74">
        <f>CurrentPositions!J69</f>
        <v/>
      </c>
    </row>
    <row r="75">
      <c r="A75">
        <f>CurrentPositions!A70</f>
        <v/>
      </c>
      <c r="B75">
        <f>CurrentPositions!B70</f>
        <v/>
      </c>
      <c r="C75">
        <f>CurrentPositions!C70</f>
        <v/>
      </c>
      <c r="D75">
        <f>CurrentPositions!D70</f>
        <v/>
      </c>
      <c r="E75">
        <f>CurrentPositions!E70</f>
        <v/>
      </c>
      <c r="F75">
        <f>$B$4</f>
        <v/>
      </c>
      <c r="G75">
        <f>IF(B75="BUY",(F75-E75)/Settings!$B$3,(E75-F75)/Settings!$B$3)</f>
        <v/>
      </c>
      <c r="H75">
        <f>G75*D75*Settings!$B$4</f>
        <v/>
      </c>
      <c r="I75">
        <f>CurrentPositions!I70</f>
        <v/>
      </c>
      <c r="J75">
        <f>CurrentPositions!J70</f>
        <v/>
      </c>
    </row>
    <row r="76">
      <c r="A76">
        <f>CurrentPositions!A71</f>
        <v/>
      </c>
      <c r="B76">
        <f>CurrentPositions!B71</f>
        <v/>
      </c>
      <c r="C76">
        <f>CurrentPositions!C71</f>
        <v/>
      </c>
      <c r="D76">
        <f>CurrentPositions!D71</f>
        <v/>
      </c>
      <c r="E76">
        <f>CurrentPositions!E71</f>
        <v/>
      </c>
      <c r="F76">
        <f>$B$4</f>
        <v/>
      </c>
      <c r="G76">
        <f>IF(B76="BUY",(F76-E76)/Settings!$B$3,(E76-F76)/Settings!$B$3)</f>
        <v/>
      </c>
      <c r="H76">
        <f>G76*D76*Settings!$B$4</f>
        <v/>
      </c>
      <c r="I76">
        <f>CurrentPositions!I71</f>
        <v/>
      </c>
      <c r="J76">
        <f>CurrentPositions!J71</f>
        <v/>
      </c>
    </row>
    <row r="77">
      <c r="A77">
        <f>CurrentPositions!A72</f>
        <v/>
      </c>
      <c r="B77">
        <f>CurrentPositions!B72</f>
        <v/>
      </c>
      <c r="C77">
        <f>CurrentPositions!C72</f>
        <v/>
      </c>
      <c r="D77">
        <f>CurrentPositions!D72</f>
        <v/>
      </c>
      <c r="E77">
        <f>CurrentPositions!E72</f>
        <v/>
      </c>
      <c r="F77">
        <f>$B$4</f>
        <v/>
      </c>
      <c r="G77">
        <f>IF(B77="BUY",(F77-E77)/Settings!$B$3,(E77-F77)/Settings!$B$3)</f>
        <v/>
      </c>
      <c r="H77">
        <f>G77*D77*Settings!$B$4</f>
        <v/>
      </c>
      <c r="I77">
        <f>CurrentPositions!I72</f>
        <v/>
      </c>
      <c r="J77">
        <f>CurrentPositions!J72</f>
        <v/>
      </c>
    </row>
    <row r="78">
      <c r="A78">
        <f>CurrentPositions!A73</f>
        <v/>
      </c>
      <c r="B78">
        <f>CurrentPositions!B73</f>
        <v/>
      </c>
      <c r="C78">
        <f>CurrentPositions!C73</f>
        <v/>
      </c>
      <c r="D78">
        <f>CurrentPositions!D73</f>
        <v/>
      </c>
      <c r="E78">
        <f>CurrentPositions!E73</f>
        <v/>
      </c>
      <c r="F78">
        <f>$B$4</f>
        <v/>
      </c>
      <c r="G78">
        <f>IF(B78="BUY",(F78-E78)/Settings!$B$3,(E78-F78)/Settings!$B$3)</f>
        <v/>
      </c>
      <c r="H78">
        <f>G78*D78*Settings!$B$4</f>
        <v/>
      </c>
      <c r="I78">
        <f>CurrentPositions!I73</f>
        <v/>
      </c>
      <c r="J78">
        <f>CurrentPositions!J73</f>
        <v/>
      </c>
    </row>
    <row r="79">
      <c r="A79">
        <f>CurrentPositions!A74</f>
        <v/>
      </c>
      <c r="B79">
        <f>CurrentPositions!B74</f>
        <v/>
      </c>
      <c r="C79">
        <f>CurrentPositions!C74</f>
        <v/>
      </c>
      <c r="D79">
        <f>CurrentPositions!D74</f>
        <v/>
      </c>
      <c r="E79">
        <f>CurrentPositions!E74</f>
        <v/>
      </c>
      <c r="F79">
        <f>$B$4</f>
        <v/>
      </c>
      <c r="G79">
        <f>IF(B79="BUY",(F79-E79)/Settings!$B$3,(E79-F79)/Settings!$B$3)</f>
        <v/>
      </c>
      <c r="H79">
        <f>G79*D79*Settings!$B$4</f>
        <v/>
      </c>
      <c r="I79">
        <f>CurrentPositions!I74</f>
        <v/>
      </c>
      <c r="J79">
        <f>CurrentPositions!J74</f>
        <v/>
      </c>
    </row>
    <row r="80">
      <c r="A80">
        <f>CurrentPositions!A75</f>
        <v/>
      </c>
      <c r="B80">
        <f>CurrentPositions!B75</f>
        <v/>
      </c>
      <c r="C80">
        <f>CurrentPositions!C75</f>
        <v/>
      </c>
      <c r="D80">
        <f>CurrentPositions!D75</f>
        <v/>
      </c>
      <c r="E80">
        <f>CurrentPositions!E75</f>
        <v/>
      </c>
      <c r="F80">
        <f>$B$4</f>
        <v/>
      </c>
      <c r="G80">
        <f>IF(B80="BUY",(F80-E80)/Settings!$B$3,(E80-F80)/Settings!$B$3)</f>
        <v/>
      </c>
      <c r="H80">
        <f>G80*D80*Settings!$B$4</f>
        <v/>
      </c>
      <c r="I80">
        <f>CurrentPositions!I75</f>
        <v/>
      </c>
      <c r="J80">
        <f>CurrentPositions!J75</f>
        <v/>
      </c>
    </row>
    <row r="81">
      <c r="A81">
        <f>CurrentPositions!A76</f>
        <v/>
      </c>
      <c r="B81">
        <f>CurrentPositions!B76</f>
        <v/>
      </c>
      <c r="C81">
        <f>CurrentPositions!C76</f>
        <v/>
      </c>
      <c r="D81">
        <f>CurrentPositions!D76</f>
        <v/>
      </c>
      <c r="E81">
        <f>CurrentPositions!E76</f>
        <v/>
      </c>
      <c r="F81">
        <f>$B$4</f>
        <v/>
      </c>
      <c r="G81">
        <f>IF(B81="BUY",(F81-E81)/Settings!$B$3,(E81-F81)/Settings!$B$3)</f>
        <v/>
      </c>
      <c r="H81">
        <f>G81*D81*Settings!$B$4</f>
        <v/>
      </c>
      <c r="I81">
        <f>CurrentPositions!I76</f>
        <v/>
      </c>
      <c r="J81">
        <f>CurrentPositions!J76</f>
        <v/>
      </c>
    </row>
    <row r="82">
      <c r="A82">
        <f>CurrentPositions!A77</f>
        <v/>
      </c>
      <c r="B82">
        <f>CurrentPositions!B77</f>
        <v/>
      </c>
      <c r="C82">
        <f>CurrentPositions!C77</f>
        <v/>
      </c>
      <c r="D82">
        <f>CurrentPositions!D77</f>
        <v/>
      </c>
      <c r="E82">
        <f>CurrentPositions!E77</f>
        <v/>
      </c>
      <c r="F82">
        <f>$B$4</f>
        <v/>
      </c>
      <c r="G82">
        <f>IF(B82="BUY",(F82-E82)/Settings!$B$3,(E82-F82)/Settings!$B$3)</f>
        <v/>
      </c>
      <c r="H82">
        <f>G82*D82*Settings!$B$4</f>
        <v/>
      </c>
      <c r="I82">
        <f>CurrentPositions!I77</f>
        <v/>
      </c>
      <c r="J82">
        <f>CurrentPositions!J77</f>
        <v/>
      </c>
    </row>
    <row r="83">
      <c r="A83">
        <f>CurrentPositions!A78</f>
        <v/>
      </c>
      <c r="B83">
        <f>CurrentPositions!B78</f>
        <v/>
      </c>
      <c r="C83">
        <f>CurrentPositions!C78</f>
        <v/>
      </c>
      <c r="D83">
        <f>CurrentPositions!D78</f>
        <v/>
      </c>
      <c r="E83">
        <f>CurrentPositions!E78</f>
        <v/>
      </c>
      <c r="F83">
        <f>$B$4</f>
        <v/>
      </c>
      <c r="G83">
        <f>IF(B83="BUY",(F83-E83)/Settings!$B$3,(E83-F83)/Settings!$B$3)</f>
        <v/>
      </c>
      <c r="H83">
        <f>G83*D83*Settings!$B$4</f>
        <v/>
      </c>
      <c r="I83">
        <f>CurrentPositions!I78</f>
        <v/>
      </c>
      <c r="J83">
        <f>CurrentPositions!J78</f>
        <v/>
      </c>
    </row>
    <row r="84">
      <c r="A84">
        <f>CurrentPositions!A79</f>
        <v/>
      </c>
      <c r="B84">
        <f>CurrentPositions!B79</f>
        <v/>
      </c>
      <c r="C84">
        <f>CurrentPositions!C79</f>
        <v/>
      </c>
      <c r="D84">
        <f>CurrentPositions!D79</f>
        <v/>
      </c>
      <c r="E84">
        <f>CurrentPositions!E79</f>
        <v/>
      </c>
      <c r="F84">
        <f>$B$4</f>
        <v/>
      </c>
      <c r="G84">
        <f>IF(B84="BUY",(F84-E84)/Settings!$B$3,(E84-F84)/Settings!$B$3)</f>
        <v/>
      </c>
      <c r="H84">
        <f>G84*D84*Settings!$B$4</f>
        <v/>
      </c>
      <c r="I84">
        <f>CurrentPositions!I79</f>
        <v/>
      </c>
      <c r="J84">
        <f>CurrentPositions!J79</f>
        <v/>
      </c>
    </row>
    <row r="85">
      <c r="A85">
        <f>CurrentPositions!A80</f>
        <v/>
      </c>
      <c r="B85">
        <f>CurrentPositions!B80</f>
        <v/>
      </c>
      <c r="C85">
        <f>CurrentPositions!C80</f>
        <v/>
      </c>
      <c r="D85">
        <f>CurrentPositions!D80</f>
        <v/>
      </c>
      <c r="E85">
        <f>CurrentPositions!E80</f>
        <v/>
      </c>
      <c r="F85">
        <f>$B$4</f>
        <v/>
      </c>
      <c r="G85">
        <f>IF(B85="BUY",(F85-E85)/Settings!$B$3,(E85-F85)/Settings!$B$3)</f>
        <v/>
      </c>
      <c r="H85">
        <f>G85*D85*Settings!$B$4</f>
        <v/>
      </c>
      <c r="I85">
        <f>CurrentPositions!I80</f>
        <v/>
      </c>
      <c r="J85">
        <f>CurrentPositions!J80</f>
        <v/>
      </c>
    </row>
    <row r="86">
      <c r="A86">
        <f>CurrentPositions!A81</f>
        <v/>
      </c>
      <c r="B86">
        <f>CurrentPositions!B81</f>
        <v/>
      </c>
      <c r="C86">
        <f>CurrentPositions!C81</f>
        <v/>
      </c>
      <c r="D86">
        <f>CurrentPositions!D81</f>
        <v/>
      </c>
      <c r="E86">
        <f>CurrentPositions!E81</f>
        <v/>
      </c>
      <c r="F86">
        <f>$B$4</f>
        <v/>
      </c>
      <c r="G86">
        <f>IF(B86="BUY",(F86-E86)/Settings!$B$3,(E86-F86)/Settings!$B$3)</f>
        <v/>
      </c>
      <c r="H86">
        <f>G86*D86*Settings!$B$4</f>
        <v/>
      </c>
      <c r="I86">
        <f>CurrentPositions!I81</f>
        <v/>
      </c>
      <c r="J86">
        <f>CurrentPositions!J81</f>
        <v/>
      </c>
    </row>
    <row r="87">
      <c r="A87">
        <f>CurrentPositions!A82</f>
        <v/>
      </c>
      <c r="B87">
        <f>CurrentPositions!B82</f>
        <v/>
      </c>
      <c r="C87">
        <f>CurrentPositions!C82</f>
        <v/>
      </c>
      <c r="D87">
        <f>CurrentPositions!D82</f>
        <v/>
      </c>
      <c r="E87">
        <f>CurrentPositions!E82</f>
        <v/>
      </c>
      <c r="F87">
        <f>$B$4</f>
        <v/>
      </c>
      <c r="G87">
        <f>IF(B87="BUY",(F87-E87)/Settings!$B$3,(E87-F87)/Settings!$B$3)</f>
        <v/>
      </c>
      <c r="H87">
        <f>G87*D87*Settings!$B$4</f>
        <v/>
      </c>
      <c r="I87">
        <f>CurrentPositions!I82</f>
        <v/>
      </c>
      <c r="J87">
        <f>CurrentPositions!J82</f>
        <v/>
      </c>
    </row>
    <row r="88">
      <c r="A88">
        <f>CurrentPositions!A83</f>
        <v/>
      </c>
      <c r="B88">
        <f>CurrentPositions!B83</f>
        <v/>
      </c>
      <c r="C88">
        <f>CurrentPositions!C83</f>
        <v/>
      </c>
      <c r="D88">
        <f>CurrentPositions!D83</f>
        <v/>
      </c>
      <c r="E88">
        <f>CurrentPositions!E83</f>
        <v/>
      </c>
      <c r="F88">
        <f>$B$4</f>
        <v/>
      </c>
      <c r="G88">
        <f>IF(B88="BUY",(F88-E88)/Settings!$B$3,(E88-F88)/Settings!$B$3)</f>
        <v/>
      </c>
      <c r="H88">
        <f>G88*D88*Settings!$B$4</f>
        <v/>
      </c>
      <c r="I88">
        <f>CurrentPositions!I83</f>
        <v/>
      </c>
      <c r="J88">
        <f>CurrentPositions!J83</f>
        <v/>
      </c>
    </row>
    <row r="89">
      <c r="A89">
        <f>CurrentPositions!A84</f>
        <v/>
      </c>
      <c r="B89">
        <f>CurrentPositions!B84</f>
        <v/>
      </c>
      <c r="C89">
        <f>CurrentPositions!C84</f>
        <v/>
      </c>
      <c r="D89">
        <f>CurrentPositions!D84</f>
        <v/>
      </c>
      <c r="E89">
        <f>CurrentPositions!E84</f>
        <v/>
      </c>
      <c r="F89">
        <f>$B$4</f>
        <v/>
      </c>
      <c r="G89">
        <f>IF(B89="BUY",(F89-E89)/Settings!$B$3,(E89-F89)/Settings!$B$3)</f>
        <v/>
      </c>
      <c r="H89">
        <f>G89*D89*Settings!$B$4</f>
        <v/>
      </c>
      <c r="I89">
        <f>CurrentPositions!I84</f>
        <v/>
      </c>
      <c r="J89">
        <f>CurrentPositions!J84</f>
        <v/>
      </c>
    </row>
    <row r="90">
      <c r="A90">
        <f>CurrentPositions!A85</f>
        <v/>
      </c>
      <c r="B90">
        <f>CurrentPositions!B85</f>
        <v/>
      </c>
      <c r="C90">
        <f>CurrentPositions!C85</f>
        <v/>
      </c>
      <c r="D90">
        <f>CurrentPositions!D85</f>
        <v/>
      </c>
      <c r="E90">
        <f>CurrentPositions!E85</f>
        <v/>
      </c>
      <c r="F90">
        <f>$B$4</f>
        <v/>
      </c>
      <c r="G90">
        <f>IF(B90="BUY",(F90-E90)/Settings!$B$3,(E90-F90)/Settings!$B$3)</f>
        <v/>
      </c>
      <c r="H90">
        <f>G90*D90*Settings!$B$4</f>
        <v/>
      </c>
      <c r="I90">
        <f>CurrentPositions!I85</f>
        <v/>
      </c>
      <c r="J90">
        <f>CurrentPositions!J85</f>
        <v/>
      </c>
    </row>
    <row r="91">
      <c r="A91">
        <f>CurrentPositions!A86</f>
        <v/>
      </c>
      <c r="B91">
        <f>CurrentPositions!B86</f>
        <v/>
      </c>
      <c r="C91">
        <f>CurrentPositions!C86</f>
        <v/>
      </c>
      <c r="D91">
        <f>CurrentPositions!D86</f>
        <v/>
      </c>
      <c r="E91">
        <f>CurrentPositions!E86</f>
        <v/>
      </c>
      <c r="F91">
        <f>$B$4</f>
        <v/>
      </c>
      <c r="G91">
        <f>IF(B91="BUY",(F91-E91)/Settings!$B$3,(E91-F91)/Settings!$B$3)</f>
        <v/>
      </c>
      <c r="H91">
        <f>G91*D91*Settings!$B$4</f>
        <v/>
      </c>
      <c r="I91">
        <f>CurrentPositions!I86</f>
        <v/>
      </c>
      <c r="J91">
        <f>CurrentPositions!J86</f>
        <v/>
      </c>
    </row>
    <row r="92">
      <c r="A92">
        <f>CurrentPositions!A87</f>
        <v/>
      </c>
      <c r="B92">
        <f>CurrentPositions!B87</f>
        <v/>
      </c>
      <c r="C92">
        <f>CurrentPositions!C87</f>
        <v/>
      </c>
      <c r="D92">
        <f>CurrentPositions!D87</f>
        <v/>
      </c>
      <c r="E92">
        <f>CurrentPositions!E87</f>
        <v/>
      </c>
      <c r="F92">
        <f>$B$4</f>
        <v/>
      </c>
      <c r="G92">
        <f>IF(B92="BUY",(F92-E92)/Settings!$B$3,(E92-F92)/Settings!$B$3)</f>
        <v/>
      </c>
      <c r="H92">
        <f>G92*D92*Settings!$B$4</f>
        <v/>
      </c>
      <c r="I92">
        <f>CurrentPositions!I87</f>
        <v/>
      </c>
      <c r="J92">
        <f>CurrentPositions!J87</f>
        <v/>
      </c>
    </row>
    <row r="93">
      <c r="A93">
        <f>CurrentPositions!A88</f>
        <v/>
      </c>
      <c r="B93">
        <f>CurrentPositions!B88</f>
        <v/>
      </c>
      <c r="C93">
        <f>CurrentPositions!C88</f>
        <v/>
      </c>
      <c r="D93">
        <f>CurrentPositions!D88</f>
        <v/>
      </c>
      <c r="E93">
        <f>CurrentPositions!E88</f>
        <v/>
      </c>
      <c r="F93">
        <f>$B$4</f>
        <v/>
      </c>
      <c r="G93">
        <f>IF(B93="BUY",(F93-E93)/Settings!$B$3,(E93-F93)/Settings!$B$3)</f>
        <v/>
      </c>
      <c r="H93">
        <f>G93*D93*Settings!$B$4</f>
        <v/>
      </c>
      <c r="I93">
        <f>CurrentPositions!I88</f>
        <v/>
      </c>
      <c r="J93">
        <f>CurrentPositions!J88</f>
        <v/>
      </c>
    </row>
    <row r="94">
      <c r="A94">
        <f>CurrentPositions!A89</f>
        <v/>
      </c>
      <c r="B94">
        <f>CurrentPositions!B89</f>
        <v/>
      </c>
      <c r="C94">
        <f>CurrentPositions!C89</f>
        <v/>
      </c>
      <c r="D94">
        <f>CurrentPositions!D89</f>
        <v/>
      </c>
      <c r="E94">
        <f>CurrentPositions!E89</f>
        <v/>
      </c>
      <c r="F94">
        <f>$B$4</f>
        <v/>
      </c>
      <c r="G94">
        <f>IF(B94="BUY",(F94-E94)/Settings!$B$3,(E94-F94)/Settings!$B$3)</f>
        <v/>
      </c>
      <c r="H94">
        <f>G94*D94*Settings!$B$4</f>
        <v/>
      </c>
      <c r="I94">
        <f>CurrentPositions!I89</f>
        <v/>
      </c>
      <c r="J94">
        <f>CurrentPositions!J89</f>
        <v/>
      </c>
    </row>
    <row r="95">
      <c r="A95">
        <f>CurrentPositions!A90</f>
        <v/>
      </c>
      <c r="B95">
        <f>CurrentPositions!B90</f>
        <v/>
      </c>
      <c r="C95">
        <f>CurrentPositions!C90</f>
        <v/>
      </c>
      <c r="D95">
        <f>CurrentPositions!D90</f>
        <v/>
      </c>
      <c r="E95">
        <f>CurrentPositions!E90</f>
        <v/>
      </c>
      <c r="F95">
        <f>$B$4</f>
        <v/>
      </c>
      <c r="G95">
        <f>IF(B95="BUY",(F95-E95)/Settings!$B$3,(E95-F95)/Settings!$B$3)</f>
        <v/>
      </c>
      <c r="H95">
        <f>G95*D95*Settings!$B$4</f>
        <v/>
      </c>
      <c r="I95">
        <f>CurrentPositions!I90</f>
        <v/>
      </c>
      <c r="J95">
        <f>CurrentPositions!J90</f>
        <v/>
      </c>
    </row>
    <row r="96">
      <c r="A96">
        <f>CurrentPositions!A91</f>
        <v/>
      </c>
      <c r="B96">
        <f>CurrentPositions!B91</f>
        <v/>
      </c>
      <c r="C96">
        <f>CurrentPositions!C91</f>
        <v/>
      </c>
      <c r="D96">
        <f>CurrentPositions!D91</f>
        <v/>
      </c>
      <c r="E96">
        <f>CurrentPositions!E91</f>
        <v/>
      </c>
      <c r="F96">
        <f>$B$4</f>
        <v/>
      </c>
      <c r="G96">
        <f>IF(B96="BUY",(F96-E96)/Settings!$B$3,(E96-F96)/Settings!$B$3)</f>
        <v/>
      </c>
      <c r="H96">
        <f>G96*D96*Settings!$B$4</f>
        <v/>
      </c>
      <c r="I96">
        <f>CurrentPositions!I91</f>
        <v/>
      </c>
      <c r="J96">
        <f>CurrentPositions!J91</f>
        <v/>
      </c>
    </row>
    <row r="97">
      <c r="A97">
        <f>CurrentPositions!A92</f>
        <v/>
      </c>
      <c r="B97">
        <f>CurrentPositions!B92</f>
        <v/>
      </c>
      <c r="C97">
        <f>CurrentPositions!C92</f>
        <v/>
      </c>
      <c r="D97">
        <f>CurrentPositions!D92</f>
        <v/>
      </c>
      <c r="E97">
        <f>CurrentPositions!E92</f>
        <v/>
      </c>
      <c r="F97">
        <f>$B$4</f>
        <v/>
      </c>
      <c r="G97">
        <f>IF(B97="BUY",(F97-E97)/Settings!$B$3,(E97-F97)/Settings!$B$3)</f>
        <v/>
      </c>
      <c r="H97">
        <f>G97*D97*Settings!$B$4</f>
        <v/>
      </c>
      <c r="I97">
        <f>CurrentPositions!I92</f>
        <v/>
      </c>
      <c r="J97">
        <f>CurrentPositions!J92</f>
        <v/>
      </c>
    </row>
    <row r="98">
      <c r="A98">
        <f>CurrentPositions!A93</f>
        <v/>
      </c>
      <c r="B98">
        <f>CurrentPositions!B93</f>
        <v/>
      </c>
      <c r="C98">
        <f>CurrentPositions!C93</f>
        <v/>
      </c>
      <c r="D98">
        <f>CurrentPositions!D93</f>
        <v/>
      </c>
      <c r="E98">
        <f>CurrentPositions!E93</f>
        <v/>
      </c>
      <c r="F98">
        <f>$B$4</f>
        <v/>
      </c>
      <c r="G98">
        <f>IF(B98="BUY",(F98-E98)/Settings!$B$3,(E98-F98)/Settings!$B$3)</f>
        <v/>
      </c>
      <c r="H98">
        <f>G98*D98*Settings!$B$4</f>
        <v/>
      </c>
      <c r="I98">
        <f>CurrentPositions!I93</f>
        <v/>
      </c>
      <c r="J98">
        <f>CurrentPositions!J93</f>
        <v/>
      </c>
    </row>
    <row r="99">
      <c r="A99">
        <f>CurrentPositions!A94</f>
        <v/>
      </c>
      <c r="B99">
        <f>CurrentPositions!B94</f>
        <v/>
      </c>
      <c r="C99">
        <f>CurrentPositions!C94</f>
        <v/>
      </c>
      <c r="D99">
        <f>CurrentPositions!D94</f>
        <v/>
      </c>
      <c r="E99">
        <f>CurrentPositions!E94</f>
        <v/>
      </c>
      <c r="F99">
        <f>$B$4</f>
        <v/>
      </c>
      <c r="G99">
        <f>IF(B99="BUY",(F99-E99)/Settings!$B$3,(E99-F99)/Settings!$B$3)</f>
        <v/>
      </c>
      <c r="H99">
        <f>G99*D99*Settings!$B$4</f>
        <v/>
      </c>
      <c r="I99">
        <f>CurrentPositions!I94</f>
        <v/>
      </c>
      <c r="J99">
        <f>CurrentPositions!J94</f>
        <v/>
      </c>
    </row>
    <row r="100">
      <c r="A100">
        <f>CurrentPositions!A95</f>
        <v/>
      </c>
      <c r="B100">
        <f>CurrentPositions!B95</f>
        <v/>
      </c>
      <c r="C100">
        <f>CurrentPositions!C95</f>
        <v/>
      </c>
      <c r="D100">
        <f>CurrentPositions!D95</f>
        <v/>
      </c>
      <c r="E100">
        <f>CurrentPositions!E95</f>
        <v/>
      </c>
      <c r="F100">
        <f>$B$4</f>
        <v/>
      </c>
      <c r="G100">
        <f>IF(B100="BUY",(F100-E100)/Settings!$B$3,(E100-F100)/Settings!$B$3)</f>
        <v/>
      </c>
      <c r="H100">
        <f>G100*D100*Settings!$B$4</f>
        <v/>
      </c>
      <c r="I100">
        <f>CurrentPositions!I95</f>
        <v/>
      </c>
      <c r="J100">
        <f>CurrentPositions!J95</f>
        <v/>
      </c>
    </row>
    <row r="101">
      <c r="A101">
        <f>CurrentPositions!A96</f>
        <v/>
      </c>
      <c r="B101">
        <f>CurrentPositions!B96</f>
        <v/>
      </c>
      <c r="C101">
        <f>CurrentPositions!C96</f>
        <v/>
      </c>
      <c r="D101">
        <f>CurrentPositions!D96</f>
        <v/>
      </c>
      <c r="E101">
        <f>CurrentPositions!E96</f>
        <v/>
      </c>
      <c r="F101">
        <f>$B$4</f>
        <v/>
      </c>
      <c r="G101">
        <f>IF(B101="BUY",(F101-E101)/Settings!$B$3,(E101-F101)/Settings!$B$3)</f>
        <v/>
      </c>
      <c r="H101">
        <f>G101*D101*Settings!$B$4</f>
        <v/>
      </c>
      <c r="I101">
        <f>CurrentPositions!I96</f>
        <v/>
      </c>
      <c r="J101">
        <f>CurrentPositions!J96</f>
        <v/>
      </c>
    </row>
    <row r="102">
      <c r="A102">
        <f>CurrentPositions!A97</f>
        <v/>
      </c>
      <c r="B102">
        <f>CurrentPositions!B97</f>
        <v/>
      </c>
      <c r="C102">
        <f>CurrentPositions!C97</f>
        <v/>
      </c>
      <c r="D102">
        <f>CurrentPositions!D97</f>
        <v/>
      </c>
      <c r="E102">
        <f>CurrentPositions!E97</f>
        <v/>
      </c>
      <c r="F102">
        <f>$B$4</f>
        <v/>
      </c>
      <c r="G102">
        <f>IF(B102="BUY",(F102-E102)/Settings!$B$3,(E102-F102)/Settings!$B$3)</f>
        <v/>
      </c>
      <c r="H102">
        <f>G102*D102*Settings!$B$4</f>
        <v/>
      </c>
      <c r="I102">
        <f>CurrentPositions!I97</f>
        <v/>
      </c>
      <c r="J102">
        <f>CurrentPositions!J97</f>
        <v/>
      </c>
    </row>
    <row r="103">
      <c r="A103">
        <f>CurrentPositions!A98</f>
        <v/>
      </c>
      <c r="B103">
        <f>CurrentPositions!B98</f>
        <v/>
      </c>
      <c r="C103">
        <f>CurrentPositions!C98</f>
        <v/>
      </c>
      <c r="D103">
        <f>CurrentPositions!D98</f>
        <v/>
      </c>
      <c r="E103">
        <f>CurrentPositions!E98</f>
        <v/>
      </c>
      <c r="F103">
        <f>$B$4</f>
        <v/>
      </c>
      <c r="G103">
        <f>IF(B103="BUY",(F103-E103)/Settings!$B$3,(E103-F103)/Settings!$B$3)</f>
        <v/>
      </c>
      <c r="H103">
        <f>G103*D103*Settings!$B$4</f>
        <v/>
      </c>
      <c r="I103">
        <f>CurrentPositions!I98</f>
        <v/>
      </c>
      <c r="J103">
        <f>CurrentPositions!J98</f>
        <v/>
      </c>
    </row>
    <row r="104">
      <c r="A104">
        <f>CurrentPositions!A99</f>
        <v/>
      </c>
      <c r="B104">
        <f>CurrentPositions!B99</f>
        <v/>
      </c>
      <c r="C104">
        <f>CurrentPositions!C99</f>
        <v/>
      </c>
      <c r="D104">
        <f>CurrentPositions!D99</f>
        <v/>
      </c>
      <c r="E104">
        <f>CurrentPositions!E99</f>
        <v/>
      </c>
      <c r="F104">
        <f>$B$4</f>
        <v/>
      </c>
      <c r="G104">
        <f>IF(B104="BUY",(F104-E104)/Settings!$B$3,(E104-F104)/Settings!$B$3)</f>
        <v/>
      </c>
      <c r="H104">
        <f>G104*D104*Settings!$B$4</f>
        <v/>
      </c>
      <c r="I104">
        <f>CurrentPositions!I99</f>
        <v/>
      </c>
      <c r="J104">
        <f>CurrentPositions!J99</f>
        <v/>
      </c>
    </row>
    <row r="105">
      <c r="A105">
        <f>CurrentPositions!A100</f>
        <v/>
      </c>
      <c r="B105">
        <f>CurrentPositions!B100</f>
        <v/>
      </c>
      <c r="C105">
        <f>CurrentPositions!C100</f>
        <v/>
      </c>
      <c r="D105">
        <f>CurrentPositions!D100</f>
        <v/>
      </c>
      <c r="E105">
        <f>CurrentPositions!E100</f>
        <v/>
      </c>
      <c r="F105">
        <f>$B$4</f>
        <v/>
      </c>
      <c r="G105">
        <f>IF(B105="BUY",(F105-E105)/Settings!$B$3,(E105-F105)/Settings!$B$3)</f>
        <v/>
      </c>
      <c r="H105">
        <f>G105*D105*Settings!$B$4</f>
        <v/>
      </c>
      <c r="I105">
        <f>CurrentPositions!I100</f>
        <v/>
      </c>
      <c r="J105">
        <f>CurrentPositions!J100</f>
        <v/>
      </c>
    </row>
    <row r="106">
      <c r="A106">
        <f>CurrentPositions!A101</f>
        <v/>
      </c>
      <c r="B106">
        <f>CurrentPositions!B101</f>
        <v/>
      </c>
      <c r="C106">
        <f>CurrentPositions!C101</f>
        <v/>
      </c>
      <c r="D106">
        <f>CurrentPositions!D101</f>
        <v/>
      </c>
      <c r="E106">
        <f>CurrentPositions!E101</f>
        <v/>
      </c>
      <c r="F106">
        <f>$B$4</f>
        <v/>
      </c>
      <c r="G106">
        <f>IF(B106="BUY",(F106-E106)/Settings!$B$3,(E106-F106)/Settings!$B$3)</f>
        <v/>
      </c>
      <c r="H106">
        <f>G106*D106*Settings!$B$4</f>
        <v/>
      </c>
      <c r="I106">
        <f>CurrentPositions!I101</f>
        <v/>
      </c>
      <c r="J106">
        <f>CurrentPositions!J101</f>
        <v/>
      </c>
    </row>
    <row r="107">
      <c r="A107">
        <f>CurrentPositions!A102</f>
        <v/>
      </c>
      <c r="B107">
        <f>CurrentPositions!B102</f>
        <v/>
      </c>
      <c r="C107">
        <f>CurrentPositions!C102</f>
        <v/>
      </c>
      <c r="D107">
        <f>CurrentPositions!D102</f>
        <v/>
      </c>
      <c r="E107">
        <f>CurrentPositions!E102</f>
        <v/>
      </c>
      <c r="F107">
        <f>$B$4</f>
        <v/>
      </c>
      <c r="G107">
        <f>IF(B107="BUY",(F107-E107)/Settings!$B$3,(E107-F107)/Settings!$B$3)</f>
        <v/>
      </c>
      <c r="H107">
        <f>G107*D107*Settings!$B$4</f>
        <v/>
      </c>
      <c r="I107">
        <f>CurrentPositions!I102</f>
        <v/>
      </c>
      <c r="J107">
        <f>CurrentPositions!J102</f>
        <v/>
      </c>
    </row>
    <row r="108">
      <c r="A108">
        <f>CurrentPositions!A103</f>
        <v/>
      </c>
      <c r="B108">
        <f>CurrentPositions!B103</f>
        <v/>
      </c>
      <c r="C108">
        <f>CurrentPositions!C103</f>
        <v/>
      </c>
      <c r="D108">
        <f>CurrentPositions!D103</f>
        <v/>
      </c>
      <c r="E108">
        <f>CurrentPositions!E103</f>
        <v/>
      </c>
      <c r="F108">
        <f>$B$4</f>
        <v/>
      </c>
      <c r="G108">
        <f>IF(B108="BUY",(F108-E108)/Settings!$B$3,(E108-F108)/Settings!$B$3)</f>
        <v/>
      </c>
      <c r="H108">
        <f>G108*D108*Settings!$B$4</f>
        <v/>
      </c>
      <c r="I108">
        <f>CurrentPositions!I103</f>
        <v/>
      </c>
      <c r="J108">
        <f>CurrentPositions!J103</f>
        <v/>
      </c>
    </row>
    <row r="109">
      <c r="A109">
        <f>CurrentPositions!A104</f>
        <v/>
      </c>
      <c r="B109">
        <f>CurrentPositions!B104</f>
        <v/>
      </c>
      <c r="C109">
        <f>CurrentPositions!C104</f>
        <v/>
      </c>
      <c r="D109">
        <f>CurrentPositions!D104</f>
        <v/>
      </c>
      <c r="E109">
        <f>CurrentPositions!E104</f>
        <v/>
      </c>
      <c r="F109">
        <f>$B$4</f>
        <v/>
      </c>
      <c r="G109">
        <f>IF(B109="BUY",(F109-E109)/Settings!$B$3,(E109-F109)/Settings!$B$3)</f>
        <v/>
      </c>
      <c r="H109">
        <f>G109*D109*Settings!$B$4</f>
        <v/>
      </c>
      <c r="I109">
        <f>CurrentPositions!I104</f>
        <v/>
      </c>
      <c r="J109">
        <f>CurrentPositions!J104</f>
        <v/>
      </c>
    </row>
    <row r="110">
      <c r="A110">
        <f>CurrentPositions!A105</f>
        <v/>
      </c>
      <c r="B110">
        <f>CurrentPositions!B105</f>
        <v/>
      </c>
      <c r="C110">
        <f>CurrentPositions!C105</f>
        <v/>
      </c>
      <c r="D110">
        <f>CurrentPositions!D105</f>
        <v/>
      </c>
      <c r="E110">
        <f>CurrentPositions!E105</f>
        <v/>
      </c>
      <c r="F110">
        <f>$B$4</f>
        <v/>
      </c>
      <c r="G110">
        <f>IF(B110="BUY",(F110-E110)/Settings!$B$3,(E110-F110)/Settings!$B$3)</f>
        <v/>
      </c>
      <c r="H110">
        <f>G110*D110*Settings!$B$4</f>
        <v/>
      </c>
      <c r="I110">
        <f>CurrentPositions!I105</f>
        <v/>
      </c>
      <c r="J110">
        <f>CurrentPositions!J105</f>
        <v/>
      </c>
    </row>
    <row r="111">
      <c r="A111">
        <f>CurrentPositions!A106</f>
        <v/>
      </c>
      <c r="B111">
        <f>CurrentPositions!B106</f>
        <v/>
      </c>
      <c r="C111">
        <f>CurrentPositions!C106</f>
        <v/>
      </c>
      <c r="D111">
        <f>CurrentPositions!D106</f>
        <v/>
      </c>
      <c r="E111">
        <f>CurrentPositions!E106</f>
        <v/>
      </c>
      <c r="F111">
        <f>$B$4</f>
        <v/>
      </c>
      <c r="G111">
        <f>IF(B111="BUY",(F111-E111)/Settings!$B$3,(E111-F111)/Settings!$B$3)</f>
        <v/>
      </c>
      <c r="H111">
        <f>G111*D111*Settings!$B$4</f>
        <v/>
      </c>
      <c r="I111">
        <f>CurrentPositions!I106</f>
        <v/>
      </c>
      <c r="J111">
        <f>CurrentPositions!J106</f>
        <v/>
      </c>
    </row>
    <row r="112">
      <c r="A112">
        <f>CurrentPositions!A107</f>
        <v/>
      </c>
      <c r="B112">
        <f>CurrentPositions!B107</f>
        <v/>
      </c>
      <c r="C112">
        <f>CurrentPositions!C107</f>
        <v/>
      </c>
      <c r="D112">
        <f>CurrentPositions!D107</f>
        <v/>
      </c>
      <c r="E112">
        <f>CurrentPositions!E107</f>
        <v/>
      </c>
      <c r="F112">
        <f>$B$4</f>
        <v/>
      </c>
      <c r="G112">
        <f>IF(B112="BUY",(F112-E112)/Settings!$B$3,(E112-F112)/Settings!$B$3)</f>
        <v/>
      </c>
      <c r="H112">
        <f>G112*D112*Settings!$B$4</f>
        <v/>
      </c>
      <c r="I112">
        <f>CurrentPositions!I107</f>
        <v/>
      </c>
      <c r="J112">
        <f>CurrentPositions!J107</f>
        <v/>
      </c>
    </row>
    <row r="113">
      <c r="A113">
        <f>CurrentPositions!A108</f>
        <v/>
      </c>
      <c r="B113">
        <f>CurrentPositions!B108</f>
        <v/>
      </c>
      <c r="C113">
        <f>CurrentPositions!C108</f>
        <v/>
      </c>
      <c r="D113">
        <f>CurrentPositions!D108</f>
        <v/>
      </c>
      <c r="E113">
        <f>CurrentPositions!E108</f>
        <v/>
      </c>
      <c r="F113">
        <f>$B$4</f>
        <v/>
      </c>
      <c r="G113">
        <f>IF(B113="BUY",(F113-E113)/Settings!$B$3,(E113-F113)/Settings!$B$3)</f>
        <v/>
      </c>
      <c r="H113">
        <f>G113*D113*Settings!$B$4</f>
        <v/>
      </c>
      <c r="I113">
        <f>CurrentPositions!I108</f>
        <v/>
      </c>
      <c r="J113">
        <f>CurrentPositions!J108</f>
        <v/>
      </c>
    </row>
    <row r="114">
      <c r="A114">
        <f>CurrentPositions!A109</f>
        <v/>
      </c>
      <c r="B114">
        <f>CurrentPositions!B109</f>
        <v/>
      </c>
      <c r="C114">
        <f>CurrentPositions!C109</f>
        <v/>
      </c>
      <c r="D114">
        <f>CurrentPositions!D109</f>
        <v/>
      </c>
      <c r="E114">
        <f>CurrentPositions!E109</f>
        <v/>
      </c>
      <c r="F114">
        <f>$B$4</f>
        <v/>
      </c>
      <c r="G114">
        <f>IF(B114="BUY",(F114-E114)/Settings!$B$3,(E114-F114)/Settings!$B$3)</f>
        <v/>
      </c>
      <c r="H114">
        <f>G114*D114*Settings!$B$4</f>
        <v/>
      </c>
      <c r="I114">
        <f>CurrentPositions!I109</f>
        <v/>
      </c>
      <c r="J114">
        <f>CurrentPositions!J109</f>
        <v/>
      </c>
    </row>
    <row r="115">
      <c r="A115">
        <f>CurrentPositions!A110</f>
        <v/>
      </c>
      <c r="B115">
        <f>CurrentPositions!B110</f>
        <v/>
      </c>
      <c r="C115">
        <f>CurrentPositions!C110</f>
        <v/>
      </c>
      <c r="D115">
        <f>CurrentPositions!D110</f>
        <v/>
      </c>
      <c r="E115">
        <f>CurrentPositions!E110</f>
        <v/>
      </c>
      <c r="F115">
        <f>$B$4</f>
        <v/>
      </c>
      <c r="G115">
        <f>IF(B115="BUY",(F115-E115)/Settings!$B$3,(E115-F115)/Settings!$B$3)</f>
        <v/>
      </c>
      <c r="H115">
        <f>G115*D115*Settings!$B$4</f>
        <v/>
      </c>
      <c r="I115">
        <f>CurrentPositions!I110</f>
        <v/>
      </c>
      <c r="J115">
        <f>CurrentPositions!J110</f>
        <v/>
      </c>
    </row>
    <row r="116">
      <c r="A116">
        <f>CurrentPositions!A111</f>
        <v/>
      </c>
      <c r="B116">
        <f>CurrentPositions!B111</f>
        <v/>
      </c>
      <c r="C116">
        <f>CurrentPositions!C111</f>
        <v/>
      </c>
      <c r="D116">
        <f>CurrentPositions!D111</f>
        <v/>
      </c>
      <c r="E116">
        <f>CurrentPositions!E111</f>
        <v/>
      </c>
      <c r="F116">
        <f>$B$4</f>
        <v/>
      </c>
      <c r="G116">
        <f>IF(B116="BUY",(F116-E116)/Settings!$B$3,(E116-F116)/Settings!$B$3)</f>
        <v/>
      </c>
      <c r="H116">
        <f>G116*D116*Settings!$B$4</f>
        <v/>
      </c>
      <c r="I116">
        <f>CurrentPositions!I111</f>
        <v/>
      </c>
      <c r="J116">
        <f>CurrentPositions!J111</f>
        <v/>
      </c>
    </row>
    <row r="117">
      <c r="A117">
        <f>CurrentPositions!A112</f>
        <v/>
      </c>
      <c r="B117">
        <f>CurrentPositions!B112</f>
        <v/>
      </c>
      <c r="C117">
        <f>CurrentPositions!C112</f>
        <v/>
      </c>
      <c r="D117">
        <f>CurrentPositions!D112</f>
        <v/>
      </c>
      <c r="E117">
        <f>CurrentPositions!E112</f>
        <v/>
      </c>
      <c r="F117">
        <f>$B$4</f>
        <v/>
      </c>
      <c r="G117">
        <f>IF(B117="BUY",(F117-E117)/Settings!$B$3,(E117-F117)/Settings!$B$3)</f>
        <v/>
      </c>
      <c r="H117">
        <f>G117*D117*Settings!$B$4</f>
        <v/>
      </c>
      <c r="I117">
        <f>CurrentPositions!I112</f>
        <v/>
      </c>
      <c r="J117">
        <f>CurrentPositions!J112</f>
        <v/>
      </c>
    </row>
    <row r="118">
      <c r="A118">
        <f>CurrentPositions!A113</f>
        <v/>
      </c>
      <c r="B118">
        <f>CurrentPositions!B113</f>
        <v/>
      </c>
      <c r="C118">
        <f>CurrentPositions!C113</f>
        <v/>
      </c>
      <c r="D118">
        <f>CurrentPositions!D113</f>
        <v/>
      </c>
      <c r="E118">
        <f>CurrentPositions!E113</f>
        <v/>
      </c>
      <c r="F118">
        <f>$B$4</f>
        <v/>
      </c>
      <c r="G118">
        <f>IF(B118="BUY",(F118-E118)/Settings!$B$3,(E118-F118)/Settings!$B$3)</f>
        <v/>
      </c>
      <c r="H118">
        <f>G118*D118*Settings!$B$4</f>
        <v/>
      </c>
      <c r="I118">
        <f>CurrentPositions!I113</f>
        <v/>
      </c>
      <c r="J118">
        <f>CurrentPositions!J113</f>
        <v/>
      </c>
    </row>
    <row r="119">
      <c r="A119">
        <f>CurrentPositions!A114</f>
        <v/>
      </c>
      <c r="B119">
        <f>CurrentPositions!B114</f>
        <v/>
      </c>
      <c r="C119">
        <f>CurrentPositions!C114</f>
        <v/>
      </c>
      <c r="D119">
        <f>CurrentPositions!D114</f>
        <v/>
      </c>
      <c r="E119">
        <f>CurrentPositions!E114</f>
        <v/>
      </c>
      <c r="F119">
        <f>$B$4</f>
        <v/>
      </c>
      <c r="G119">
        <f>IF(B119="BUY",(F119-E119)/Settings!$B$3,(E119-F119)/Settings!$B$3)</f>
        <v/>
      </c>
      <c r="H119">
        <f>G119*D119*Settings!$B$4</f>
        <v/>
      </c>
      <c r="I119">
        <f>CurrentPositions!I114</f>
        <v/>
      </c>
      <c r="J119">
        <f>CurrentPositions!J114</f>
        <v/>
      </c>
    </row>
    <row r="120">
      <c r="A120">
        <f>CurrentPositions!A115</f>
        <v/>
      </c>
      <c r="B120">
        <f>CurrentPositions!B115</f>
        <v/>
      </c>
      <c r="C120">
        <f>CurrentPositions!C115</f>
        <v/>
      </c>
      <c r="D120">
        <f>CurrentPositions!D115</f>
        <v/>
      </c>
      <c r="E120">
        <f>CurrentPositions!E115</f>
        <v/>
      </c>
      <c r="F120">
        <f>$B$4</f>
        <v/>
      </c>
      <c r="G120">
        <f>IF(B120="BUY",(F120-E120)/Settings!$B$3,(E120-F120)/Settings!$B$3)</f>
        <v/>
      </c>
      <c r="H120">
        <f>G120*D120*Settings!$B$4</f>
        <v/>
      </c>
      <c r="I120">
        <f>CurrentPositions!I115</f>
        <v/>
      </c>
      <c r="J120">
        <f>CurrentPositions!J115</f>
        <v/>
      </c>
    </row>
    <row r="121">
      <c r="A121">
        <f>CurrentPositions!A116</f>
        <v/>
      </c>
      <c r="B121">
        <f>CurrentPositions!B116</f>
        <v/>
      </c>
      <c r="C121">
        <f>CurrentPositions!C116</f>
        <v/>
      </c>
      <c r="D121">
        <f>CurrentPositions!D116</f>
        <v/>
      </c>
      <c r="E121">
        <f>CurrentPositions!E116</f>
        <v/>
      </c>
      <c r="F121">
        <f>$B$4</f>
        <v/>
      </c>
      <c r="G121">
        <f>IF(B121="BUY",(F121-E121)/Settings!$B$3,(E121-F121)/Settings!$B$3)</f>
        <v/>
      </c>
      <c r="H121">
        <f>G121*D121*Settings!$B$4</f>
        <v/>
      </c>
      <c r="I121">
        <f>CurrentPositions!I116</f>
        <v/>
      </c>
      <c r="J121">
        <f>CurrentPositions!J116</f>
        <v/>
      </c>
    </row>
    <row r="122">
      <c r="A122">
        <f>CurrentPositions!A117</f>
        <v/>
      </c>
      <c r="B122">
        <f>CurrentPositions!B117</f>
        <v/>
      </c>
      <c r="C122">
        <f>CurrentPositions!C117</f>
        <v/>
      </c>
      <c r="D122">
        <f>CurrentPositions!D117</f>
        <v/>
      </c>
      <c r="E122">
        <f>CurrentPositions!E117</f>
        <v/>
      </c>
      <c r="F122">
        <f>$B$4</f>
        <v/>
      </c>
      <c r="G122">
        <f>IF(B122="BUY",(F122-E122)/Settings!$B$3,(E122-F122)/Settings!$B$3)</f>
        <v/>
      </c>
      <c r="H122">
        <f>G122*D122*Settings!$B$4</f>
        <v/>
      </c>
      <c r="I122">
        <f>CurrentPositions!I117</f>
        <v/>
      </c>
      <c r="J122">
        <f>CurrentPositions!J117</f>
        <v/>
      </c>
    </row>
    <row r="123">
      <c r="A123">
        <f>CurrentPositions!A118</f>
        <v/>
      </c>
      <c r="B123">
        <f>CurrentPositions!B118</f>
        <v/>
      </c>
      <c r="C123">
        <f>CurrentPositions!C118</f>
        <v/>
      </c>
      <c r="D123">
        <f>CurrentPositions!D118</f>
        <v/>
      </c>
      <c r="E123">
        <f>CurrentPositions!E118</f>
        <v/>
      </c>
      <c r="F123">
        <f>$B$4</f>
        <v/>
      </c>
      <c r="G123">
        <f>IF(B123="BUY",(F123-E123)/Settings!$B$3,(E123-F123)/Settings!$B$3)</f>
        <v/>
      </c>
      <c r="H123">
        <f>G123*D123*Settings!$B$4</f>
        <v/>
      </c>
      <c r="I123">
        <f>CurrentPositions!I118</f>
        <v/>
      </c>
      <c r="J123">
        <f>CurrentPositions!J118</f>
        <v/>
      </c>
    </row>
    <row r="124">
      <c r="A124">
        <f>CurrentPositions!A119</f>
        <v/>
      </c>
      <c r="B124">
        <f>CurrentPositions!B119</f>
        <v/>
      </c>
      <c r="C124">
        <f>CurrentPositions!C119</f>
        <v/>
      </c>
      <c r="D124">
        <f>CurrentPositions!D119</f>
        <v/>
      </c>
      <c r="E124">
        <f>CurrentPositions!E119</f>
        <v/>
      </c>
      <c r="F124">
        <f>$B$4</f>
        <v/>
      </c>
      <c r="G124">
        <f>IF(B124="BUY",(F124-E124)/Settings!$B$3,(E124-F124)/Settings!$B$3)</f>
        <v/>
      </c>
      <c r="H124">
        <f>G124*D124*Settings!$B$4</f>
        <v/>
      </c>
      <c r="I124">
        <f>CurrentPositions!I119</f>
        <v/>
      </c>
      <c r="J124">
        <f>CurrentPositions!J119</f>
        <v/>
      </c>
    </row>
    <row r="125">
      <c r="A125">
        <f>CurrentPositions!A120</f>
        <v/>
      </c>
      <c r="B125">
        <f>CurrentPositions!B120</f>
        <v/>
      </c>
      <c r="C125">
        <f>CurrentPositions!C120</f>
        <v/>
      </c>
      <c r="D125">
        <f>CurrentPositions!D120</f>
        <v/>
      </c>
      <c r="E125">
        <f>CurrentPositions!E120</f>
        <v/>
      </c>
      <c r="F125">
        <f>$B$4</f>
        <v/>
      </c>
      <c r="G125">
        <f>IF(B125="BUY",(F125-E125)/Settings!$B$3,(E125-F125)/Settings!$B$3)</f>
        <v/>
      </c>
      <c r="H125">
        <f>G125*D125*Settings!$B$4</f>
        <v/>
      </c>
      <c r="I125">
        <f>CurrentPositions!I120</f>
        <v/>
      </c>
      <c r="J125">
        <f>CurrentPositions!J120</f>
        <v/>
      </c>
    </row>
    <row r="126">
      <c r="A126">
        <f>CurrentPositions!A121</f>
        <v/>
      </c>
      <c r="B126">
        <f>CurrentPositions!B121</f>
        <v/>
      </c>
      <c r="C126">
        <f>CurrentPositions!C121</f>
        <v/>
      </c>
      <c r="D126">
        <f>CurrentPositions!D121</f>
        <v/>
      </c>
      <c r="E126">
        <f>CurrentPositions!E121</f>
        <v/>
      </c>
      <c r="F126">
        <f>$B$4</f>
        <v/>
      </c>
      <c r="G126">
        <f>IF(B126="BUY",(F126-E126)/Settings!$B$3,(E126-F126)/Settings!$B$3)</f>
        <v/>
      </c>
      <c r="H126">
        <f>G126*D126*Settings!$B$4</f>
        <v/>
      </c>
      <c r="I126">
        <f>CurrentPositions!I121</f>
        <v/>
      </c>
      <c r="J126">
        <f>CurrentPositions!J121</f>
        <v/>
      </c>
    </row>
    <row r="127">
      <c r="A127">
        <f>CurrentPositions!A122</f>
        <v/>
      </c>
      <c r="B127">
        <f>CurrentPositions!B122</f>
        <v/>
      </c>
      <c r="C127">
        <f>CurrentPositions!C122</f>
        <v/>
      </c>
      <c r="D127">
        <f>CurrentPositions!D122</f>
        <v/>
      </c>
      <c r="E127">
        <f>CurrentPositions!E122</f>
        <v/>
      </c>
      <c r="F127">
        <f>$B$4</f>
        <v/>
      </c>
      <c r="G127">
        <f>IF(B127="BUY",(F127-E127)/Settings!$B$3,(E127-F127)/Settings!$B$3)</f>
        <v/>
      </c>
      <c r="H127">
        <f>G127*D127*Settings!$B$4</f>
        <v/>
      </c>
      <c r="I127">
        <f>CurrentPositions!I122</f>
        <v/>
      </c>
      <c r="J127">
        <f>CurrentPositions!J122</f>
        <v/>
      </c>
    </row>
    <row r="128">
      <c r="A128">
        <f>CurrentPositions!A123</f>
        <v/>
      </c>
      <c r="B128">
        <f>CurrentPositions!B123</f>
        <v/>
      </c>
      <c r="C128">
        <f>CurrentPositions!C123</f>
        <v/>
      </c>
      <c r="D128">
        <f>CurrentPositions!D123</f>
        <v/>
      </c>
      <c r="E128">
        <f>CurrentPositions!E123</f>
        <v/>
      </c>
      <c r="F128">
        <f>$B$4</f>
        <v/>
      </c>
      <c r="G128">
        <f>IF(B128="BUY",(F128-E128)/Settings!$B$3,(E128-F128)/Settings!$B$3)</f>
        <v/>
      </c>
      <c r="H128">
        <f>G128*D128*Settings!$B$4</f>
        <v/>
      </c>
      <c r="I128">
        <f>CurrentPositions!I123</f>
        <v/>
      </c>
      <c r="J128">
        <f>CurrentPositions!J123</f>
        <v/>
      </c>
    </row>
    <row r="129">
      <c r="A129">
        <f>CurrentPositions!A124</f>
        <v/>
      </c>
      <c r="B129">
        <f>CurrentPositions!B124</f>
        <v/>
      </c>
      <c r="C129">
        <f>CurrentPositions!C124</f>
        <v/>
      </c>
      <c r="D129">
        <f>CurrentPositions!D124</f>
        <v/>
      </c>
      <c r="E129">
        <f>CurrentPositions!E124</f>
        <v/>
      </c>
      <c r="F129">
        <f>$B$4</f>
        <v/>
      </c>
      <c r="G129">
        <f>IF(B129="BUY",(F129-E129)/Settings!$B$3,(E129-F129)/Settings!$B$3)</f>
        <v/>
      </c>
      <c r="H129">
        <f>G129*D129*Settings!$B$4</f>
        <v/>
      </c>
      <c r="I129">
        <f>CurrentPositions!I124</f>
        <v/>
      </c>
      <c r="J129">
        <f>CurrentPositions!J124</f>
        <v/>
      </c>
    </row>
    <row r="130">
      <c r="A130">
        <f>CurrentPositions!A125</f>
        <v/>
      </c>
      <c r="B130">
        <f>CurrentPositions!B125</f>
        <v/>
      </c>
      <c r="C130">
        <f>CurrentPositions!C125</f>
        <v/>
      </c>
      <c r="D130">
        <f>CurrentPositions!D125</f>
        <v/>
      </c>
      <c r="E130">
        <f>CurrentPositions!E125</f>
        <v/>
      </c>
      <c r="F130">
        <f>$B$4</f>
        <v/>
      </c>
      <c r="G130">
        <f>IF(B130="BUY",(F130-E130)/Settings!$B$3,(E130-F130)/Settings!$B$3)</f>
        <v/>
      </c>
      <c r="H130">
        <f>G130*D130*Settings!$B$4</f>
        <v/>
      </c>
      <c r="I130">
        <f>CurrentPositions!I125</f>
        <v/>
      </c>
      <c r="J130">
        <f>CurrentPositions!J125</f>
        <v/>
      </c>
    </row>
    <row r="131">
      <c r="A131">
        <f>CurrentPositions!A126</f>
        <v/>
      </c>
      <c r="B131">
        <f>CurrentPositions!B126</f>
        <v/>
      </c>
      <c r="C131">
        <f>CurrentPositions!C126</f>
        <v/>
      </c>
      <c r="D131">
        <f>CurrentPositions!D126</f>
        <v/>
      </c>
      <c r="E131">
        <f>CurrentPositions!E126</f>
        <v/>
      </c>
      <c r="F131">
        <f>$B$4</f>
        <v/>
      </c>
      <c r="G131">
        <f>IF(B131="BUY",(F131-E131)/Settings!$B$3,(E131-F131)/Settings!$B$3)</f>
        <v/>
      </c>
      <c r="H131">
        <f>G131*D131*Settings!$B$4</f>
        <v/>
      </c>
      <c r="I131">
        <f>CurrentPositions!I126</f>
        <v/>
      </c>
      <c r="J131">
        <f>CurrentPositions!J126</f>
        <v/>
      </c>
    </row>
    <row r="132">
      <c r="A132">
        <f>CurrentPositions!A127</f>
        <v/>
      </c>
      <c r="B132">
        <f>CurrentPositions!B127</f>
        <v/>
      </c>
      <c r="C132">
        <f>CurrentPositions!C127</f>
        <v/>
      </c>
      <c r="D132">
        <f>CurrentPositions!D127</f>
        <v/>
      </c>
      <c r="E132">
        <f>CurrentPositions!E127</f>
        <v/>
      </c>
      <c r="F132">
        <f>$B$4</f>
        <v/>
      </c>
      <c r="G132">
        <f>IF(B132="BUY",(F132-E132)/Settings!$B$3,(E132-F132)/Settings!$B$3)</f>
        <v/>
      </c>
      <c r="H132">
        <f>G132*D132*Settings!$B$4</f>
        <v/>
      </c>
      <c r="I132">
        <f>CurrentPositions!I127</f>
        <v/>
      </c>
      <c r="J132">
        <f>CurrentPositions!J127</f>
        <v/>
      </c>
    </row>
    <row r="133">
      <c r="A133">
        <f>CurrentPositions!A128</f>
        <v/>
      </c>
      <c r="B133">
        <f>CurrentPositions!B128</f>
        <v/>
      </c>
      <c r="C133">
        <f>CurrentPositions!C128</f>
        <v/>
      </c>
      <c r="D133">
        <f>CurrentPositions!D128</f>
        <v/>
      </c>
      <c r="E133">
        <f>CurrentPositions!E128</f>
        <v/>
      </c>
      <c r="F133">
        <f>$B$4</f>
        <v/>
      </c>
      <c r="G133">
        <f>IF(B133="BUY",(F133-E133)/Settings!$B$3,(E133-F133)/Settings!$B$3)</f>
        <v/>
      </c>
      <c r="H133">
        <f>G133*D133*Settings!$B$4</f>
        <v/>
      </c>
      <c r="I133">
        <f>CurrentPositions!I128</f>
        <v/>
      </c>
      <c r="J133">
        <f>CurrentPositions!J128</f>
        <v/>
      </c>
    </row>
    <row r="134">
      <c r="A134">
        <f>CurrentPositions!A129</f>
        <v/>
      </c>
      <c r="B134">
        <f>CurrentPositions!B129</f>
        <v/>
      </c>
      <c r="C134">
        <f>CurrentPositions!C129</f>
        <v/>
      </c>
      <c r="D134">
        <f>CurrentPositions!D129</f>
        <v/>
      </c>
      <c r="E134">
        <f>CurrentPositions!E129</f>
        <v/>
      </c>
      <c r="F134">
        <f>$B$4</f>
        <v/>
      </c>
      <c r="G134">
        <f>IF(B134="BUY",(F134-E134)/Settings!$B$3,(E134-F134)/Settings!$B$3)</f>
        <v/>
      </c>
      <c r="H134">
        <f>G134*D134*Settings!$B$4</f>
        <v/>
      </c>
      <c r="I134">
        <f>CurrentPositions!I129</f>
        <v/>
      </c>
      <c r="J134">
        <f>CurrentPositions!J129</f>
        <v/>
      </c>
    </row>
    <row r="135">
      <c r="A135">
        <f>CurrentPositions!A130</f>
        <v/>
      </c>
      <c r="B135">
        <f>CurrentPositions!B130</f>
        <v/>
      </c>
      <c r="C135">
        <f>CurrentPositions!C130</f>
        <v/>
      </c>
      <c r="D135">
        <f>CurrentPositions!D130</f>
        <v/>
      </c>
      <c r="E135">
        <f>CurrentPositions!E130</f>
        <v/>
      </c>
      <c r="F135">
        <f>$B$4</f>
        <v/>
      </c>
      <c r="G135">
        <f>IF(B135="BUY",(F135-E135)/Settings!$B$3,(E135-F135)/Settings!$B$3)</f>
        <v/>
      </c>
      <c r="H135">
        <f>G135*D135*Settings!$B$4</f>
        <v/>
      </c>
      <c r="I135">
        <f>CurrentPositions!I130</f>
        <v/>
      </c>
      <c r="J135">
        <f>CurrentPositions!J130</f>
        <v/>
      </c>
    </row>
    <row r="136">
      <c r="A136">
        <f>CurrentPositions!A131</f>
        <v/>
      </c>
      <c r="B136">
        <f>CurrentPositions!B131</f>
        <v/>
      </c>
      <c r="C136">
        <f>CurrentPositions!C131</f>
        <v/>
      </c>
      <c r="D136">
        <f>CurrentPositions!D131</f>
        <v/>
      </c>
      <c r="E136">
        <f>CurrentPositions!E131</f>
        <v/>
      </c>
      <c r="F136">
        <f>$B$4</f>
        <v/>
      </c>
      <c r="G136">
        <f>IF(B136="BUY",(F136-E136)/Settings!$B$3,(E136-F136)/Settings!$B$3)</f>
        <v/>
      </c>
      <c r="H136">
        <f>G136*D136*Settings!$B$4</f>
        <v/>
      </c>
      <c r="I136">
        <f>CurrentPositions!I131</f>
        <v/>
      </c>
      <c r="J136">
        <f>CurrentPositions!J131</f>
        <v/>
      </c>
    </row>
    <row r="137">
      <c r="A137">
        <f>CurrentPositions!A132</f>
        <v/>
      </c>
      <c r="B137">
        <f>CurrentPositions!B132</f>
        <v/>
      </c>
      <c r="C137">
        <f>CurrentPositions!C132</f>
        <v/>
      </c>
      <c r="D137">
        <f>CurrentPositions!D132</f>
        <v/>
      </c>
      <c r="E137">
        <f>CurrentPositions!E132</f>
        <v/>
      </c>
      <c r="F137">
        <f>$B$4</f>
        <v/>
      </c>
      <c r="G137">
        <f>IF(B137="BUY",(F137-E137)/Settings!$B$3,(E137-F137)/Settings!$B$3)</f>
        <v/>
      </c>
      <c r="H137">
        <f>G137*D137*Settings!$B$4</f>
        <v/>
      </c>
      <c r="I137">
        <f>CurrentPositions!I132</f>
        <v/>
      </c>
      <c r="J137">
        <f>CurrentPositions!J132</f>
        <v/>
      </c>
    </row>
    <row r="138">
      <c r="A138">
        <f>CurrentPositions!A133</f>
        <v/>
      </c>
      <c r="B138">
        <f>CurrentPositions!B133</f>
        <v/>
      </c>
      <c r="C138">
        <f>CurrentPositions!C133</f>
        <v/>
      </c>
      <c r="D138">
        <f>CurrentPositions!D133</f>
        <v/>
      </c>
      <c r="E138">
        <f>CurrentPositions!E133</f>
        <v/>
      </c>
      <c r="F138">
        <f>$B$4</f>
        <v/>
      </c>
      <c r="G138">
        <f>IF(B138="BUY",(F138-E138)/Settings!$B$3,(E138-F138)/Settings!$B$3)</f>
        <v/>
      </c>
      <c r="H138">
        <f>G138*D138*Settings!$B$4</f>
        <v/>
      </c>
      <c r="I138">
        <f>CurrentPositions!I133</f>
        <v/>
      </c>
      <c r="J138">
        <f>CurrentPositions!J133</f>
        <v/>
      </c>
    </row>
    <row r="139">
      <c r="A139">
        <f>CurrentPositions!A134</f>
        <v/>
      </c>
      <c r="B139">
        <f>CurrentPositions!B134</f>
        <v/>
      </c>
      <c r="C139">
        <f>CurrentPositions!C134</f>
        <v/>
      </c>
      <c r="D139">
        <f>CurrentPositions!D134</f>
        <v/>
      </c>
      <c r="E139">
        <f>CurrentPositions!E134</f>
        <v/>
      </c>
      <c r="F139">
        <f>$B$4</f>
        <v/>
      </c>
      <c r="G139">
        <f>IF(B139="BUY",(F139-E139)/Settings!$B$3,(E139-F139)/Settings!$B$3)</f>
        <v/>
      </c>
      <c r="H139">
        <f>G139*D139*Settings!$B$4</f>
        <v/>
      </c>
      <c r="I139">
        <f>CurrentPositions!I134</f>
        <v/>
      </c>
      <c r="J139">
        <f>CurrentPositions!J134</f>
        <v/>
      </c>
    </row>
    <row r="140">
      <c r="A140">
        <f>CurrentPositions!A135</f>
        <v/>
      </c>
      <c r="B140">
        <f>CurrentPositions!B135</f>
        <v/>
      </c>
      <c r="C140">
        <f>CurrentPositions!C135</f>
        <v/>
      </c>
      <c r="D140">
        <f>CurrentPositions!D135</f>
        <v/>
      </c>
      <c r="E140">
        <f>CurrentPositions!E135</f>
        <v/>
      </c>
      <c r="F140">
        <f>$B$4</f>
        <v/>
      </c>
      <c r="G140">
        <f>IF(B140="BUY",(F140-E140)/Settings!$B$3,(E140-F140)/Settings!$B$3)</f>
        <v/>
      </c>
      <c r="H140">
        <f>G140*D140*Settings!$B$4</f>
        <v/>
      </c>
      <c r="I140">
        <f>CurrentPositions!I135</f>
        <v/>
      </c>
      <c r="J140">
        <f>CurrentPositions!J135</f>
        <v/>
      </c>
    </row>
    <row r="141">
      <c r="A141">
        <f>CurrentPositions!A136</f>
        <v/>
      </c>
      <c r="B141">
        <f>CurrentPositions!B136</f>
        <v/>
      </c>
      <c r="C141">
        <f>CurrentPositions!C136</f>
        <v/>
      </c>
      <c r="D141">
        <f>CurrentPositions!D136</f>
        <v/>
      </c>
      <c r="E141">
        <f>CurrentPositions!E136</f>
        <v/>
      </c>
      <c r="F141">
        <f>$B$4</f>
        <v/>
      </c>
      <c r="G141">
        <f>IF(B141="BUY",(F141-E141)/Settings!$B$3,(E141-F141)/Settings!$B$3)</f>
        <v/>
      </c>
      <c r="H141">
        <f>G141*D141*Settings!$B$4</f>
        <v/>
      </c>
      <c r="I141">
        <f>CurrentPositions!I136</f>
        <v/>
      </c>
      <c r="J141">
        <f>CurrentPositions!J136</f>
        <v/>
      </c>
    </row>
    <row r="142">
      <c r="A142">
        <f>CurrentPositions!A137</f>
        <v/>
      </c>
      <c r="B142">
        <f>CurrentPositions!B137</f>
        <v/>
      </c>
      <c r="C142">
        <f>CurrentPositions!C137</f>
        <v/>
      </c>
      <c r="D142">
        <f>CurrentPositions!D137</f>
        <v/>
      </c>
      <c r="E142">
        <f>CurrentPositions!E137</f>
        <v/>
      </c>
      <c r="F142">
        <f>$B$4</f>
        <v/>
      </c>
      <c r="G142">
        <f>IF(B142="BUY",(F142-E142)/Settings!$B$3,(E142-F142)/Settings!$B$3)</f>
        <v/>
      </c>
      <c r="H142">
        <f>G142*D142*Settings!$B$4</f>
        <v/>
      </c>
      <c r="I142">
        <f>CurrentPositions!I137</f>
        <v/>
      </c>
      <c r="J142">
        <f>CurrentPositions!J137</f>
        <v/>
      </c>
    </row>
    <row r="143">
      <c r="A143">
        <f>CurrentPositions!A138</f>
        <v/>
      </c>
      <c r="B143">
        <f>CurrentPositions!B138</f>
        <v/>
      </c>
      <c r="C143">
        <f>CurrentPositions!C138</f>
        <v/>
      </c>
      <c r="D143">
        <f>CurrentPositions!D138</f>
        <v/>
      </c>
      <c r="E143">
        <f>CurrentPositions!E138</f>
        <v/>
      </c>
      <c r="F143">
        <f>$B$4</f>
        <v/>
      </c>
      <c r="G143">
        <f>IF(B143="BUY",(F143-E143)/Settings!$B$3,(E143-F143)/Settings!$B$3)</f>
        <v/>
      </c>
      <c r="H143">
        <f>G143*D143*Settings!$B$4</f>
        <v/>
      </c>
      <c r="I143">
        <f>CurrentPositions!I138</f>
        <v/>
      </c>
      <c r="J143">
        <f>CurrentPositions!J138</f>
        <v/>
      </c>
    </row>
    <row r="144">
      <c r="A144">
        <f>CurrentPositions!A139</f>
        <v/>
      </c>
      <c r="B144">
        <f>CurrentPositions!B139</f>
        <v/>
      </c>
      <c r="C144">
        <f>CurrentPositions!C139</f>
        <v/>
      </c>
      <c r="D144">
        <f>CurrentPositions!D139</f>
        <v/>
      </c>
      <c r="E144">
        <f>CurrentPositions!E139</f>
        <v/>
      </c>
      <c r="F144">
        <f>$B$4</f>
        <v/>
      </c>
      <c r="G144">
        <f>IF(B144="BUY",(F144-E144)/Settings!$B$3,(E144-F144)/Settings!$B$3)</f>
        <v/>
      </c>
      <c r="H144">
        <f>G144*D144*Settings!$B$4</f>
        <v/>
      </c>
      <c r="I144">
        <f>CurrentPositions!I139</f>
        <v/>
      </c>
      <c r="J144">
        <f>CurrentPositions!J139</f>
        <v/>
      </c>
    </row>
    <row r="145">
      <c r="A145">
        <f>CurrentPositions!A140</f>
        <v/>
      </c>
      <c r="B145">
        <f>CurrentPositions!B140</f>
        <v/>
      </c>
      <c r="C145">
        <f>CurrentPositions!C140</f>
        <v/>
      </c>
      <c r="D145">
        <f>CurrentPositions!D140</f>
        <v/>
      </c>
      <c r="E145">
        <f>CurrentPositions!E140</f>
        <v/>
      </c>
      <c r="F145">
        <f>$B$4</f>
        <v/>
      </c>
      <c r="G145">
        <f>IF(B145="BUY",(F145-E145)/Settings!$B$3,(E145-F145)/Settings!$B$3)</f>
        <v/>
      </c>
      <c r="H145">
        <f>G145*D145*Settings!$B$4</f>
        <v/>
      </c>
      <c r="I145">
        <f>CurrentPositions!I140</f>
        <v/>
      </c>
      <c r="J145">
        <f>CurrentPositions!J140</f>
        <v/>
      </c>
    </row>
    <row r="146">
      <c r="A146">
        <f>CurrentPositions!A141</f>
        <v/>
      </c>
      <c r="B146">
        <f>CurrentPositions!B141</f>
        <v/>
      </c>
      <c r="C146">
        <f>CurrentPositions!C141</f>
        <v/>
      </c>
      <c r="D146">
        <f>CurrentPositions!D141</f>
        <v/>
      </c>
      <c r="E146">
        <f>CurrentPositions!E141</f>
        <v/>
      </c>
      <c r="F146">
        <f>$B$4</f>
        <v/>
      </c>
      <c r="G146">
        <f>IF(B146="BUY",(F146-E146)/Settings!$B$3,(E146-F146)/Settings!$B$3)</f>
        <v/>
      </c>
      <c r="H146">
        <f>G146*D146*Settings!$B$4</f>
        <v/>
      </c>
      <c r="I146">
        <f>CurrentPositions!I141</f>
        <v/>
      </c>
      <c r="J146">
        <f>CurrentPositions!J141</f>
        <v/>
      </c>
    </row>
    <row r="147">
      <c r="A147">
        <f>CurrentPositions!A142</f>
        <v/>
      </c>
      <c r="B147">
        <f>CurrentPositions!B142</f>
        <v/>
      </c>
      <c r="C147">
        <f>CurrentPositions!C142</f>
        <v/>
      </c>
      <c r="D147">
        <f>CurrentPositions!D142</f>
        <v/>
      </c>
      <c r="E147">
        <f>CurrentPositions!E142</f>
        <v/>
      </c>
      <c r="F147">
        <f>$B$4</f>
        <v/>
      </c>
      <c r="G147">
        <f>IF(B147="BUY",(F147-E147)/Settings!$B$3,(E147-F147)/Settings!$B$3)</f>
        <v/>
      </c>
      <c r="H147">
        <f>G147*D147*Settings!$B$4</f>
        <v/>
      </c>
      <c r="I147">
        <f>CurrentPositions!I142</f>
        <v/>
      </c>
      <c r="J147">
        <f>CurrentPositions!J142</f>
        <v/>
      </c>
    </row>
    <row r="148">
      <c r="A148">
        <f>CurrentPositions!A143</f>
        <v/>
      </c>
      <c r="B148">
        <f>CurrentPositions!B143</f>
        <v/>
      </c>
      <c r="C148">
        <f>CurrentPositions!C143</f>
        <v/>
      </c>
      <c r="D148">
        <f>CurrentPositions!D143</f>
        <v/>
      </c>
      <c r="E148">
        <f>CurrentPositions!E143</f>
        <v/>
      </c>
      <c r="F148">
        <f>$B$4</f>
        <v/>
      </c>
      <c r="G148">
        <f>IF(B148="BUY",(F148-E148)/Settings!$B$3,(E148-F148)/Settings!$B$3)</f>
        <v/>
      </c>
      <c r="H148">
        <f>G148*D148*Settings!$B$4</f>
        <v/>
      </c>
      <c r="I148">
        <f>CurrentPositions!I143</f>
        <v/>
      </c>
      <c r="J148">
        <f>CurrentPositions!J143</f>
        <v/>
      </c>
    </row>
    <row r="149">
      <c r="A149">
        <f>CurrentPositions!A144</f>
        <v/>
      </c>
      <c r="B149">
        <f>CurrentPositions!B144</f>
        <v/>
      </c>
      <c r="C149">
        <f>CurrentPositions!C144</f>
        <v/>
      </c>
      <c r="D149">
        <f>CurrentPositions!D144</f>
        <v/>
      </c>
      <c r="E149">
        <f>CurrentPositions!E144</f>
        <v/>
      </c>
      <c r="F149">
        <f>$B$4</f>
        <v/>
      </c>
      <c r="G149">
        <f>IF(B149="BUY",(F149-E149)/Settings!$B$3,(E149-F149)/Settings!$B$3)</f>
        <v/>
      </c>
      <c r="H149">
        <f>G149*D149*Settings!$B$4</f>
        <v/>
      </c>
      <c r="I149">
        <f>CurrentPositions!I144</f>
        <v/>
      </c>
      <c r="J149">
        <f>CurrentPositions!J144</f>
        <v/>
      </c>
    </row>
    <row r="150">
      <c r="A150">
        <f>CurrentPositions!A145</f>
        <v/>
      </c>
      <c r="B150">
        <f>CurrentPositions!B145</f>
        <v/>
      </c>
      <c r="C150">
        <f>CurrentPositions!C145</f>
        <v/>
      </c>
      <c r="D150">
        <f>CurrentPositions!D145</f>
        <v/>
      </c>
      <c r="E150">
        <f>CurrentPositions!E145</f>
        <v/>
      </c>
      <c r="F150">
        <f>$B$4</f>
        <v/>
      </c>
      <c r="G150">
        <f>IF(B150="BUY",(F150-E150)/Settings!$B$3,(E150-F150)/Settings!$B$3)</f>
        <v/>
      </c>
      <c r="H150">
        <f>G150*D150*Settings!$B$4</f>
        <v/>
      </c>
      <c r="I150">
        <f>CurrentPositions!I145</f>
        <v/>
      </c>
      <c r="J150">
        <f>CurrentPositions!J145</f>
        <v/>
      </c>
    </row>
    <row r="151">
      <c r="A151">
        <f>CurrentPositions!A146</f>
        <v/>
      </c>
      <c r="B151">
        <f>CurrentPositions!B146</f>
        <v/>
      </c>
      <c r="C151">
        <f>CurrentPositions!C146</f>
        <v/>
      </c>
      <c r="D151">
        <f>CurrentPositions!D146</f>
        <v/>
      </c>
      <c r="E151">
        <f>CurrentPositions!E146</f>
        <v/>
      </c>
      <c r="F151">
        <f>$B$4</f>
        <v/>
      </c>
      <c r="G151">
        <f>IF(B151="BUY",(F151-E151)/Settings!$B$3,(E151-F151)/Settings!$B$3)</f>
        <v/>
      </c>
      <c r="H151">
        <f>G151*D151*Settings!$B$4</f>
        <v/>
      </c>
      <c r="I151">
        <f>CurrentPositions!I146</f>
        <v/>
      </c>
      <c r="J151">
        <f>CurrentPositions!J146</f>
        <v/>
      </c>
    </row>
    <row r="152">
      <c r="A152">
        <f>CurrentPositions!A147</f>
        <v/>
      </c>
      <c r="B152">
        <f>CurrentPositions!B147</f>
        <v/>
      </c>
      <c r="C152">
        <f>CurrentPositions!C147</f>
        <v/>
      </c>
      <c r="D152">
        <f>CurrentPositions!D147</f>
        <v/>
      </c>
      <c r="E152">
        <f>CurrentPositions!E147</f>
        <v/>
      </c>
      <c r="F152">
        <f>$B$4</f>
        <v/>
      </c>
      <c r="G152">
        <f>IF(B152="BUY",(F152-E152)/Settings!$B$3,(E152-F152)/Settings!$B$3)</f>
        <v/>
      </c>
      <c r="H152">
        <f>G152*D152*Settings!$B$4</f>
        <v/>
      </c>
      <c r="I152">
        <f>CurrentPositions!I147</f>
        <v/>
      </c>
      <c r="J152">
        <f>CurrentPositions!J147</f>
        <v/>
      </c>
    </row>
    <row r="153">
      <c r="A153">
        <f>CurrentPositions!A148</f>
        <v/>
      </c>
      <c r="B153">
        <f>CurrentPositions!B148</f>
        <v/>
      </c>
      <c r="C153">
        <f>CurrentPositions!C148</f>
        <v/>
      </c>
      <c r="D153">
        <f>CurrentPositions!D148</f>
        <v/>
      </c>
      <c r="E153">
        <f>CurrentPositions!E148</f>
        <v/>
      </c>
      <c r="F153">
        <f>$B$4</f>
        <v/>
      </c>
      <c r="G153">
        <f>IF(B153="BUY",(F153-E153)/Settings!$B$3,(E153-F153)/Settings!$B$3)</f>
        <v/>
      </c>
      <c r="H153">
        <f>G153*D153*Settings!$B$4</f>
        <v/>
      </c>
      <c r="I153">
        <f>CurrentPositions!I148</f>
        <v/>
      </c>
      <c r="J153">
        <f>CurrentPositions!J148</f>
        <v/>
      </c>
    </row>
    <row r="154">
      <c r="A154">
        <f>CurrentPositions!A149</f>
        <v/>
      </c>
      <c r="B154">
        <f>CurrentPositions!B149</f>
        <v/>
      </c>
      <c r="C154">
        <f>CurrentPositions!C149</f>
        <v/>
      </c>
      <c r="D154">
        <f>CurrentPositions!D149</f>
        <v/>
      </c>
      <c r="E154">
        <f>CurrentPositions!E149</f>
        <v/>
      </c>
      <c r="F154">
        <f>$B$4</f>
        <v/>
      </c>
      <c r="G154">
        <f>IF(B154="BUY",(F154-E154)/Settings!$B$3,(E154-F154)/Settings!$B$3)</f>
        <v/>
      </c>
      <c r="H154">
        <f>G154*D154*Settings!$B$4</f>
        <v/>
      </c>
      <c r="I154">
        <f>CurrentPositions!I149</f>
        <v/>
      </c>
      <c r="J154">
        <f>CurrentPositions!J149</f>
        <v/>
      </c>
    </row>
    <row r="155">
      <c r="A155">
        <f>CurrentPositions!A150</f>
        <v/>
      </c>
      <c r="B155">
        <f>CurrentPositions!B150</f>
        <v/>
      </c>
      <c r="C155">
        <f>CurrentPositions!C150</f>
        <v/>
      </c>
      <c r="D155">
        <f>CurrentPositions!D150</f>
        <v/>
      </c>
      <c r="E155">
        <f>CurrentPositions!E150</f>
        <v/>
      </c>
      <c r="F155">
        <f>$B$4</f>
        <v/>
      </c>
      <c r="G155">
        <f>IF(B155="BUY",(F155-E155)/Settings!$B$3,(E155-F155)/Settings!$B$3)</f>
        <v/>
      </c>
      <c r="H155">
        <f>G155*D155*Settings!$B$4</f>
        <v/>
      </c>
      <c r="I155">
        <f>CurrentPositions!I150</f>
        <v/>
      </c>
      <c r="J155">
        <f>CurrentPositions!J150</f>
        <v/>
      </c>
    </row>
    <row r="156">
      <c r="A156">
        <f>CurrentPositions!A151</f>
        <v/>
      </c>
      <c r="B156">
        <f>CurrentPositions!B151</f>
        <v/>
      </c>
      <c r="C156">
        <f>CurrentPositions!C151</f>
        <v/>
      </c>
      <c r="D156">
        <f>CurrentPositions!D151</f>
        <v/>
      </c>
      <c r="E156">
        <f>CurrentPositions!E151</f>
        <v/>
      </c>
      <c r="F156">
        <f>$B$4</f>
        <v/>
      </c>
      <c r="G156">
        <f>IF(B156="BUY",(F156-E156)/Settings!$B$3,(E156-F156)/Settings!$B$3)</f>
        <v/>
      </c>
      <c r="H156">
        <f>G156*D156*Settings!$B$4</f>
        <v/>
      </c>
      <c r="I156">
        <f>CurrentPositions!I151</f>
        <v/>
      </c>
      <c r="J156">
        <f>CurrentPositions!J151</f>
        <v/>
      </c>
    </row>
    <row r="157">
      <c r="A157">
        <f>CurrentPositions!A152</f>
        <v/>
      </c>
      <c r="B157">
        <f>CurrentPositions!B152</f>
        <v/>
      </c>
      <c r="C157">
        <f>CurrentPositions!C152</f>
        <v/>
      </c>
      <c r="D157">
        <f>CurrentPositions!D152</f>
        <v/>
      </c>
      <c r="E157">
        <f>CurrentPositions!E152</f>
        <v/>
      </c>
      <c r="F157">
        <f>$B$4</f>
        <v/>
      </c>
      <c r="G157">
        <f>IF(B157="BUY",(F157-E157)/Settings!$B$3,(E157-F157)/Settings!$B$3)</f>
        <v/>
      </c>
      <c r="H157">
        <f>G157*D157*Settings!$B$4</f>
        <v/>
      </c>
      <c r="I157">
        <f>CurrentPositions!I152</f>
        <v/>
      </c>
      <c r="J157">
        <f>CurrentPositions!J152</f>
        <v/>
      </c>
    </row>
    <row r="158">
      <c r="A158">
        <f>CurrentPositions!A153</f>
        <v/>
      </c>
      <c r="B158">
        <f>CurrentPositions!B153</f>
        <v/>
      </c>
      <c r="C158">
        <f>CurrentPositions!C153</f>
        <v/>
      </c>
      <c r="D158">
        <f>CurrentPositions!D153</f>
        <v/>
      </c>
      <c r="E158">
        <f>CurrentPositions!E153</f>
        <v/>
      </c>
      <c r="F158">
        <f>$B$4</f>
        <v/>
      </c>
      <c r="G158">
        <f>IF(B158="BUY",(F158-E158)/Settings!$B$3,(E158-F158)/Settings!$B$3)</f>
        <v/>
      </c>
      <c r="H158">
        <f>G158*D158*Settings!$B$4</f>
        <v/>
      </c>
      <c r="I158">
        <f>CurrentPositions!I153</f>
        <v/>
      </c>
      <c r="J158">
        <f>CurrentPositions!J153</f>
        <v/>
      </c>
    </row>
    <row r="159">
      <c r="A159">
        <f>CurrentPositions!A154</f>
        <v/>
      </c>
      <c r="B159">
        <f>CurrentPositions!B154</f>
        <v/>
      </c>
      <c r="C159">
        <f>CurrentPositions!C154</f>
        <v/>
      </c>
      <c r="D159">
        <f>CurrentPositions!D154</f>
        <v/>
      </c>
      <c r="E159">
        <f>CurrentPositions!E154</f>
        <v/>
      </c>
      <c r="F159">
        <f>$B$4</f>
        <v/>
      </c>
      <c r="G159">
        <f>IF(B159="BUY",(F159-E159)/Settings!$B$3,(E159-F159)/Settings!$B$3)</f>
        <v/>
      </c>
      <c r="H159">
        <f>G159*D159*Settings!$B$4</f>
        <v/>
      </c>
      <c r="I159">
        <f>CurrentPositions!I154</f>
        <v/>
      </c>
      <c r="J159">
        <f>CurrentPositions!J154</f>
        <v/>
      </c>
    </row>
    <row r="160">
      <c r="A160">
        <f>CurrentPositions!A155</f>
        <v/>
      </c>
      <c r="B160">
        <f>CurrentPositions!B155</f>
        <v/>
      </c>
      <c r="C160">
        <f>CurrentPositions!C155</f>
        <v/>
      </c>
      <c r="D160">
        <f>CurrentPositions!D155</f>
        <v/>
      </c>
      <c r="E160">
        <f>CurrentPositions!E155</f>
        <v/>
      </c>
      <c r="F160">
        <f>$B$4</f>
        <v/>
      </c>
      <c r="G160">
        <f>IF(B160="BUY",(F160-E160)/Settings!$B$3,(E160-F160)/Settings!$B$3)</f>
        <v/>
      </c>
      <c r="H160">
        <f>G160*D160*Settings!$B$4</f>
        <v/>
      </c>
      <c r="I160">
        <f>CurrentPositions!I155</f>
        <v/>
      </c>
      <c r="J160">
        <f>CurrentPositions!J155</f>
        <v/>
      </c>
    </row>
    <row r="161">
      <c r="A161">
        <f>CurrentPositions!A156</f>
        <v/>
      </c>
      <c r="B161">
        <f>CurrentPositions!B156</f>
        <v/>
      </c>
      <c r="C161">
        <f>CurrentPositions!C156</f>
        <v/>
      </c>
      <c r="D161">
        <f>CurrentPositions!D156</f>
        <v/>
      </c>
      <c r="E161">
        <f>CurrentPositions!E156</f>
        <v/>
      </c>
      <c r="F161">
        <f>$B$4</f>
        <v/>
      </c>
      <c r="G161">
        <f>IF(B161="BUY",(F161-E161)/Settings!$B$3,(E161-F161)/Settings!$B$3)</f>
        <v/>
      </c>
      <c r="H161">
        <f>G161*D161*Settings!$B$4</f>
        <v/>
      </c>
      <c r="I161">
        <f>CurrentPositions!I156</f>
        <v/>
      </c>
      <c r="J161">
        <f>CurrentPositions!J156</f>
        <v/>
      </c>
    </row>
    <row r="162">
      <c r="A162">
        <f>CurrentPositions!A157</f>
        <v/>
      </c>
      <c r="B162">
        <f>CurrentPositions!B157</f>
        <v/>
      </c>
      <c r="C162">
        <f>CurrentPositions!C157</f>
        <v/>
      </c>
      <c r="D162">
        <f>CurrentPositions!D157</f>
        <v/>
      </c>
      <c r="E162">
        <f>CurrentPositions!E157</f>
        <v/>
      </c>
      <c r="F162">
        <f>$B$4</f>
        <v/>
      </c>
      <c r="G162">
        <f>IF(B162="BUY",(F162-E162)/Settings!$B$3,(E162-F162)/Settings!$B$3)</f>
        <v/>
      </c>
      <c r="H162">
        <f>G162*D162*Settings!$B$4</f>
        <v/>
      </c>
      <c r="I162">
        <f>CurrentPositions!I157</f>
        <v/>
      </c>
      <c r="J162">
        <f>CurrentPositions!J157</f>
        <v/>
      </c>
    </row>
    <row r="163">
      <c r="A163">
        <f>CurrentPositions!A158</f>
        <v/>
      </c>
      <c r="B163">
        <f>CurrentPositions!B158</f>
        <v/>
      </c>
      <c r="C163">
        <f>CurrentPositions!C158</f>
        <v/>
      </c>
      <c r="D163">
        <f>CurrentPositions!D158</f>
        <v/>
      </c>
      <c r="E163">
        <f>CurrentPositions!E158</f>
        <v/>
      </c>
      <c r="F163">
        <f>$B$4</f>
        <v/>
      </c>
      <c r="G163">
        <f>IF(B163="BUY",(F163-E163)/Settings!$B$3,(E163-F163)/Settings!$B$3)</f>
        <v/>
      </c>
      <c r="H163">
        <f>G163*D163*Settings!$B$4</f>
        <v/>
      </c>
      <c r="I163">
        <f>CurrentPositions!I158</f>
        <v/>
      </c>
      <c r="J163">
        <f>CurrentPositions!J158</f>
        <v/>
      </c>
    </row>
    <row r="164">
      <c r="A164">
        <f>CurrentPositions!A159</f>
        <v/>
      </c>
      <c r="B164">
        <f>CurrentPositions!B159</f>
        <v/>
      </c>
      <c r="C164">
        <f>CurrentPositions!C159</f>
        <v/>
      </c>
      <c r="D164">
        <f>CurrentPositions!D159</f>
        <v/>
      </c>
      <c r="E164">
        <f>CurrentPositions!E159</f>
        <v/>
      </c>
      <c r="F164">
        <f>$B$4</f>
        <v/>
      </c>
      <c r="G164">
        <f>IF(B164="BUY",(F164-E164)/Settings!$B$3,(E164-F164)/Settings!$B$3)</f>
        <v/>
      </c>
      <c r="H164">
        <f>G164*D164*Settings!$B$4</f>
        <v/>
      </c>
      <c r="I164">
        <f>CurrentPositions!I159</f>
        <v/>
      </c>
      <c r="J164">
        <f>CurrentPositions!J159</f>
        <v/>
      </c>
    </row>
    <row r="165">
      <c r="A165">
        <f>CurrentPositions!A160</f>
        <v/>
      </c>
      <c r="B165">
        <f>CurrentPositions!B160</f>
        <v/>
      </c>
      <c r="C165">
        <f>CurrentPositions!C160</f>
        <v/>
      </c>
      <c r="D165">
        <f>CurrentPositions!D160</f>
        <v/>
      </c>
      <c r="E165">
        <f>CurrentPositions!E160</f>
        <v/>
      </c>
      <c r="F165">
        <f>$B$4</f>
        <v/>
      </c>
      <c r="G165">
        <f>IF(B165="BUY",(F165-E165)/Settings!$B$3,(E165-F165)/Settings!$B$3)</f>
        <v/>
      </c>
      <c r="H165">
        <f>G165*D165*Settings!$B$4</f>
        <v/>
      </c>
      <c r="I165">
        <f>CurrentPositions!I160</f>
        <v/>
      </c>
      <c r="J165">
        <f>CurrentPositions!J160</f>
        <v/>
      </c>
    </row>
    <row r="166">
      <c r="A166">
        <f>CurrentPositions!A161</f>
        <v/>
      </c>
      <c r="B166">
        <f>CurrentPositions!B161</f>
        <v/>
      </c>
      <c r="C166">
        <f>CurrentPositions!C161</f>
        <v/>
      </c>
      <c r="D166">
        <f>CurrentPositions!D161</f>
        <v/>
      </c>
      <c r="E166">
        <f>CurrentPositions!E161</f>
        <v/>
      </c>
      <c r="F166">
        <f>$B$4</f>
        <v/>
      </c>
      <c r="G166">
        <f>IF(B166="BUY",(F166-E166)/Settings!$B$3,(E166-F166)/Settings!$B$3)</f>
        <v/>
      </c>
      <c r="H166">
        <f>G166*D166*Settings!$B$4</f>
        <v/>
      </c>
      <c r="I166">
        <f>CurrentPositions!I161</f>
        <v/>
      </c>
      <c r="J166">
        <f>CurrentPositions!J161</f>
        <v/>
      </c>
    </row>
    <row r="167">
      <c r="A167">
        <f>CurrentPositions!A162</f>
        <v/>
      </c>
      <c r="B167">
        <f>CurrentPositions!B162</f>
        <v/>
      </c>
      <c r="C167">
        <f>CurrentPositions!C162</f>
        <v/>
      </c>
      <c r="D167">
        <f>CurrentPositions!D162</f>
        <v/>
      </c>
      <c r="E167">
        <f>CurrentPositions!E162</f>
        <v/>
      </c>
      <c r="F167">
        <f>$B$4</f>
        <v/>
      </c>
      <c r="G167">
        <f>IF(B167="BUY",(F167-E167)/Settings!$B$3,(E167-F167)/Settings!$B$3)</f>
        <v/>
      </c>
      <c r="H167">
        <f>G167*D167*Settings!$B$4</f>
        <v/>
      </c>
      <c r="I167">
        <f>CurrentPositions!I162</f>
        <v/>
      </c>
      <c r="J167">
        <f>CurrentPositions!J162</f>
        <v/>
      </c>
    </row>
    <row r="168">
      <c r="A168">
        <f>CurrentPositions!A163</f>
        <v/>
      </c>
      <c r="B168">
        <f>CurrentPositions!B163</f>
        <v/>
      </c>
      <c r="C168">
        <f>CurrentPositions!C163</f>
        <v/>
      </c>
      <c r="D168">
        <f>CurrentPositions!D163</f>
        <v/>
      </c>
      <c r="E168">
        <f>CurrentPositions!E163</f>
        <v/>
      </c>
      <c r="F168">
        <f>$B$4</f>
        <v/>
      </c>
      <c r="G168">
        <f>IF(B168="BUY",(F168-E168)/Settings!$B$3,(E168-F168)/Settings!$B$3)</f>
        <v/>
      </c>
      <c r="H168">
        <f>G168*D168*Settings!$B$4</f>
        <v/>
      </c>
      <c r="I168">
        <f>CurrentPositions!I163</f>
        <v/>
      </c>
      <c r="J168">
        <f>CurrentPositions!J163</f>
        <v/>
      </c>
    </row>
    <row r="169">
      <c r="A169">
        <f>CurrentPositions!A164</f>
        <v/>
      </c>
      <c r="B169">
        <f>CurrentPositions!B164</f>
        <v/>
      </c>
      <c r="C169">
        <f>CurrentPositions!C164</f>
        <v/>
      </c>
      <c r="D169">
        <f>CurrentPositions!D164</f>
        <v/>
      </c>
      <c r="E169">
        <f>CurrentPositions!E164</f>
        <v/>
      </c>
      <c r="F169">
        <f>$B$4</f>
        <v/>
      </c>
      <c r="G169">
        <f>IF(B169="BUY",(F169-E169)/Settings!$B$3,(E169-F169)/Settings!$B$3)</f>
        <v/>
      </c>
      <c r="H169">
        <f>G169*D169*Settings!$B$4</f>
        <v/>
      </c>
      <c r="I169">
        <f>CurrentPositions!I164</f>
        <v/>
      </c>
      <c r="J169">
        <f>CurrentPositions!J164</f>
        <v/>
      </c>
    </row>
    <row r="170">
      <c r="A170">
        <f>CurrentPositions!A165</f>
        <v/>
      </c>
      <c r="B170">
        <f>CurrentPositions!B165</f>
        <v/>
      </c>
      <c r="C170">
        <f>CurrentPositions!C165</f>
        <v/>
      </c>
      <c r="D170">
        <f>CurrentPositions!D165</f>
        <v/>
      </c>
      <c r="E170">
        <f>CurrentPositions!E165</f>
        <v/>
      </c>
      <c r="F170">
        <f>$B$4</f>
        <v/>
      </c>
      <c r="G170">
        <f>IF(B170="BUY",(F170-E170)/Settings!$B$3,(E170-F170)/Settings!$B$3)</f>
        <v/>
      </c>
      <c r="H170">
        <f>G170*D170*Settings!$B$4</f>
        <v/>
      </c>
      <c r="I170">
        <f>CurrentPositions!I165</f>
        <v/>
      </c>
      <c r="J170">
        <f>CurrentPositions!J165</f>
        <v/>
      </c>
    </row>
    <row r="171">
      <c r="A171">
        <f>CurrentPositions!A166</f>
        <v/>
      </c>
      <c r="B171">
        <f>CurrentPositions!B166</f>
        <v/>
      </c>
      <c r="C171">
        <f>CurrentPositions!C166</f>
        <v/>
      </c>
      <c r="D171">
        <f>CurrentPositions!D166</f>
        <v/>
      </c>
      <c r="E171">
        <f>CurrentPositions!E166</f>
        <v/>
      </c>
      <c r="F171">
        <f>$B$4</f>
        <v/>
      </c>
      <c r="G171">
        <f>IF(B171="BUY",(F171-E171)/Settings!$B$3,(E171-F171)/Settings!$B$3)</f>
        <v/>
      </c>
      <c r="H171">
        <f>G171*D171*Settings!$B$4</f>
        <v/>
      </c>
      <c r="I171">
        <f>CurrentPositions!I166</f>
        <v/>
      </c>
      <c r="J171">
        <f>CurrentPositions!J166</f>
        <v/>
      </c>
    </row>
    <row r="172">
      <c r="A172">
        <f>CurrentPositions!A167</f>
        <v/>
      </c>
      <c r="B172">
        <f>CurrentPositions!B167</f>
        <v/>
      </c>
      <c r="C172">
        <f>CurrentPositions!C167</f>
        <v/>
      </c>
      <c r="D172">
        <f>CurrentPositions!D167</f>
        <v/>
      </c>
      <c r="E172">
        <f>CurrentPositions!E167</f>
        <v/>
      </c>
      <c r="F172">
        <f>$B$4</f>
        <v/>
      </c>
      <c r="G172">
        <f>IF(B172="BUY",(F172-E172)/Settings!$B$3,(E172-F172)/Settings!$B$3)</f>
        <v/>
      </c>
      <c r="H172">
        <f>G172*D172*Settings!$B$4</f>
        <v/>
      </c>
      <c r="I172">
        <f>CurrentPositions!I167</f>
        <v/>
      </c>
      <c r="J172">
        <f>CurrentPositions!J167</f>
        <v/>
      </c>
    </row>
    <row r="173">
      <c r="A173">
        <f>CurrentPositions!A168</f>
        <v/>
      </c>
      <c r="B173">
        <f>CurrentPositions!B168</f>
        <v/>
      </c>
      <c r="C173">
        <f>CurrentPositions!C168</f>
        <v/>
      </c>
      <c r="D173">
        <f>CurrentPositions!D168</f>
        <v/>
      </c>
      <c r="E173">
        <f>CurrentPositions!E168</f>
        <v/>
      </c>
      <c r="F173">
        <f>$B$4</f>
        <v/>
      </c>
      <c r="G173">
        <f>IF(B173="BUY",(F173-E173)/Settings!$B$3,(E173-F173)/Settings!$B$3)</f>
        <v/>
      </c>
      <c r="H173">
        <f>G173*D173*Settings!$B$4</f>
        <v/>
      </c>
      <c r="I173">
        <f>CurrentPositions!I168</f>
        <v/>
      </c>
      <c r="J173">
        <f>CurrentPositions!J168</f>
        <v/>
      </c>
    </row>
    <row r="174">
      <c r="A174">
        <f>CurrentPositions!A169</f>
        <v/>
      </c>
      <c r="B174">
        <f>CurrentPositions!B169</f>
        <v/>
      </c>
      <c r="C174">
        <f>CurrentPositions!C169</f>
        <v/>
      </c>
      <c r="D174">
        <f>CurrentPositions!D169</f>
        <v/>
      </c>
      <c r="E174">
        <f>CurrentPositions!E169</f>
        <v/>
      </c>
      <c r="F174">
        <f>$B$4</f>
        <v/>
      </c>
      <c r="G174">
        <f>IF(B174="BUY",(F174-E174)/Settings!$B$3,(E174-F174)/Settings!$B$3)</f>
        <v/>
      </c>
      <c r="H174">
        <f>G174*D174*Settings!$B$4</f>
        <v/>
      </c>
      <c r="I174">
        <f>CurrentPositions!I169</f>
        <v/>
      </c>
      <c r="J174">
        <f>CurrentPositions!J169</f>
        <v/>
      </c>
    </row>
    <row r="175">
      <c r="A175">
        <f>CurrentPositions!A170</f>
        <v/>
      </c>
      <c r="B175">
        <f>CurrentPositions!B170</f>
        <v/>
      </c>
      <c r="C175">
        <f>CurrentPositions!C170</f>
        <v/>
      </c>
      <c r="D175">
        <f>CurrentPositions!D170</f>
        <v/>
      </c>
      <c r="E175">
        <f>CurrentPositions!E170</f>
        <v/>
      </c>
      <c r="F175">
        <f>$B$4</f>
        <v/>
      </c>
      <c r="G175">
        <f>IF(B175="BUY",(F175-E175)/Settings!$B$3,(E175-F175)/Settings!$B$3)</f>
        <v/>
      </c>
      <c r="H175">
        <f>G175*D175*Settings!$B$4</f>
        <v/>
      </c>
      <c r="I175">
        <f>CurrentPositions!I170</f>
        <v/>
      </c>
      <c r="J175">
        <f>CurrentPositions!J170</f>
        <v/>
      </c>
    </row>
    <row r="176">
      <c r="A176">
        <f>CurrentPositions!A171</f>
        <v/>
      </c>
      <c r="B176">
        <f>CurrentPositions!B171</f>
        <v/>
      </c>
      <c r="C176">
        <f>CurrentPositions!C171</f>
        <v/>
      </c>
      <c r="D176">
        <f>CurrentPositions!D171</f>
        <v/>
      </c>
      <c r="E176">
        <f>CurrentPositions!E171</f>
        <v/>
      </c>
      <c r="F176">
        <f>$B$4</f>
        <v/>
      </c>
      <c r="G176">
        <f>IF(B176="BUY",(F176-E176)/Settings!$B$3,(E176-F176)/Settings!$B$3)</f>
        <v/>
      </c>
      <c r="H176">
        <f>G176*D176*Settings!$B$4</f>
        <v/>
      </c>
      <c r="I176">
        <f>CurrentPositions!I171</f>
        <v/>
      </c>
      <c r="J176">
        <f>CurrentPositions!J171</f>
        <v/>
      </c>
    </row>
    <row r="177">
      <c r="A177">
        <f>CurrentPositions!A172</f>
        <v/>
      </c>
      <c r="B177">
        <f>CurrentPositions!B172</f>
        <v/>
      </c>
      <c r="C177">
        <f>CurrentPositions!C172</f>
        <v/>
      </c>
      <c r="D177">
        <f>CurrentPositions!D172</f>
        <v/>
      </c>
      <c r="E177">
        <f>CurrentPositions!E172</f>
        <v/>
      </c>
      <c r="F177">
        <f>$B$4</f>
        <v/>
      </c>
      <c r="G177">
        <f>IF(B177="BUY",(F177-E177)/Settings!$B$3,(E177-F177)/Settings!$B$3)</f>
        <v/>
      </c>
      <c r="H177">
        <f>G177*D177*Settings!$B$4</f>
        <v/>
      </c>
      <c r="I177">
        <f>CurrentPositions!I172</f>
        <v/>
      </c>
      <c r="J177">
        <f>CurrentPositions!J172</f>
        <v/>
      </c>
    </row>
    <row r="178">
      <c r="A178">
        <f>CurrentPositions!A173</f>
        <v/>
      </c>
      <c r="B178">
        <f>CurrentPositions!B173</f>
        <v/>
      </c>
      <c r="C178">
        <f>CurrentPositions!C173</f>
        <v/>
      </c>
      <c r="D178">
        <f>CurrentPositions!D173</f>
        <v/>
      </c>
      <c r="E178">
        <f>CurrentPositions!E173</f>
        <v/>
      </c>
      <c r="F178">
        <f>$B$4</f>
        <v/>
      </c>
      <c r="G178">
        <f>IF(B178="BUY",(F178-E178)/Settings!$B$3,(E178-F178)/Settings!$B$3)</f>
        <v/>
      </c>
      <c r="H178">
        <f>G178*D178*Settings!$B$4</f>
        <v/>
      </c>
      <c r="I178">
        <f>CurrentPositions!I173</f>
        <v/>
      </c>
      <c r="J178">
        <f>CurrentPositions!J173</f>
        <v/>
      </c>
    </row>
    <row r="179">
      <c r="A179">
        <f>CurrentPositions!A174</f>
        <v/>
      </c>
      <c r="B179">
        <f>CurrentPositions!B174</f>
        <v/>
      </c>
      <c r="C179">
        <f>CurrentPositions!C174</f>
        <v/>
      </c>
      <c r="D179">
        <f>CurrentPositions!D174</f>
        <v/>
      </c>
      <c r="E179">
        <f>CurrentPositions!E174</f>
        <v/>
      </c>
      <c r="F179">
        <f>$B$4</f>
        <v/>
      </c>
      <c r="G179">
        <f>IF(B179="BUY",(F179-E179)/Settings!$B$3,(E179-F179)/Settings!$B$3)</f>
        <v/>
      </c>
      <c r="H179">
        <f>G179*D179*Settings!$B$4</f>
        <v/>
      </c>
      <c r="I179">
        <f>CurrentPositions!I174</f>
        <v/>
      </c>
      <c r="J179">
        <f>CurrentPositions!J174</f>
        <v/>
      </c>
    </row>
    <row r="180">
      <c r="A180">
        <f>CurrentPositions!A175</f>
        <v/>
      </c>
      <c r="B180">
        <f>CurrentPositions!B175</f>
        <v/>
      </c>
      <c r="C180">
        <f>CurrentPositions!C175</f>
        <v/>
      </c>
      <c r="D180">
        <f>CurrentPositions!D175</f>
        <v/>
      </c>
      <c r="E180">
        <f>CurrentPositions!E175</f>
        <v/>
      </c>
      <c r="F180">
        <f>$B$4</f>
        <v/>
      </c>
      <c r="G180">
        <f>IF(B180="BUY",(F180-E180)/Settings!$B$3,(E180-F180)/Settings!$B$3)</f>
        <v/>
      </c>
      <c r="H180">
        <f>G180*D180*Settings!$B$4</f>
        <v/>
      </c>
      <c r="I180">
        <f>CurrentPositions!I175</f>
        <v/>
      </c>
      <c r="J180">
        <f>CurrentPositions!J175</f>
        <v/>
      </c>
    </row>
    <row r="181">
      <c r="A181">
        <f>CurrentPositions!A176</f>
        <v/>
      </c>
      <c r="B181">
        <f>CurrentPositions!B176</f>
        <v/>
      </c>
      <c r="C181">
        <f>CurrentPositions!C176</f>
        <v/>
      </c>
      <c r="D181">
        <f>CurrentPositions!D176</f>
        <v/>
      </c>
      <c r="E181">
        <f>CurrentPositions!E176</f>
        <v/>
      </c>
      <c r="F181">
        <f>$B$4</f>
        <v/>
      </c>
      <c r="G181">
        <f>IF(B181="BUY",(F181-E181)/Settings!$B$3,(E181-F181)/Settings!$B$3)</f>
        <v/>
      </c>
      <c r="H181">
        <f>G181*D181*Settings!$B$4</f>
        <v/>
      </c>
      <c r="I181">
        <f>CurrentPositions!I176</f>
        <v/>
      </c>
      <c r="J181">
        <f>CurrentPositions!J176</f>
        <v/>
      </c>
    </row>
    <row r="182">
      <c r="A182">
        <f>CurrentPositions!A177</f>
        <v/>
      </c>
      <c r="B182">
        <f>CurrentPositions!B177</f>
        <v/>
      </c>
      <c r="C182">
        <f>CurrentPositions!C177</f>
        <v/>
      </c>
      <c r="D182">
        <f>CurrentPositions!D177</f>
        <v/>
      </c>
      <c r="E182">
        <f>CurrentPositions!E177</f>
        <v/>
      </c>
      <c r="F182">
        <f>$B$4</f>
        <v/>
      </c>
      <c r="G182">
        <f>IF(B182="BUY",(F182-E182)/Settings!$B$3,(E182-F182)/Settings!$B$3)</f>
        <v/>
      </c>
      <c r="H182">
        <f>G182*D182*Settings!$B$4</f>
        <v/>
      </c>
      <c r="I182">
        <f>CurrentPositions!I177</f>
        <v/>
      </c>
      <c r="J182">
        <f>CurrentPositions!J177</f>
        <v/>
      </c>
    </row>
    <row r="183">
      <c r="A183">
        <f>CurrentPositions!A178</f>
        <v/>
      </c>
      <c r="B183">
        <f>CurrentPositions!B178</f>
        <v/>
      </c>
      <c r="C183">
        <f>CurrentPositions!C178</f>
        <v/>
      </c>
      <c r="D183">
        <f>CurrentPositions!D178</f>
        <v/>
      </c>
      <c r="E183">
        <f>CurrentPositions!E178</f>
        <v/>
      </c>
      <c r="F183">
        <f>$B$4</f>
        <v/>
      </c>
      <c r="G183">
        <f>IF(B183="BUY",(F183-E183)/Settings!$B$3,(E183-F183)/Settings!$B$3)</f>
        <v/>
      </c>
      <c r="H183">
        <f>G183*D183*Settings!$B$4</f>
        <v/>
      </c>
      <c r="I183">
        <f>CurrentPositions!I178</f>
        <v/>
      </c>
      <c r="J183">
        <f>CurrentPositions!J178</f>
        <v/>
      </c>
    </row>
    <row r="184">
      <c r="A184">
        <f>CurrentPositions!A179</f>
        <v/>
      </c>
      <c r="B184">
        <f>CurrentPositions!B179</f>
        <v/>
      </c>
      <c r="C184">
        <f>CurrentPositions!C179</f>
        <v/>
      </c>
      <c r="D184">
        <f>CurrentPositions!D179</f>
        <v/>
      </c>
      <c r="E184">
        <f>CurrentPositions!E179</f>
        <v/>
      </c>
      <c r="F184">
        <f>$B$4</f>
        <v/>
      </c>
      <c r="G184">
        <f>IF(B184="BUY",(F184-E184)/Settings!$B$3,(E184-F184)/Settings!$B$3)</f>
        <v/>
      </c>
      <c r="H184">
        <f>G184*D184*Settings!$B$4</f>
        <v/>
      </c>
      <c r="I184">
        <f>CurrentPositions!I179</f>
        <v/>
      </c>
      <c r="J184">
        <f>CurrentPositions!J179</f>
        <v/>
      </c>
    </row>
    <row r="185">
      <c r="A185">
        <f>CurrentPositions!A180</f>
        <v/>
      </c>
      <c r="B185">
        <f>CurrentPositions!B180</f>
        <v/>
      </c>
      <c r="C185">
        <f>CurrentPositions!C180</f>
        <v/>
      </c>
      <c r="D185">
        <f>CurrentPositions!D180</f>
        <v/>
      </c>
      <c r="E185">
        <f>CurrentPositions!E180</f>
        <v/>
      </c>
      <c r="F185">
        <f>$B$4</f>
        <v/>
      </c>
      <c r="G185">
        <f>IF(B185="BUY",(F185-E185)/Settings!$B$3,(E185-F185)/Settings!$B$3)</f>
        <v/>
      </c>
      <c r="H185">
        <f>G185*D185*Settings!$B$4</f>
        <v/>
      </c>
      <c r="I185">
        <f>CurrentPositions!I180</f>
        <v/>
      </c>
      <c r="J185">
        <f>CurrentPositions!J180</f>
        <v/>
      </c>
    </row>
    <row r="186">
      <c r="A186">
        <f>CurrentPositions!A181</f>
        <v/>
      </c>
      <c r="B186">
        <f>CurrentPositions!B181</f>
        <v/>
      </c>
      <c r="C186">
        <f>CurrentPositions!C181</f>
        <v/>
      </c>
      <c r="D186">
        <f>CurrentPositions!D181</f>
        <v/>
      </c>
      <c r="E186">
        <f>CurrentPositions!E181</f>
        <v/>
      </c>
      <c r="F186">
        <f>$B$4</f>
        <v/>
      </c>
      <c r="G186">
        <f>IF(B186="BUY",(F186-E186)/Settings!$B$3,(E186-F186)/Settings!$B$3)</f>
        <v/>
      </c>
      <c r="H186">
        <f>G186*D186*Settings!$B$4</f>
        <v/>
      </c>
      <c r="I186">
        <f>CurrentPositions!I181</f>
        <v/>
      </c>
      <c r="J186">
        <f>CurrentPositions!J181</f>
        <v/>
      </c>
    </row>
    <row r="187">
      <c r="A187">
        <f>CurrentPositions!A182</f>
        <v/>
      </c>
      <c r="B187">
        <f>CurrentPositions!B182</f>
        <v/>
      </c>
      <c r="C187">
        <f>CurrentPositions!C182</f>
        <v/>
      </c>
      <c r="D187">
        <f>CurrentPositions!D182</f>
        <v/>
      </c>
      <c r="E187">
        <f>CurrentPositions!E182</f>
        <v/>
      </c>
      <c r="F187">
        <f>$B$4</f>
        <v/>
      </c>
      <c r="G187">
        <f>IF(B187="BUY",(F187-E187)/Settings!$B$3,(E187-F187)/Settings!$B$3)</f>
        <v/>
      </c>
      <c r="H187">
        <f>G187*D187*Settings!$B$4</f>
        <v/>
      </c>
      <c r="I187">
        <f>CurrentPositions!I182</f>
        <v/>
      </c>
      <c r="J187">
        <f>CurrentPositions!J182</f>
        <v/>
      </c>
    </row>
    <row r="188">
      <c r="A188">
        <f>CurrentPositions!A183</f>
        <v/>
      </c>
      <c r="B188">
        <f>CurrentPositions!B183</f>
        <v/>
      </c>
      <c r="C188">
        <f>CurrentPositions!C183</f>
        <v/>
      </c>
      <c r="D188">
        <f>CurrentPositions!D183</f>
        <v/>
      </c>
      <c r="E188">
        <f>CurrentPositions!E183</f>
        <v/>
      </c>
      <c r="F188">
        <f>$B$4</f>
        <v/>
      </c>
      <c r="G188">
        <f>IF(B188="BUY",(F188-E188)/Settings!$B$3,(E188-F188)/Settings!$B$3)</f>
        <v/>
      </c>
      <c r="H188">
        <f>G188*D188*Settings!$B$4</f>
        <v/>
      </c>
      <c r="I188">
        <f>CurrentPositions!I183</f>
        <v/>
      </c>
      <c r="J188">
        <f>CurrentPositions!J183</f>
        <v/>
      </c>
    </row>
    <row r="189">
      <c r="A189">
        <f>CurrentPositions!A184</f>
        <v/>
      </c>
      <c r="B189">
        <f>CurrentPositions!B184</f>
        <v/>
      </c>
      <c r="C189">
        <f>CurrentPositions!C184</f>
        <v/>
      </c>
      <c r="D189">
        <f>CurrentPositions!D184</f>
        <v/>
      </c>
      <c r="E189">
        <f>CurrentPositions!E184</f>
        <v/>
      </c>
      <c r="F189">
        <f>$B$4</f>
        <v/>
      </c>
      <c r="G189">
        <f>IF(B189="BUY",(F189-E189)/Settings!$B$3,(E189-F189)/Settings!$B$3)</f>
        <v/>
      </c>
      <c r="H189">
        <f>G189*D189*Settings!$B$4</f>
        <v/>
      </c>
      <c r="I189">
        <f>CurrentPositions!I184</f>
        <v/>
      </c>
      <c r="J189">
        <f>CurrentPositions!J184</f>
        <v/>
      </c>
    </row>
    <row r="190">
      <c r="A190">
        <f>CurrentPositions!A185</f>
        <v/>
      </c>
      <c r="B190">
        <f>CurrentPositions!B185</f>
        <v/>
      </c>
      <c r="C190">
        <f>CurrentPositions!C185</f>
        <v/>
      </c>
      <c r="D190">
        <f>CurrentPositions!D185</f>
        <v/>
      </c>
      <c r="E190">
        <f>CurrentPositions!E185</f>
        <v/>
      </c>
      <c r="F190">
        <f>$B$4</f>
        <v/>
      </c>
      <c r="G190">
        <f>IF(B190="BUY",(F190-E190)/Settings!$B$3,(E190-F190)/Settings!$B$3)</f>
        <v/>
      </c>
      <c r="H190">
        <f>G190*D190*Settings!$B$4</f>
        <v/>
      </c>
      <c r="I190">
        <f>CurrentPositions!I185</f>
        <v/>
      </c>
      <c r="J190">
        <f>CurrentPositions!J185</f>
        <v/>
      </c>
    </row>
    <row r="191">
      <c r="A191">
        <f>CurrentPositions!A186</f>
        <v/>
      </c>
      <c r="B191">
        <f>CurrentPositions!B186</f>
        <v/>
      </c>
      <c r="C191">
        <f>CurrentPositions!C186</f>
        <v/>
      </c>
      <c r="D191">
        <f>CurrentPositions!D186</f>
        <v/>
      </c>
      <c r="E191">
        <f>CurrentPositions!E186</f>
        <v/>
      </c>
      <c r="F191">
        <f>$B$4</f>
        <v/>
      </c>
      <c r="G191">
        <f>IF(B191="BUY",(F191-E191)/Settings!$B$3,(E191-F191)/Settings!$B$3)</f>
        <v/>
      </c>
      <c r="H191">
        <f>G191*D191*Settings!$B$4</f>
        <v/>
      </c>
      <c r="I191">
        <f>CurrentPositions!I186</f>
        <v/>
      </c>
      <c r="J191">
        <f>CurrentPositions!J186</f>
        <v/>
      </c>
    </row>
    <row r="192">
      <c r="A192">
        <f>CurrentPositions!A187</f>
        <v/>
      </c>
      <c r="B192">
        <f>CurrentPositions!B187</f>
        <v/>
      </c>
      <c r="C192">
        <f>CurrentPositions!C187</f>
        <v/>
      </c>
      <c r="D192">
        <f>CurrentPositions!D187</f>
        <v/>
      </c>
      <c r="E192">
        <f>CurrentPositions!E187</f>
        <v/>
      </c>
      <c r="F192">
        <f>$B$4</f>
        <v/>
      </c>
      <c r="G192">
        <f>IF(B192="BUY",(F192-E192)/Settings!$B$3,(E192-F192)/Settings!$B$3)</f>
        <v/>
      </c>
      <c r="H192">
        <f>G192*D192*Settings!$B$4</f>
        <v/>
      </c>
      <c r="I192">
        <f>CurrentPositions!I187</f>
        <v/>
      </c>
      <c r="J192">
        <f>CurrentPositions!J187</f>
        <v/>
      </c>
    </row>
    <row r="193">
      <c r="A193">
        <f>CurrentPositions!A188</f>
        <v/>
      </c>
      <c r="B193">
        <f>CurrentPositions!B188</f>
        <v/>
      </c>
      <c r="C193">
        <f>CurrentPositions!C188</f>
        <v/>
      </c>
      <c r="D193">
        <f>CurrentPositions!D188</f>
        <v/>
      </c>
      <c r="E193">
        <f>CurrentPositions!E188</f>
        <v/>
      </c>
      <c r="F193">
        <f>$B$4</f>
        <v/>
      </c>
      <c r="G193">
        <f>IF(B193="BUY",(F193-E193)/Settings!$B$3,(E193-F193)/Settings!$B$3)</f>
        <v/>
      </c>
      <c r="H193">
        <f>G193*D193*Settings!$B$4</f>
        <v/>
      </c>
      <c r="I193">
        <f>CurrentPositions!I188</f>
        <v/>
      </c>
      <c r="J193">
        <f>CurrentPositions!J188</f>
        <v/>
      </c>
    </row>
    <row r="194">
      <c r="A194">
        <f>CurrentPositions!A189</f>
        <v/>
      </c>
      <c r="B194">
        <f>CurrentPositions!B189</f>
        <v/>
      </c>
      <c r="C194">
        <f>CurrentPositions!C189</f>
        <v/>
      </c>
      <c r="D194">
        <f>CurrentPositions!D189</f>
        <v/>
      </c>
      <c r="E194">
        <f>CurrentPositions!E189</f>
        <v/>
      </c>
      <c r="F194">
        <f>$B$4</f>
        <v/>
      </c>
      <c r="G194">
        <f>IF(B194="BUY",(F194-E194)/Settings!$B$3,(E194-F194)/Settings!$B$3)</f>
        <v/>
      </c>
      <c r="H194">
        <f>G194*D194*Settings!$B$4</f>
        <v/>
      </c>
      <c r="I194">
        <f>CurrentPositions!I189</f>
        <v/>
      </c>
      <c r="J194">
        <f>CurrentPositions!J189</f>
        <v/>
      </c>
    </row>
    <row r="195">
      <c r="A195">
        <f>CurrentPositions!A190</f>
        <v/>
      </c>
      <c r="B195">
        <f>CurrentPositions!B190</f>
        <v/>
      </c>
      <c r="C195">
        <f>CurrentPositions!C190</f>
        <v/>
      </c>
      <c r="D195">
        <f>CurrentPositions!D190</f>
        <v/>
      </c>
      <c r="E195">
        <f>CurrentPositions!E190</f>
        <v/>
      </c>
      <c r="F195">
        <f>$B$4</f>
        <v/>
      </c>
      <c r="G195">
        <f>IF(B195="BUY",(F195-E195)/Settings!$B$3,(E195-F195)/Settings!$B$3)</f>
        <v/>
      </c>
      <c r="H195">
        <f>G195*D195*Settings!$B$4</f>
        <v/>
      </c>
      <c r="I195">
        <f>CurrentPositions!I190</f>
        <v/>
      </c>
      <c r="J195">
        <f>CurrentPositions!J190</f>
        <v/>
      </c>
    </row>
    <row r="196">
      <c r="A196">
        <f>CurrentPositions!A191</f>
        <v/>
      </c>
      <c r="B196">
        <f>CurrentPositions!B191</f>
        <v/>
      </c>
      <c r="C196">
        <f>CurrentPositions!C191</f>
        <v/>
      </c>
      <c r="D196">
        <f>CurrentPositions!D191</f>
        <v/>
      </c>
      <c r="E196">
        <f>CurrentPositions!E191</f>
        <v/>
      </c>
      <c r="F196">
        <f>$B$4</f>
        <v/>
      </c>
      <c r="G196">
        <f>IF(B196="BUY",(F196-E196)/Settings!$B$3,(E196-F196)/Settings!$B$3)</f>
        <v/>
      </c>
      <c r="H196">
        <f>G196*D196*Settings!$B$4</f>
        <v/>
      </c>
      <c r="I196">
        <f>CurrentPositions!I191</f>
        <v/>
      </c>
      <c r="J196">
        <f>CurrentPositions!J191</f>
        <v/>
      </c>
    </row>
    <row r="197">
      <c r="A197">
        <f>CurrentPositions!A192</f>
        <v/>
      </c>
      <c r="B197">
        <f>CurrentPositions!B192</f>
        <v/>
      </c>
      <c r="C197">
        <f>CurrentPositions!C192</f>
        <v/>
      </c>
      <c r="D197">
        <f>CurrentPositions!D192</f>
        <v/>
      </c>
      <c r="E197">
        <f>CurrentPositions!E192</f>
        <v/>
      </c>
      <c r="F197">
        <f>$B$4</f>
        <v/>
      </c>
      <c r="G197">
        <f>IF(B197="BUY",(F197-E197)/Settings!$B$3,(E197-F197)/Settings!$B$3)</f>
        <v/>
      </c>
      <c r="H197">
        <f>G197*D197*Settings!$B$4</f>
        <v/>
      </c>
      <c r="I197">
        <f>CurrentPositions!I192</f>
        <v/>
      </c>
      <c r="J197">
        <f>CurrentPositions!J192</f>
        <v/>
      </c>
    </row>
    <row r="198">
      <c r="A198">
        <f>CurrentPositions!A193</f>
        <v/>
      </c>
      <c r="B198">
        <f>CurrentPositions!B193</f>
        <v/>
      </c>
      <c r="C198">
        <f>CurrentPositions!C193</f>
        <v/>
      </c>
      <c r="D198">
        <f>CurrentPositions!D193</f>
        <v/>
      </c>
      <c r="E198">
        <f>CurrentPositions!E193</f>
        <v/>
      </c>
      <c r="F198">
        <f>$B$4</f>
        <v/>
      </c>
      <c r="G198">
        <f>IF(B198="BUY",(F198-E198)/Settings!$B$3,(E198-F198)/Settings!$B$3)</f>
        <v/>
      </c>
      <c r="H198">
        <f>G198*D198*Settings!$B$4</f>
        <v/>
      </c>
      <c r="I198">
        <f>CurrentPositions!I193</f>
        <v/>
      </c>
      <c r="J198">
        <f>CurrentPositions!J193</f>
        <v/>
      </c>
    </row>
    <row r="199">
      <c r="A199">
        <f>CurrentPositions!A194</f>
        <v/>
      </c>
      <c r="B199">
        <f>CurrentPositions!B194</f>
        <v/>
      </c>
      <c r="C199">
        <f>CurrentPositions!C194</f>
        <v/>
      </c>
      <c r="D199">
        <f>CurrentPositions!D194</f>
        <v/>
      </c>
      <c r="E199">
        <f>CurrentPositions!E194</f>
        <v/>
      </c>
      <c r="F199">
        <f>$B$4</f>
        <v/>
      </c>
      <c r="G199">
        <f>IF(B199="BUY",(F199-E199)/Settings!$B$3,(E199-F199)/Settings!$B$3)</f>
        <v/>
      </c>
      <c r="H199">
        <f>G199*D199*Settings!$B$4</f>
        <v/>
      </c>
      <c r="I199">
        <f>CurrentPositions!I194</f>
        <v/>
      </c>
      <c r="J199">
        <f>CurrentPositions!J194</f>
        <v/>
      </c>
    </row>
    <row r="200">
      <c r="A200">
        <f>CurrentPositions!A195</f>
        <v/>
      </c>
      <c r="B200">
        <f>CurrentPositions!B195</f>
        <v/>
      </c>
      <c r="C200">
        <f>CurrentPositions!C195</f>
        <v/>
      </c>
      <c r="D200">
        <f>CurrentPositions!D195</f>
        <v/>
      </c>
      <c r="E200">
        <f>CurrentPositions!E195</f>
        <v/>
      </c>
      <c r="F200">
        <f>$B$4</f>
        <v/>
      </c>
      <c r="G200">
        <f>IF(B200="BUY",(F200-E200)/Settings!$B$3,(E200-F200)/Settings!$B$3)</f>
        <v/>
      </c>
      <c r="H200">
        <f>G200*D200*Settings!$B$4</f>
        <v/>
      </c>
      <c r="I200">
        <f>CurrentPositions!I195</f>
        <v/>
      </c>
      <c r="J200">
        <f>CurrentPositions!J195</f>
        <v/>
      </c>
    </row>
    <row r="201">
      <c r="A201">
        <f>CurrentPositions!A196</f>
        <v/>
      </c>
      <c r="B201">
        <f>CurrentPositions!B196</f>
        <v/>
      </c>
      <c r="C201">
        <f>CurrentPositions!C196</f>
        <v/>
      </c>
      <c r="D201">
        <f>CurrentPositions!D196</f>
        <v/>
      </c>
      <c r="E201">
        <f>CurrentPositions!E196</f>
        <v/>
      </c>
      <c r="F201">
        <f>$B$4</f>
        <v/>
      </c>
      <c r="G201">
        <f>IF(B201="BUY",(F201-E201)/Settings!$B$3,(E201-F201)/Settings!$B$3)</f>
        <v/>
      </c>
      <c r="H201">
        <f>G201*D201*Settings!$B$4</f>
        <v/>
      </c>
      <c r="I201">
        <f>CurrentPositions!I196</f>
        <v/>
      </c>
      <c r="J201">
        <f>CurrentPositions!J196</f>
        <v/>
      </c>
    </row>
    <row r="202">
      <c r="A202">
        <f>CurrentPositions!A197</f>
        <v/>
      </c>
      <c r="B202">
        <f>CurrentPositions!B197</f>
        <v/>
      </c>
      <c r="C202">
        <f>CurrentPositions!C197</f>
        <v/>
      </c>
      <c r="D202">
        <f>CurrentPositions!D197</f>
        <v/>
      </c>
      <c r="E202">
        <f>CurrentPositions!E197</f>
        <v/>
      </c>
      <c r="F202">
        <f>$B$4</f>
        <v/>
      </c>
      <c r="G202">
        <f>IF(B202="BUY",(F202-E202)/Settings!$B$3,(E202-F202)/Settings!$B$3)</f>
        <v/>
      </c>
      <c r="H202">
        <f>G202*D202*Settings!$B$4</f>
        <v/>
      </c>
      <c r="I202">
        <f>CurrentPositions!I197</f>
        <v/>
      </c>
      <c r="J202">
        <f>CurrentPositions!J197</f>
        <v/>
      </c>
    </row>
    <row r="203">
      <c r="A203">
        <f>CurrentPositions!A198</f>
        <v/>
      </c>
      <c r="B203">
        <f>CurrentPositions!B198</f>
        <v/>
      </c>
      <c r="C203">
        <f>CurrentPositions!C198</f>
        <v/>
      </c>
      <c r="D203">
        <f>CurrentPositions!D198</f>
        <v/>
      </c>
      <c r="E203">
        <f>CurrentPositions!E198</f>
        <v/>
      </c>
      <c r="F203">
        <f>$B$4</f>
        <v/>
      </c>
      <c r="G203">
        <f>IF(B203="BUY",(F203-E203)/Settings!$B$3,(E203-F203)/Settings!$B$3)</f>
        <v/>
      </c>
      <c r="H203">
        <f>G203*D203*Settings!$B$4</f>
        <v/>
      </c>
      <c r="I203">
        <f>CurrentPositions!I198</f>
        <v/>
      </c>
      <c r="J203">
        <f>CurrentPositions!J198</f>
        <v/>
      </c>
    </row>
    <row r="204">
      <c r="A204">
        <f>CurrentPositions!A199</f>
        <v/>
      </c>
      <c r="B204">
        <f>CurrentPositions!B199</f>
        <v/>
      </c>
      <c r="C204">
        <f>CurrentPositions!C199</f>
        <v/>
      </c>
      <c r="D204">
        <f>CurrentPositions!D199</f>
        <v/>
      </c>
      <c r="E204">
        <f>CurrentPositions!E199</f>
        <v/>
      </c>
      <c r="F204">
        <f>$B$4</f>
        <v/>
      </c>
      <c r="G204">
        <f>IF(B204="BUY",(F204-E204)/Settings!$B$3,(E204-F204)/Settings!$B$3)</f>
        <v/>
      </c>
      <c r="H204">
        <f>G204*D204*Settings!$B$4</f>
        <v/>
      </c>
      <c r="I204">
        <f>CurrentPositions!I199</f>
        <v/>
      </c>
      <c r="J204">
        <f>CurrentPositions!J199</f>
        <v/>
      </c>
    </row>
    <row r="205">
      <c r="A205">
        <f>CurrentPositions!A200</f>
        <v/>
      </c>
      <c r="B205">
        <f>CurrentPositions!B200</f>
        <v/>
      </c>
      <c r="C205">
        <f>CurrentPositions!C200</f>
        <v/>
      </c>
      <c r="D205">
        <f>CurrentPositions!D200</f>
        <v/>
      </c>
      <c r="E205">
        <f>CurrentPositions!E200</f>
        <v/>
      </c>
      <c r="F205">
        <f>$B$4</f>
        <v/>
      </c>
      <c r="G205">
        <f>IF(B205="BUY",(F205-E205)/Settings!$B$3,(E205-F205)/Settings!$B$3)</f>
        <v/>
      </c>
      <c r="H205">
        <f>G205*D205*Settings!$B$4</f>
        <v/>
      </c>
      <c r="I205">
        <f>CurrentPositions!I200</f>
        <v/>
      </c>
      <c r="J205">
        <f>CurrentPositions!J200</f>
        <v/>
      </c>
    </row>
    <row r="206">
      <c r="A206">
        <f>CurrentPositions!A201</f>
        <v/>
      </c>
      <c r="B206">
        <f>CurrentPositions!B201</f>
        <v/>
      </c>
      <c r="C206">
        <f>CurrentPositions!C201</f>
        <v/>
      </c>
      <c r="D206">
        <f>CurrentPositions!D201</f>
        <v/>
      </c>
      <c r="E206">
        <f>CurrentPositions!E201</f>
        <v/>
      </c>
      <c r="F206">
        <f>$B$4</f>
        <v/>
      </c>
      <c r="G206">
        <f>IF(B206="BUY",(F206-E206)/Settings!$B$3,(E206-F206)/Settings!$B$3)</f>
        <v/>
      </c>
      <c r="H206">
        <f>G206*D206*Settings!$B$4</f>
        <v/>
      </c>
      <c r="I206">
        <f>CurrentPositions!I201</f>
        <v/>
      </c>
      <c r="J206">
        <f>CurrentPositions!J201</f>
        <v/>
      </c>
    </row>
    <row r="220">
      <c r="A220" t="inlineStr">
        <is>
          <t>TailType</t>
        </is>
      </c>
      <c r="B220" t="inlineStr">
        <is>
          <t>SELL</t>
        </is>
      </c>
    </row>
    <row r="221">
      <c r="A221" t="inlineStr">
        <is>
          <t>TailTicket</t>
        </is>
      </c>
      <c r="B221">
        <f>IFERROR(INDEX(A7:A206,MATCH(MINIFS(H7:H206,B7:B206,"SELL",H7:H206,"&lt;0"),H7:H206,0)),"N/A")</f>
        <v/>
      </c>
    </row>
    <row r="222">
      <c r="A222" t="inlineStr">
        <is>
          <t>TailLot</t>
        </is>
      </c>
      <c r="B222">
        <f>IF(B221="N/A",0,XLOOKUP(B221,A7:A206,D7:D206,0))</f>
        <v/>
      </c>
    </row>
    <row r="223">
      <c r="A223" t="inlineStr">
        <is>
          <t>TailLossMoney</t>
        </is>
      </c>
      <c r="B223">
        <f>IF(B221="N/A",0,ABS(XLOOKUP(B221,A7:A206,H7:H206,0)))</f>
        <v/>
      </c>
    </row>
    <row r="224">
      <c r="A224" t="inlineStr">
        <is>
          <t>TailLossPerLot</t>
        </is>
      </c>
      <c r="B224">
        <f>IF(B222=0,0,ABS(B223/B222))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  <c r="D1" t="inlineStr">
        <is>
          <t>AverageBuyPrice</t>
        </is>
      </c>
      <c r="E1">
        <f>IFERROR(SUMPRODUCT((B7:B206="BUY")*E7:E206*D7:D206)/SUMIFS(D7:D206,B7:B206,"BUY"),0)</f>
        <v/>
      </c>
    </row>
    <row r="2">
      <c r="A2" t="inlineStr">
        <is>
          <t>CurrentPrice</t>
        </is>
      </c>
      <c r="B2">
        <f>CurrentPositions!F2</f>
        <v/>
      </c>
      <c r="D2" t="inlineStr">
        <is>
          <t>AverageSellPrice</t>
        </is>
      </c>
      <c r="E2">
        <f>IFERROR(SUMPRODUCT((B7:B206="SELL")*E7:E206*D7:D206)/SUMIFS(D7:D206,B7:B206,"SELL"),0)</f>
        <v/>
      </c>
    </row>
    <row r="3">
      <c r="A3" t="inlineStr">
        <is>
          <t>MoveDownPoints</t>
        </is>
      </c>
      <c r="B3" t="n">
        <v>100</v>
      </c>
      <c r="D3" t="inlineStr">
        <is>
          <t>Center</t>
        </is>
      </c>
      <c r="E3">
        <f>(E1+E2)/2</f>
        <v/>
      </c>
    </row>
    <row r="4">
      <c r="A4" t="inlineStr">
        <is>
          <t>ScenarioPrice</t>
        </is>
      </c>
      <c r="B4">
        <f>B2-B3*Settings!$B$3</f>
        <v/>
      </c>
      <c r="D4" t="inlineStr">
        <is>
          <t>UpperLevel1</t>
        </is>
      </c>
      <c r="E4">
        <f>E3+1*Settings!$B$5*Settings!$B$3</f>
        <v/>
      </c>
    </row>
    <row r="5">
      <c r="D5" t="inlineStr">
        <is>
          <t>UpperLevel2</t>
        </is>
      </c>
      <c r="E5">
        <f>E3+2*Settings!$B$5*Settings!$B$3</f>
        <v/>
      </c>
    </row>
    <row r="6">
      <c r="A6" s="1" t="inlineStr">
        <is>
          <t>Ticket</t>
        </is>
      </c>
      <c r="B6" s="1" t="inlineStr">
        <is>
          <t>Type</t>
        </is>
      </c>
      <c r="C6" s="1" t="inlineStr">
        <is>
          <t>Role</t>
        </is>
      </c>
      <c r="D6" s="1" t="inlineStr">
        <is>
          <t>UpperLevel3</t>
        </is>
      </c>
      <c r="E6" s="1">
        <f>E3+3*Settings!$B$5*Settings!$B$3</f>
        <v/>
      </c>
      <c r="F6" s="1" t="inlineStr">
        <is>
          <t>ScenarioPrice</t>
        </is>
      </c>
      <c r="G6" s="1" t="inlineStr">
        <is>
          <t>ScenarioPointsPnL</t>
        </is>
      </c>
      <c r="H6" s="1" t="inlineStr">
        <is>
          <t>ScenarioMoneyPnL</t>
        </is>
      </c>
      <c r="I6" s="1" t="inlineStr">
        <is>
          <t>IsTail</t>
        </is>
      </c>
      <c r="J6" s="1" t="inlineStr">
        <is>
          <t>SectionID</t>
        </is>
      </c>
    </row>
    <row r="7">
      <c r="A7">
        <f>CurrentPositions!A2</f>
        <v/>
      </c>
      <c r="B7">
        <f>CurrentPositions!B2</f>
        <v/>
      </c>
      <c r="C7">
        <f>CurrentPositions!C2</f>
        <v/>
      </c>
      <c r="D7" t="inlineStr">
        <is>
          <t>UpperLevel4</t>
        </is>
      </c>
      <c r="E7">
        <f>E3+4*Settings!$B$5*Settings!$B$3</f>
        <v/>
      </c>
      <c r="F7">
        <f>$B$4</f>
        <v/>
      </c>
      <c r="G7">
        <f>IF(B7="BUY",(F7-E7)/Settings!$B$3,(E7-F7)/Settings!$B$3)</f>
        <v/>
      </c>
      <c r="H7">
        <f>G7*D7*Settings!$B$4</f>
        <v/>
      </c>
      <c r="I7">
        <f>CurrentPositions!I2</f>
        <v/>
      </c>
      <c r="J7">
        <f>CurrentPositions!J2</f>
        <v/>
      </c>
    </row>
    <row r="8">
      <c r="A8">
        <f>CurrentPositions!A3</f>
        <v/>
      </c>
      <c r="B8">
        <f>CurrentPositions!B3</f>
        <v/>
      </c>
      <c r="C8">
        <f>CurrentPositions!C3</f>
        <v/>
      </c>
      <c r="D8">
        <f>CurrentPositions!D3</f>
        <v/>
      </c>
      <c r="E8">
        <f>CurrentPositions!E3</f>
        <v/>
      </c>
      <c r="F8">
        <f>$B$4</f>
        <v/>
      </c>
      <c r="G8">
        <f>IF(B8="BUY",(F8-E8)/Settings!$B$3,(E8-F8)/Settings!$B$3)</f>
        <v/>
      </c>
      <c r="H8">
        <f>G8*D8*Settings!$B$4</f>
        <v/>
      </c>
      <c r="I8">
        <f>CurrentPositions!I3</f>
        <v/>
      </c>
      <c r="J8">
        <f>CurrentPositions!J3</f>
        <v/>
      </c>
    </row>
    <row r="9">
      <c r="A9">
        <f>CurrentPositions!A4</f>
        <v/>
      </c>
      <c r="B9">
        <f>CurrentPositions!B4</f>
        <v/>
      </c>
      <c r="C9">
        <f>CurrentPositions!C4</f>
        <v/>
      </c>
      <c r="D9" t="inlineStr">
        <is>
          <t>LowerLevel1</t>
        </is>
      </c>
      <c r="E9">
        <f>E3-1*Settings!$B$5*Settings!$B$3</f>
        <v/>
      </c>
      <c r="F9">
        <f>$B$4</f>
        <v/>
      </c>
      <c r="G9">
        <f>IF(B9="BUY",(F9-E9)/Settings!$B$3,(E9-F9)/Settings!$B$3)</f>
        <v/>
      </c>
      <c r="H9">
        <f>G9*D9*Settings!$B$4</f>
        <v/>
      </c>
      <c r="I9">
        <f>CurrentPositions!I4</f>
        <v/>
      </c>
      <c r="J9">
        <f>CurrentPositions!J4</f>
        <v/>
      </c>
    </row>
    <row r="10">
      <c r="A10">
        <f>CurrentPositions!A5</f>
        <v/>
      </c>
      <c r="B10">
        <f>CurrentPositions!B5</f>
        <v/>
      </c>
      <c r="C10">
        <f>CurrentPositions!C5</f>
        <v/>
      </c>
      <c r="D10" t="inlineStr">
        <is>
          <t>LowerLevel2</t>
        </is>
      </c>
      <c r="E10">
        <f>E3-2*Settings!$B$5*Settings!$B$3</f>
        <v/>
      </c>
      <c r="F10">
        <f>$B$4</f>
        <v/>
      </c>
      <c r="G10">
        <f>IF(B10="BUY",(F10-E10)/Settings!$B$3,(E10-F10)/Settings!$B$3)</f>
        <v/>
      </c>
      <c r="H10">
        <f>G10*D10*Settings!$B$4</f>
        <v/>
      </c>
      <c r="I10">
        <f>CurrentPositions!I5</f>
        <v/>
      </c>
      <c r="J10">
        <f>CurrentPositions!J5</f>
        <v/>
      </c>
    </row>
    <row r="11">
      <c r="A11">
        <f>CurrentPositions!A6</f>
        <v/>
      </c>
      <c r="B11">
        <f>CurrentPositions!B6</f>
        <v/>
      </c>
      <c r="C11">
        <f>CurrentPositions!C6</f>
        <v/>
      </c>
      <c r="D11" t="inlineStr">
        <is>
          <t>LowerLevel3</t>
        </is>
      </c>
      <c r="E11">
        <f>E3-3*Settings!$B$5*Settings!$B$3</f>
        <v/>
      </c>
      <c r="F11">
        <f>$B$4</f>
        <v/>
      </c>
      <c r="G11">
        <f>IF(B11="BUY",(F11-E11)/Settings!$B$3,(E11-F11)/Settings!$B$3)</f>
        <v/>
      </c>
      <c r="H11">
        <f>G11*D11*Settings!$B$4</f>
        <v/>
      </c>
      <c r="I11">
        <f>CurrentPositions!I6</f>
        <v/>
      </c>
      <c r="J11">
        <f>CurrentPositions!J6</f>
        <v/>
      </c>
    </row>
    <row r="12">
      <c r="A12">
        <f>CurrentPositions!A7</f>
        <v/>
      </c>
      <c r="B12">
        <f>CurrentPositions!B7</f>
        <v/>
      </c>
      <c r="C12">
        <f>CurrentPositions!C7</f>
        <v/>
      </c>
      <c r="D12" t="inlineStr">
        <is>
          <t>LowerLevel4</t>
        </is>
      </c>
      <c r="E12">
        <f>E3-4*Settings!$B$5*Settings!$B$3</f>
        <v/>
      </c>
      <c r="F12">
        <f>$B$4</f>
        <v/>
      </c>
      <c r="G12">
        <f>IF(B12="BUY",(F12-E12)/Settings!$B$3,(E12-F12)/Settings!$B$3)</f>
        <v/>
      </c>
      <c r="H12">
        <f>G12*D12*Settings!$B$4</f>
        <v/>
      </c>
      <c r="I12">
        <f>CurrentPositions!I7</f>
        <v/>
      </c>
      <c r="J12">
        <f>CurrentPositions!J7</f>
        <v/>
      </c>
    </row>
    <row r="13">
      <c r="A13">
        <f>CurrentPositions!A8</f>
        <v/>
      </c>
      <c r="B13">
        <f>CurrentPositions!B8</f>
        <v/>
      </c>
      <c r="C13">
        <f>CurrentPositions!C8</f>
        <v/>
      </c>
      <c r="D13">
        <f>CurrentPositions!D8</f>
        <v/>
      </c>
      <c r="E13">
        <f>CurrentPositions!E8</f>
        <v/>
      </c>
      <c r="F13">
        <f>$B$4</f>
        <v/>
      </c>
      <c r="G13">
        <f>IF(B13="BUY",(F13-E13)/Settings!$B$3,(E13-F13)/Settings!$B$3)</f>
        <v/>
      </c>
      <c r="H13">
        <f>G13*D13*Settings!$B$4</f>
        <v/>
      </c>
      <c r="I13">
        <f>CurrentPositions!I8</f>
        <v/>
      </c>
      <c r="J13">
        <f>CurrentPositions!J8</f>
        <v/>
      </c>
    </row>
    <row r="14">
      <c r="A14">
        <f>CurrentPositions!A9</f>
        <v/>
      </c>
      <c r="B14">
        <f>CurrentPositions!B9</f>
        <v/>
      </c>
      <c r="C14">
        <f>CurrentPositions!C9</f>
        <v/>
      </c>
      <c r="D14">
        <f>CurrentPositions!D9</f>
        <v/>
      </c>
      <c r="E14">
        <f>CurrentPositions!E9</f>
        <v/>
      </c>
      <c r="F14">
        <f>$B$4</f>
        <v/>
      </c>
      <c r="G14">
        <f>IF(B14="BUY",(F14-E14)/Settings!$B$3,(E14-F14)/Settings!$B$3)</f>
        <v/>
      </c>
      <c r="H14">
        <f>G14*D14*Settings!$B$4</f>
        <v/>
      </c>
      <c r="I14">
        <f>CurrentPositions!I9</f>
        <v/>
      </c>
      <c r="J14">
        <f>CurrentPositions!J9</f>
        <v/>
      </c>
    </row>
    <row r="15">
      <c r="A15">
        <f>CurrentPositions!A10</f>
        <v/>
      </c>
      <c r="B15">
        <f>CurrentPositions!B10</f>
        <v/>
      </c>
      <c r="C15">
        <f>CurrentPositions!C10</f>
        <v/>
      </c>
      <c r="D15">
        <f>CurrentPositions!D10</f>
        <v/>
      </c>
      <c r="E15">
        <f>CurrentPositions!E10</f>
        <v/>
      </c>
      <c r="F15">
        <f>$B$4</f>
        <v/>
      </c>
      <c r="G15">
        <f>IF(B15="BUY",(F15-E15)/Settings!$B$3,(E15-F15)/Settings!$B$3)</f>
        <v/>
      </c>
      <c r="H15">
        <f>G15*D15*Settings!$B$4</f>
        <v/>
      </c>
      <c r="I15">
        <f>CurrentPositions!I10</f>
        <v/>
      </c>
      <c r="J15">
        <f>CurrentPositions!J10</f>
        <v/>
      </c>
    </row>
    <row r="16">
      <c r="A16">
        <f>CurrentPositions!A11</f>
        <v/>
      </c>
      <c r="B16">
        <f>CurrentPositions!B11</f>
        <v/>
      </c>
      <c r="C16">
        <f>CurrentPositions!C11</f>
        <v/>
      </c>
      <c r="D16">
        <f>CurrentPositions!D11</f>
        <v/>
      </c>
      <c r="E16">
        <f>CurrentPositions!E11</f>
        <v/>
      </c>
      <c r="F16">
        <f>$B$4</f>
        <v/>
      </c>
      <c r="G16">
        <f>IF(B16="BUY",(F16-E16)/Settings!$B$3,(E16-F16)/Settings!$B$3)</f>
        <v/>
      </c>
      <c r="H16">
        <f>G16*D16*Settings!$B$4</f>
        <v/>
      </c>
      <c r="I16">
        <f>CurrentPositions!I11</f>
        <v/>
      </c>
      <c r="J16">
        <f>CurrentPositions!J11</f>
        <v/>
      </c>
    </row>
    <row r="17">
      <c r="A17">
        <f>CurrentPositions!A12</f>
        <v/>
      </c>
      <c r="B17">
        <f>CurrentPositions!B12</f>
        <v/>
      </c>
      <c r="C17">
        <f>CurrentPositions!C12</f>
        <v/>
      </c>
      <c r="D17">
        <f>CurrentPositions!D12</f>
        <v/>
      </c>
      <c r="E17">
        <f>CurrentPositions!E12</f>
        <v/>
      </c>
      <c r="F17">
        <f>$B$4</f>
        <v/>
      </c>
      <c r="G17">
        <f>IF(B17="BUY",(F17-E17)/Settings!$B$3,(E17-F17)/Settings!$B$3)</f>
        <v/>
      </c>
      <c r="H17">
        <f>G17*D17*Settings!$B$4</f>
        <v/>
      </c>
      <c r="I17">
        <f>CurrentPositions!I12</f>
        <v/>
      </c>
      <c r="J17">
        <f>CurrentPositions!J12</f>
        <v/>
      </c>
    </row>
    <row r="18">
      <c r="A18">
        <f>CurrentPositions!A13</f>
        <v/>
      </c>
      <c r="B18">
        <f>CurrentPositions!B13</f>
        <v/>
      </c>
      <c r="C18">
        <f>CurrentPositions!C13</f>
        <v/>
      </c>
      <c r="D18">
        <f>CurrentPositions!D13</f>
        <v/>
      </c>
      <c r="E18">
        <f>CurrentPositions!E13</f>
        <v/>
      </c>
      <c r="F18">
        <f>$B$4</f>
        <v/>
      </c>
      <c r="G18">
        <f>IF(B18="BUY",(F18-E18)/Settings!$B$3,(E18-F18)/Settings!$B$3)</f>
        <v/>
      </c>
      <c r="H18">
        <f>G18*D18*Settings!$B$4</f>
        <v/>
      </c>
      <c r="I18">
        <f>CurrentPositions!I13</f>
        <v/>
      </c>
      <c r="J18">
        <f>CurrentPositions!J13</f>
        <v/>
      </c>
    </row>
    <row r="19">
      <c r="A19">
        <f>CurrentPositions!A14</f>
        <v/>
      </c>
      <c r="B19">
        <f>CurrentPositions!B14</f>
        <v/>
      </c>
      <c r="C19">
        <f>CurrentPositions!C14</f>
        <v/>
      </c>
      <c r="D19">
        <f>CurrentPositions!D14</f>
        <v/>
      </c>
      <c r="E19">
        <f>CurrentPositions!E14</f>
        <v/>
      </c>
      <c r="F19">
        <f>$B$4</f>
        <v/>
      </c>
      <c r="G19">
        <f>IF(B19="BUY",(F19-E19)/Settings!$B$3,(E19-F19)/Settings!$B$3)</f>
        <v/>
      </c>
      <c r="H19">
        <f>G19*D19*Settings!$B$4</f>
        <v/>
      </c>
      <c r="I19">
        <f>CurrentPositions!I14</f>
        <v/>
      </c>
      <c r="J19">
        <f>CurrentPositions!J14</f>
        <v/>
      </c>
    </row>
    <row r="20">
      <c r="A20">
        <f>CurrentPositions!A15</f>
        <v/>
      </c>
      <c r="B20">
        <f>CurrentPositions!B15</f>
        <v/>
      </c>
      <c r="C20">
        <f>CurrentPositions!C15</f>
        <v/>
      </c>
      <c r="D20">
        <f>CurrentPositions!D15</f>
        <v/>
      </c>
      <c r="E20">
        <f>CurrentPositions!E15</f>
        <v/>
      </c>
      <c r="F20">
        <f>$B$4</f>
        <v/>
      </c>
      <c r="G20">
        <f>IF(B20="BUY",(F20-E20)/Settings!$B$3,(E20-F20)/Settings!$B$3)</f>
        <v/>
      </c>
      <c r="H20">
        <f>G20*D20*Settings!$B$4</f>
        <v/>
      </c>
      <c r="I20">
        <f>CurrentPositions!I15</f>
        <v/>
      </c>
      <c r="J20">
        <f>CurrentPositions!J15</f>
        <v/>
      </c>
    </row>
    <row r="21">
      <c r="A21">
        <f>CurrentPositions!A16</f>
        <v/>
      </c>
      <c r="B21">
        <f>CurrentPositions!B16</f>
        <v/>
      </c>
      <c r="C21">
        <f>CurrentPositions!C16</f>
        <v/>
      </c>
      <c r="D21">
        <f>CurrentPositions!D16</f>
        <v/>
      </c>
      <c r="E21">
        <f>CurrentPositions!E16</f>
        <v/>
      </c>
      <c r="F21">
        <f>$B$4</f>
        <v/>
      </c>
      <c r="G21">
        <f>IF(B21="BUY",(F21-E21)/Settings!$B$3,(E21-F21)/Settings!$B$3)</f>
        <v/>
      </c>
      <c r="H21">
        <f>G21*D21*Settings!$B$4</f>
        <v/>
      </c>
      <c r="I21">
        <f>CurrentPositions!I16</f>
        <v/>
      </c>
      <c r="J21">
        <f>CurrentPositions!J16</f>
        <v/>
      </c>
    </row>
    <row r="22">
      <c r="A22">
        <f>CurrentPositions!A17</f>
        <v/>
      </c>
      <c r="B22">
        <f>CurrentPositions!B17</f>
        <v/>
      </c>
      <c r="C22">
        <f>CurrentPositions!C17</f>
        <v/>
      </c>
      <c r="D22">
        <f>CurrentPositions!D17</f>
        <v/>
      </c>
      <c r="E22">
        <f>CurrentPositions!E17</f>
        <v/>
      </c>
      <c r="F22">
        <f>$B$4</f>
        <v/>
      </c>
      <c r="G22">
        <f>IF(B22="BUY",(F22-E22)/Settings!$B$3,(E22-F22)/Settings!$B$3)</f>
        <v/>
      </c>
      <c r="H22">
        <f>G22*D22*Settings!$B$4</f>
        <v/>
      </c>
      <c r="I22">
        <f>CurrentPositions!I17</f>
        <v/>
      </c>
      <c r="J22">
        <f>CurrentPositions!J17</f>
        <v/>
      </c>
    </row>
    <row r="23">
      <c r="A23">
        <f>CurrentPositions!A18</f>
        <v/>
      </c>
      <c r="B23">
        <f>CurrentPositions!B18</f>
        <v/>
      </c>
      <c r="C23">
        <f>CurrentPositions!C18</f>
        <v/>
      </c>
      <c r="D23">
        <f>CurrentPositions!D18</f>
        <v/>
      </c>
      <c r="E23">
        <f>CurrentPositions!E18</f>
        <v/>
      </c>
      <c r="F23">
        <f>$B$4</f>
        <v/>
      </c>
      <c r="G23">
        <f>IF(B23="BUY",(F23-E23)/Settings!$B$3,(E23-F23)/Settings!$B$3)</f>
        <v/>
      </c>
      <c r="H23">
        <f>G23*D23*Settings!$B$4</f>
        <v/>
      </c>
      <c r="I23">
        <f>CurrentPositions!I18</f>
        <v/>
      </c>
      <c r="J23">
        <f>CurrentPositions!J18</f>
        <v/>
      </c>
    </row>
    <row r="24">
      <c r="A24">
        <f>CurrentPositions!A19</f>
        <v/>
      </c>
      <c r="B24">
        <f>CurrentPositions!B19</f>
        <v/>
      </c>
      <c r="C24">
        <f>CurrentPositions!C19</f>
        <v/>
      </c>
      <c r="D24">
        <f>CurrentPositions!D19</f>
        <v/>
      </c>
      <c r="E24">
        <f>CurrentPositions!E19</f>
        <v/>
      </c>
      <c r="F24">
        <f>$B$4</f>
        <v/>
      </c>
      <c r="G24">
        <f>IF(B24="BUY",(F24-E24)/Settings!$B$3,(E24-F24)/Settings!$B$3)</f>
        <v/>
      </c>
      <c r="H24">
        <f>G24*D24*Settings!$B$4</f>
        <v/>
      </c>
      <c r="I24">
        <f>CurrentPositions!I19</f>
        <v/>
      </c>
      <c r="J24">
        <f>CurrentPositions!J19</f>
        <v/>
      </c>
    </row>
    <row r="25">
      <c r="A25">
        <f>CurrentPositions!A20</f>
        <v/>
      </c>
      <c r="B25">
        <f>CurrentPositions!B20</f>
        <v/>
      </c>
      <c r="C25">
        <f>CurrentPositions!C20</f>
        <v/>
      </c>
      <c r="D25">
        <f>CurrentPositions!D20</f>
        <v/>
      </c>
      <c r="E25">
        <f>CurrentPositions!E20</f>
        <v/>
      </c>
      <c r="F25">
        <f>$B$4</f>
        <v/>
      </c>
      <c r="G25">
        <f>IF(B25="BUY",(F25-E25)/Settings!$B$3,(E25-F25)/Settings!$B$3)</f>
        <v/>
      </c>
      <c r="H25">
        <f>G25*D25*Settings!$B$4</f>
        <v/>
      </c>
      <c r="I25">
        <f>CurrentPositions!I20</f>
        <v/>
      </c>
      <c r="J25">
        <f>CurrentPositions!J20</f>
        <v/>
      </c>
    </row>
    <row r="26">
      <c r="A26">
        <f>CurrentPositions!A21</f>
        <v/>
      </c>
      <c r="B26">
        <f>CurrentPositions!B21</f>
        <v/>
      </c>
      <c r="C26">
        <f>CurrentPositions!C21</f>
        <v/>
      </c>
      <c r="D26">
        <f>CurrentPositions!D21</f>
        <v/>
      </c>
      <c r="E26">
        <f>CurrentPositions!E21</f>
        <v/>
      </c>
      <c r="F26">
        <f>$B$4</f>
        <v/>
      </c>
      <c r="G26">
        <f>IF(B26="BUY",(F26-E26)/Settings!$B$3,(E26-F26)/Settings!$B$3)</f>
        <v/>
      </c>
      <c r="H26">
        <f>G26*D26*Settings!$B$4</f>
        <v/>
      </c>
      <c r="I26">
        <f>CurrentPositions!I21</f>
        <v/>
      </c>
      <c r="J26">
        <f>CurrentPositions!J21</f>
        <v/>
      </c>
    </row>
    <row r="27">
      <c r="A27">
        <f>CurrentPositions!A22</f>
        <v/>
      </c>
      <c r="B27">
        <f>CurrentPositions!B22</f>
        <v/>
      </c>
      <c r="C27">
        <f>CurrentPositions!C22</f>
        <v/>
      </c>
      <c r="D27">
        <f>CurrentPositions!D22</f>
        <v/>
      </c>
      <c r="E27">
        <f>CurrentPositions!E22</f>
        <v/>
      </c>
      <c r="F27">
        <f>$B$4</f>
        <v/>
      </c>
      <c r="G27">
        <f>IF(B27="BUY",(F27-E27)/Settings!$B$3,(E27-F27)/Settings!$B$3)</f>
        <v/>
      </c>
      <c r="H27">
        <f>G27*D27*Settings!$B$4</f>
        <v/>
      </c>
      <c r="I27">
        <f>CurrentPositions!I22</f>
        <v/>
      </c>
      <c r="J27">
        <f>CurrentPositions!J22</f>
        <v/>
      </c>
    </row>
    <row r="28">
      <c r="A28">
        <f>CurrentPositions!A23</f>
        <v/>
      </c>
      <c r="B28">
        <f>CurrentPositions!B23</f>
        <v/>
      </c>
      <c r="C28">
        <f>CurrentPositions!C23</f>
        <v/>
      </c>
      <c r="D28">
        <f>CurrentPositions!D23</f>
        <v/>
      </c>
      <c r="E28">
        <f>CurrentPositions!E23</f>
        <v/>
      </c>
      <c r="F28">
        <f>$B$4</f>
        <v/>
      </c>
      <c r="G28">
        <f>IF(B28="BUY",(F28-E28)/Settings!$B$3,(E28-F28)/Settings!$B$3)</f>
        <v/>
      </c>
      <c r="H28">
        <f>G28*D28*Settings!$B$4</f>
        <v/>
      </c>
      <c r="I28">
        <f>CurrentPositions!I23</f>
        <v/>
      </c>
      <c r="J28">
        <f>CurrentPositions!J23</f>
        <v/>
      </c>
    </row>
    <row r="29">
      <c r="A29">
        <f>CurrentPositions!A24</f>
        <v/>
      </c>
      <c r="B29">
        <f>CurrentPositions!B24</f>
        <v/>
      </c>
      <c r="C29">
        <f>CurrentPositions!C24</f>
        <v/>
      </c>
      <c r="D29">
        <f>CurrentPositions!D24</f>
        <v/>
      </c>
      <c r="E29">
        <f>CurrentPositions!E24</f>
        <v/>
      </c>
      <c r="F29">
        <f>$B$4</f>
        <v/>
      </c>
      <c r="G29">
        <f>IF(B29="BUY",(F29-E29)/Settings!$B$3,(E29-F29)/Settings!$B$3)</f>
        <v/>
      </c>
      <c r="H29">
        <f>G29*D29*Settings!$B$4</f>
        <v/>
      </c>
      <c r="I29">
        <f>CurrentPositions!I24</f>
        <v/>
      </c>
      <c r="J29">
        <f>CurrentPositions!J24</f>
        <v/>
      </c>
    </row>
    <row r="30">
      <c r="A30">
        <f>CurrentPositions!A25</f>
        <v/>
      </c>
      <c r="B30">
        <f>CurrentPositions!B25</f>
        <v/>
      </c>
      <c r="C30">
        <f>CurrentPositions!C25</f>
        <v/>
      </c>
      <c r="D30">
        <f>CurrentPositions!D25</f>
        <v/>
      </c>
      <c r="E30">
        <f>CurrentPositions!E25</f>
        <v/>
      </c>
      <c r="F30">
        <f>$B$4</f>
        <v/>
      </c>
      <c r="G30">
        <f>IF(B30="BUY",(F30-E30)/Settings!$B$3,(E30-F30)/Settings!$B$3)</f>
        <v/>
      </c>
      <c r="H30">
        <f>G30*D30*Settings!$B$4</f>
        <v/>
      </c>
      <c r="I30">
        <f>CurrentPositions!I25</f>
        <v/>
      </c>
      <c r="J30">
        <f>CurrentPositions!J25</f>
        <v/>
      </c>
    </row>
    <row r="31">
      <c r="A31">
        <f>CurrentPositions!A26</f>
        <v/>
      </c>
      <c r="B31">
        <f>CurrentPositions!B26</f>
        <v/>
      </c>
      <c r="C31">
        <f>CurrentPositions!C26</f>
        <v/>
      </c>
      <c r="D31">
        <f>CurrentPositions!D26</f>
        <v/>
      </c>
      <c r="E31">
        <f>CurrentPositions!E26</f>
        <v/>
      </c>
      <c r="F31">
        <f>$B$4</f>
        <v/>
      </c>
      <c r="G31">
        <f>IF(B31="BUY",(F31-E31)/Settings!$B$3,(E31-F31)/Settings!$B$3)</f>
        <v/>
      </c>
      <c r="H31">
        <f>G31*D31*Settings!$B$4</f>
        <v/>
      </c>
      <c r="I31">
        <f>CurrentPositions!I26</f>
        <v/>
      </c>
      <c r="J31">
        <f>CurrentPositions!J26</f>
        <v/>
      </c>
    </row>
    <row r="32">
      <c r="A32">
        <f>CurrentPositions!A27</f>
        <v/>
      </c>
      <c r="B32">
        <f>CurrentPositions!B27</f>
        <v/>
      </c>
      <c r="C32">
        <f>CurrentPositions!C27</f>
        <v/>
      </c>
      <c r="D32">
        <f>CurrentPositions!D27</f>
        <v/>
      </c>
      <c r="E32">
        <f>CurrentPositions!E27</f>
        <v/>
      </c>
      <c r="F32">
        <f>$B$4</f>
        <v/>
      </c>
      <c r="G32">
        <f>IF(B32="BUY",(F32-E32)/Settings!$B$3,(E32-F32)/Settings!$B$3)</f>
        <v/>
      </c>
      <c r="H32">
        <f>G32*D32*Settings!$B$4</f>
        <v/>
      </c>
      <c r="I32">
        <f>CurrentPositions!I27</f>
        <v/>
      </c>
      <c r="J32">
        <f>CurrentPositions!J27</f>
        <v/>
      </c>
    </row>
    <row r="33">
      <c r="A33">
        <f>CurrentPositions!A28</f>
        <v/>
      </c>
      <c r="B33">
        <f>CurrentPositions!B28</f>
        <v/>
      </c>
      <c r="C33">
        <f>CurrentPositions!C28</f>
        <v/>
      </c>
      <c r="D33">
        <f>CurrentPositions!D28</f>
        <v/>
      </c>
      <c r="E33">
        <f>CurrentPositions!E28</f>
        <v/>
      </c>
      <c r="F33">
        <f>$B$4</f>
        <v/>
      </c>
      <c r="G33">
        <f>IF(B33="BUY",(F33-E33)/Settings!$B$3,(E33-F33)/Settings!$B$3)</f>
        <v/>
      </c>
      <c r="H33">
        <f>G33*D33*Settings!$B$4</f>
        <v/>
      </c>
      <c r="I33">
        <f>CurrentPositions!I28</f>
        <v/>
      </c>
      <c r="J33">
        <f>CurrentPositions!J28</f>
        <v/>
      </c>
    </row>
    <row r="34">
      <c r="A34">
        <f>CurrentPositions!A29</f>
        <v/>
      </c>
      <c r="B34">
        <f>CurrentPositions!B29</f>
        <v/>
      </c>
      <c r="C34">
        <f>CurrentPositions!C29</f>
        <v/>
      </c>
      <c r="D34">
        <f>CurrentPositions!D29</f>
        <v/>
      </c>
      <c r="E34">
        <f>CurrentPositions!E29</f>
        <v/>
      </c>
      <c r="F34">
        <f>$B$4</f>
        <v/>
      </c>
      <c r="G34">
        <f>IF(B34="BUY",(F34-E34)/Settings!$B$3,(E34-F34)/Settings!$B$3)</f>
        <v/>
      </c>
      <c r="H34">
        <f>G34*D34*Settings!$B$4</f>
        <v/>
      </c>
      <c r="I34">
        <f>CurrentPositions!I29</f>
        <v/>
      </c>
      <c r="J34">
        <f>CurrentPositions!J29</f>
        <v/>
      </c>
    </row>
    <row r="35">
      <c r="A35">
        <f>CurrentPositions!A30</f>
        <v/>
      </c>
      <c r="B35">
        <f>CurrentPositions!B30</f>
        <v/>
      </c>
      <c r="C35">
        <f>CurrentPositions!C30</f>
        <v/>
      </c>
      <c r="D35">
        <f>CurrentPositions!D30</f>
        <v/>
      </c>
      <c r="E35">
        <f>CurrentPositions!E30</f>
        <v/>
      </c>
      <c r="F35">
        <f>$B$4</f>
        <v/>
      </c>
      <c r="G35">
        <f>IF(B35="BUY",(F35-E35)/Settings!$B$3,(E35-F35)/Settings!$B$3)</f>
        <v/>
      </c>
      <c r="H35">
        <f>G35*D35*Settings!$B$4</f>
        <v/>
      </c>
      <c r="I35">
        <f>CurrentPositions!I30</f>
        <v/>
      </c>
      <c r="J35">
        <f>CurrentPositions!J30</f>
        <v/>
      </c>
    </row>
    <row r="36">
      <c r="A36">
        <f>CurrentPositions!A31</f>
        <v/>
      </c>
      <c r="B36">
        <f>CurrentPositions!B31</f>
        <v/>
      </c>
      <c r="C36">
        <f>CurrentPositions!C31</f>
        <v/>
      </c>
      <c r="D36">
        <f>CurrentPositions!D31</f>
        <v/>
      </c>
      <c r="E36">
        <f>CurrentPositions!E31</f>
        <v/>
      </c>
      <c r="F36">
        <f>$B$4</f>
        <v/>
      </c>
      <c r="G36">
        <f>IF(B36="BUY",(F36-E36)/Settings!$B$3,(E36-F36)/Settings!$B$3)</f>
        <v/>
      </c>
      <c r="H36">
        <f>G36*D36*Settings!$B$4</f>
        <v/>
      </c>
      <c r="I36">
        <f>CurrentPositions!I31</f>
        <v/>
      </c>
      <c r="J36">
        <f>CurrentPositions!J31</f>
        <v/>
      </c>
    </row>
    <row r="37">
      <c r="A37">
        <f>CurrentPositions!A32</f>
        <v/>
      </c>
      <c r="B37">
        <f>CurrentPositions!B32</f>
        <v/>
      </c>
      <c r="C37">
        <f>CurrentPositions!C32</f>
        <v/>
      </c>
      <c r="D37">
        <f>CurrentPositions!D32</f>
        <v/>
      </c>
      <c r="E37">
        <f>CurrentPositions!E32</f>
        <v/>
      </c>
      <c r="F37">
        <f>$B$4</f>
        <v/>
      </c>
      <c r="G37">
        <f>IF(B37="BUY",(F37-E37)/Settings!$B$3,(E37-F37)/Settings!$B$3)</f>
        <v/>
      </c>
      <c r="H37">
        <f>G37*D37*Settings!$B$4</f>
        <v/>
      </c>
      <c r="I37">
        <f>CurrentPositions!I32</f>
        <v/>
      </c>
      <c r="J37">
        <f>CurrentPositions!J32</f>
        <v/>
      </c>
    </row>
    <row r="38">
      <c r="A38">
        <f>CurrentPositions!A33</f>
        <v/>
      </c>
      <c r="B38">
        <f>CurrentPositions!B33</f>
        <v/>
      </c>
      <c r="C38">
        <f>CurrentPositions!C33</f>
        <v/>
      </c>
      <c r="D38">
        <f>CurrentPositions!D33</f>
        <v/>
      </c>
      <c r="E38">
        <f>CurrentPositions!E33</f>
        <v/>
      </c>
      <c r="F38">
        <f>$B$4</f>
        <v/>
      </c>
      <c r="G38">
        <f>IF(B38="BUY",(F38-E38)/Settings!$B$3,(E38-F38)/Settings!$B$3)</f>
        <v/>
      </c>
      <c r="H38">
        <f>G38*D38*Settings!$B$4</f>
        <v/>
      </c>
      <c r="I38">
        <f>CurrentPositions!I33</f>
        <v/>
      </c>
      <c r="J38">
        <f>CurrentPositions!J33</f>
        <v/>
      </c>
    </row>
    <row r="39">
      <c r="A39">
        <f>CurrentPositions!A34</f>
        <v/>
      </c>
      <c r="B39">
        <f>CurrentPositions!B34</f>
        <v/>
      </c>
      <c r="C39">
        <f>CurrentPositions!C34</f>
        <v/>
      </c>
      <c r="D39">
        <f>CurrentPositions!D34</f>
        <v/>
      </c>
      <c r="E39">
        <f>CurrentPositions!E34</f>
        <v/>
      </c>
      <c r="F39">
        <f>$B$4</f>
        <v/>
      </c>
      <c r="G39">
        <f>IF(B39="BUY",(F39-E39)/Settings!$B$3,(E39-F39)/Settings!$B$3)</f>
        <v/>
      </c>
      <c r="H39">
        <f>G39*D39*Settings!$B$4</f>
        <v/>
      </c>
      <c r="I39">
        <f>CurrentPositions!I34</f>
        <v/>
      </c>
      <c r="J39">
        <f>CurrentPositions!J34</f>
        <v/>
      </c>
    </row>
    <row r="40">
      <c r="A40">
        <f>CurrentPositions!A35</f>
        <v/>
      </c>
      <c r="B40">
        <f>CurrentPositions!B35</f>
        <v/>
      </c>
      <c r="C40">
        <f>CurrentPositions!C35</f>
        <v/>
      </c>
      <c r="D40">
        <f>CurrentPositions!D35</f>
        <v/>
      </c>
      <c r="E40">
        <f>CurrentPositions!E35</f>
        <v/>
      </c>
      <c r="F40">
        <f>$B$4</f>
        <v/>
      </c>
      <c r="G40">
        <f>IF(B40="BUY",(F40-E40)/Settings!$B$3,(E40-F40)/Settings!$B$3)</f>
        <v/>
      </c>
      <c r="H40">
        <f>G40*D40*Settings!$B$4</f>
        <v/>
      </c>
      <c r="I40">
        <f>CurrentPositions!I35</f>
        <v/>
      </c>
      <c r="J40">
        <f>CurrentPositions!J35</f>
        <v/>
      </c>
    </row>
    <row r="41">
      <c r="A41">
        <f>CurrentPositions!A36</f>
        <v/>
      </c>
      <c r="B41">
        <f>CurrentPositions!B36</f>
        <v/>
      </c>
      <c r="C41">
        <f>CurrentPositions!C36</f>
        <v/>
      </c>
      <c r="D41">
        <f>CurrentPositions!D36</f>
        <v/>
      </c>
      <c r="E41">
        <f>CurrentPositions!E36</f>
        <v/>
      </c>
      <c r="F41">
        <f>$B$4</f>
        <v/>
      </c>
      <c r="G41">
        <f>IF(B41="BUY",(F41-E41)/Settings!$B$3,(E41-F41)/Settings!$B$3)</f>
        <v/>
      </c>
      <c r="H41">
        <f>G41*D41*Settings!$B$4</f>
        <v/>
      </c>
      <c r="I41">
        <f>CurrentPositions!I36</f>
        <v/>
      </c>
      <c r="J41">
        <f>CurrentPositions!J36</f>
        <v/>
      </c>
    </row>
    <row r="42">
      <c r="A42">
        <f>CurrentPositions!A37</f>
        <v/>
      </c>
      <c r="B42">
        <f>CurrentPositions!B37</f>
        <v/>
      </c>
      <c r="C42">
        <f>CurrentPositions!C37</f>
        <v/>
      </c>
      <c r="D42">
        <f>CurrentPositions!D37</f>
        <v/>
      </c>
      <c r="E42">
        <f>CurrentPositions!E37</f>
        <v/>
      </c>
      <c r="F42">
        <f>$B$4</f>
        <v/>
      </c>
      <c r="G42">
        <f>IF(B42="BUY",(F42-E42)/Settings!$B$3,(E42-F42)/Settings!$B$3)</f>
        <v/>
      </c>
      <c r="H42">
        <f>G42*D42*Settings!$B$4</f>
        <v/>
      </c>
      <c r="I42">
        <f>CurrentPositions!I37</f>
        <v/>
      </c>
      <c r="J42">
        <f>CurrentPositions!J37</f>
        <v/>
      </c>
    </row>
    <row r="43">
      <c r="A43">
        <f>CurrentPositions!A38</f>
        <v/>
      </c>
      <c r="B43">
        <f>CurrentPositions!B38</f>
        <v/>
      </c>
      <c r="C43">
        <f>CurrentPositions!C38</f>
        <v/>
      </c>
      <c r="D43">
        <f>CurrentPositions!D38</f>
        <v/>
      </c>
      <c r="E43">
        <f>CurrentPositions!E38</f>
        <v/>
      </c>
      <c r="F43">
        <f>$B$4</f>
        <v/>
      </c>
      <c r="G43">
        <f>IF(B43="BUY",(F43-E43)/Settings!$B$3,(E43-F43)/Settings!$B$3)</f>
        <v/>
      </c>
      <c r="H43">
        <f>G43*D43*Settings!$B$4</f>
        <v/>
      </c>
      <c r="I43">
        <f>CurrentPositions!I38</f>
        <v/>
      </c>
      <c r="J43">
        <f>CurrentPositions!J38</f>
        <v/>
      </c>
    </row>
    <row r="44">
      <c r="A44">
        <f>CurrentPositions!A39</f>
        <v/>
      </c>
      <c r="B44">
        <f>CurrentPositions!B39</f>
        <v/>
      </c>
      <c r="C44">
        <f>CurrentPositions!C39</f>
        <v/>
      </c>
      <c r="D44">
        <f>CurrentPositions!D39</f>
        <v/>
      </c>
      <c r="E44">
        <f>CurrentPositions!E39</f>
        <v/>
      </c>
      <c r="F44">
        <f>$B$4</f>
        <v/>
      </c>
      <c r="G44">
        <f>IF(B44="BUY",(F44-E44)/Settings!$B$3,(E44-F44)/Settings!$B$3)</f>
        <v/>
      </c>
      <c r="H44">
        <f>G44*D44*Settings!$B$4</f>
        <v/>
      </c>
      <c r="I44">
        <f>CurrentPositions!I39</f>
        <v/>
      </c>
      <c r="J44">
        <f>CurrentPositions!J39</f>
        <v/>
      </c>
    </row>
    <row r="45">
      <c r="A45">
        <f>CurrentPositions!A40</f>
        <v/>
      </c>
      <c r="B45">
        <f>CurrentPositions!B40</f>
        <v/>
      </c>
      <c r="C45">
        <f>CurrentPositions!C40</f>
        <v/>
      </c>
      <c r="D45">
        <f>CurrentPositions!D40</f>
        <v/>
      </c>
      <c r="E45">
        <f>CurrentPositions!E40</f>
        <v/>
      </c>
      <c r="F45">
        <f>$B$4</f>
        <v/>
      </c>
      <c r="G45">
        <f>IF(B45="BUY",(F45-E45)/Settings!$B$3,(E45-F45)/Settings!$B$3)</f>
        <v/>
      </c>
      <c r="H45">
        <f>G45*D45*Settings!$B$4</f>
        <v/>
      </c>
      <c r="I45">
        <f>CurrentPositions!I40</f>
        <v/>
      </c>
      <c r="J45">
        <f>CurrentPositions!J40</f>
        <v/>
      </c>
    </row>
    <row r="46">
      <c r="A46">
        <f>CurrentPositions!A41</f>
        <v/>
      </c>
      <c r="B46">
        <f>CurrentPositions!B41</f>
        <v/>
      </c>
      <c r="C46">
        <f>CurrentPositions!C41</f>
        <v/>
      </c>
      <c r="D46">
        <f>CurrentPositions!D41</f>
        <v/>
      </c>
      <c r="E46">
        <f>CurrentPositions!E41</f>
        <v/>
      </c>
      <c r="F46">
        <f>$B$4</f>
        <v/>
      </c>
      <c r="G46">
        <f>IF(B46="BUY",(F46-E46)/Settings!$B$3,(E46-F46)/Settings!$B$3)</f>
        <v/>
      </c>
      <c r="H46">
        <f>G46*D46*Settings!$B$4</f>
        <v/>
      </c>
      <c r="I46">
        <f>CurrentPositions!I41</f>
        <v/>
      </c>
      <c r="J46">
        <f>CurrentPositions!J41</f>
        <v/>
      </c>
    </row>
    <row r="47">
      <c r="A47">
        <f>CurrentPositions!A42</f>
        <v/>
      </c>
      <c r="B47">
        <f>CurrentPositions!B42</f>
        <v/>
      </c>
      <c r="C47">
        <f>CurrentPositions!C42</f>
        <v/>
      </c>
      <c r="D47">
        <f>CurrentPositions!D42</f>
        <v/>
      </c>
      <c r="E47">
        <f>CurrentPositions!E42</f>
        <v/>
      </c>
      <c r="F47">
        <f>$B$4</f>
        <v/>
      </c>
      <c r="G47">
        <f>IF(B47="BUY",(F47-E47)/Settings!$B$3,(E47-F47)/Settings!$B$3)</f>
        <v/>
      </c>
      <c r="H47">
        <f>G47*D47*Settings!$B$4</f>
        <v/>
      </c>
      <c r="I47">
        <f>CurrentPositions!I42</f>
        <v/>
      </c>
      <c r="J47">
        <f>CurrentPositions!J42</f>
        <v/>
      </c>
    </row>
    <row r="48">
      <c r="A48">
        <f>CurrentPositions!A43</f>
        <v/>
      </c>
      <c r="B48">
        <f>CurrentPositions!B43</f>
        <v/>
      </c>
      <c r="C48">
        <f>CurrentPositions!C43</f>
        <v/>
      </c>
      <c r="D48">
        <f>CurrentPositions!D43</f>
        <v/>
      </c>
      <c r="E48">
        <f>CurrentPositions!E43</f>
        <v/>
      </c>
      <c r="F48">
        <f>$B$4</f>
        <v/>
      </c>
      <c r="G48">
        <f>IF(B48="BUY",(F48-E48)/Settings!$B$3,(E48-F48)/Settings!$B$3)</f>
        <v/>
      </c>
      <c r="H48">
        <f>G48*D48*Settings!$B$4</f>
        <v/>
      </c>
      <c r="I48">
        <f>CurrentPositions!I43</f>
        <v/>
      </c>
      <c r="J48">
        <f>CurrentPositions!J43</f>
        <v/>
      </c>
    </row>
    <row r="49">
      <c r="A49">
        <f>CurrentPositions!A44</f>
        <v/>
      </c>
      <c r="B49">
        <f>CurrentPositions!B44</f>
        <v/>
      </c>
      <c r="C49">
        <f>CurrentPositions!C44</f>
        <v/>
      </c>
      <c r="D49">
        <f>CurrentPositions!D44</f>
        <v/>
      </c>
      <c r="E49">
        <f>CurrentPositions!E44</f>
        <v/>
      </c>
      <c r="F49">
        <f>$B$4</f>
        <v/>
      </c>
      <c r="G49">
        <f>IF(B49="BUY",(F49-E49)/Settings!$B$3,(E49-F49)/Settings!$B$3)</f>
        <v/>
      </c>
      <c r="H49">
        <f>G49*D49*Settings!$B$4</f>
        <v/>
      </c>
      <c r="I49">
        <f>CurrentPositions!I44</f>
        <v/>
      </c>
      <c r="J49">
        <f>CurrentPositions!J44</f>
        <v/>
      </c>
    </row>
    <row r="50">
      <c r="A50">
        <f>CurrentPositions!A45</f>
        <v/>
      </c>
      <c r="B50">
        <f>CurrentPositions!B45</f>
        <v/>
      </c>
      <c r="C50">
        <f>CurrentPositions!C45</f>
        <v/>
      </c>
      <c r="D50">
        <f>CurrentPositions!D45</f>
        <v/>
      </c>
      <c r="E50">
        <f>CurrentPositions!E45</f>
        <v/>
      </c>
      <c r="F50">
        <f>$B$4</f>
        <v/>
      </c>
      <c r="G50">
        <f>IF(B50="BUY",(F50-E50)/Settings!$B$3,(E50-F50)/Settings!$B$3)</f>
        <v/>
      </c>
      <c r="H50">
        <f>G50*D50*Settings!$B$4</f>
        <v/>
      </c>
      <c r="I50">
        <f>CurrentPositions!I45</f>
        <v/>
      </c>
      <c r="J50">
        <f>CurrentPositions!J45</f>
        <v/>
      </c>
    </row>
    <row r="51">
      <c r="A51">
        <f>CurrentPositions!A46</f>
        <v/>
      </c>
      <c r="B51">
        <f>CurrentPositions!B46</f>
        <v/>
      </c>
      <c r="C51">
        <f>CurrentPositions!C46</f>
        <v/>
      </c>
      <c r="D51">
        <f>CurrentPositions!D46</f>
        <v/>
      </c>
      <c r="E51">
        <f>CurrentPositions!E46</f>
        <v/>
      </c>
      <c r="F51">
        <f>$B$4</f>
        <v/>
      </c>
      <c r="G51">
        <f>IF(B51="BUY",(F51-E51)/Settings!$B$3,(E51-F51)/Settings!$B$3)</f>
        <v/>
      </c>
      <c r="H51">
        <f>G51*D51*Settings!$B$4</f>
        <v/>
      </c>
      <c r="I51">
        <f>CurrentPositions!I46</f>
        <v/>
      </c>
      <c r="J51">
        <f>CurrentPositions!J46</f>
        <v/>
      </c>
    </row>
    <row r="52">
      <c r="A52">
        <f>CurrentPositions!A47</f>
        <v/>
      </c>
      <c r="B52">
        <f>CurrentPositions!B47</f>
        <v/>
      </c>
      <c r="C52">
        <f>CurrentPositions!C47</f>
        <v/>
      </c>
      <c r="D52">
        <f>CurrentPositions!D47</f>
        <v/>
      </c>
      <c r="E52">
        <f>CurrentPositions!E47</f>
        <v/>
      </c>
      <c r="F52">
        <f>$B$4</f>
        <v/>
      </c>
      <c r="G52">
        <f>IF(B52="BUY",(F52-E52)/Settings!$B$3,(E52-F52)/Settings!$B$3)</f>
        <v/>
      </c>
      <c r="H52">
        <f>G52*D52*Settings!$B$4</f>
        <v/>
      </c>
      <c r="I52">
        <f>CurrentPositions!I47</f>
        <v/>
      </c>
      <c r="J52">
        <f>CurrentPositions!J47</f>
        <v/>
      </c>
    </row>
    <row r="53">
      <c r="A53">
        <f>CurrentPositions!A48</f>
        <v/>
      </c>
      <c r="B53">
        <f>CurrentPositions!B48</f>
        <v/>
      </c>
      <c r="C53">
        <f>CurrentPositions!C48</f>
        <v/>
      </c>
      <c r="D53">
        <f>CurrentPositions!D48</f>
        <v/>
      </c>
      <c r="E53">
        <f>CurrentPositions!E48</f>
        <v/>
      </c>
      <c r="F53">
        <f>$B$4</f>
        <v/>
      </c>
      <c r="G53">
        <f>IF(B53="BUY",(F53-E53)/Settings!$B$3,(E53-F53)/Settings!$B$3)</f>
        <v/>
      </c>
      <c r="H53">
        <f>G53*D53*Settings!$B$4</f>
        <v/>
      </c>
      <c r="I53">
        <f>CurrentPositions!I48</f>
        <v/>
      </c>
      <c r="J53">
        <f>CurrentPositions!J48</f>
        <v/>
      </c>
    </row>
    <row r="54">
      <c r="A54">
        <f>CurrentPositions!A49</f>
        <v/>
      </c>
      <c r="B54">
        <f>CurrentPositions!B49</f>
        <v/>
      </c>
      <c r="C54">
        <f>CurrentPositions!C49</f>
        <v/>
      </c>
      <c r="D54">
        <f>CurrentPositions!D49</f>
        <v/>
      </c>
      <c r="E54">
        <f>CurrentPositions!E49</f>
        <v/>
      </c>
      <c r="F54">
        <f>$B$4</f>
        <v/>
      </c>
      <c r="G54">
        <f>IF(B54="BUY",(F54-E54)/Settings!$B$3,(E54-F54)/Settings!$B$3)</f>
        <v/>
      </c>
      <c r="H54">
        <f>G54*D54*Settings!$B$4</f>
        <v/>
      </c>
      <c r="I54">
        <f>CurrentPositions!I49</f>
        <v/>
      </c>
      <c r="J54">
        <f>CurrentPositions!J49</f>
        <v/>
      </c>
    </row>
    <row r="55">
      <c r="A55">
        <f>CurrentPositions!A50</f>
        <v/>
      </c>
      <c r="B55">
        <f>CurrentPositions!B50</f>
        <v/>
      </c>
      <c r="C55">
        <f>CurrentPositions!C50</f>
        <v/>
      </c>
      <c r="D55">
        <f>CurrentPositions!D50</f>
        <v/>
      </c>
      <c r="E55">
        <f>CurrentPositions!E50</f>
        <v/>
      </c>
      <c r="F55">
        <f>$B$4</f>
        <v/>
      </c>
      <c r="G55">
        <f>IF(B55="BUY",(F55-E55)/Settings!$B$3,(E55-F55)/Settings!$B$3)</f>
        <v/>
      </c>
      <c r="H55">
        <f>G55*D55*Settings!$B$4</f>
        <v/>
      </c>
      <c r="I55">
        <f>CurrentPositions!I50</f>
        <v/>
      </c>
      <c r="J55">
        <f>CurrentPositions!J50</f>
        <v/>
      </c>
    </row>
    <row r="56">
      <c r="A56">
        <f>CurrentPositions!A51</f>
        <v/>
      </c>
      <c r="B56">
        <f>CurrentPositions!B51</f>
        <v/>
      </c>
      <c r="C56">
        <f>CurrentPositions!C51</f>
        <v/>
      </c>
      <c r="D56">
        <f>CurrentPositions!D51</f>
        <v/>
      </c>
      <c r="E56">
        <f>CurrentPositions!E51</f>
        <v/>
      </c>
      <c r="F56">
        <f>$B$4</f>
        <v/>
      </c>
      <c r="G56">
        <f>IF(B56="BUY",(F56-E56)/Settings!$B$3,(E56-F56)/Settings!$B$3)</f>
        <v/>
      </c>
      <c r="H56">
        <f>G56*D56*Settings!$B$4</f>
        <v/>
      </c>
      <c r="I56">
        <f>CurrentPositions!I51</f>
        <v/>
      </c>
      <c r="J56">
        <f>CurrentPositions!J51</f>
        <v/>
      </c>
    </row>
    <row r="57">
      <c r="A57">
        <f>CurrentPositions!A52</f>
        <v/>
      </c>
      <c r="B57">
        <f>CurrentPositions!B52</f>
        <v/>
      </c>
      <c r="C57">
        <f>CurrentPositions!C52</f>
        <v/>
      </c>
      <c r="D57">
        <f>CurrentPositions!D52</f>
        <v/>
      </c>
      <c r="E57">
        <f>CurrentPositions!E52</f>
        <v/>
      </c>
      <c r="F57">
        <f>$B$4</f>
        <v/>
      </c>
      <c r="G57">
        <f>IF(B57="BUY",(F57-E57)/Settings!$B$3,(E57-F57)/Settings!$B$3)</f>
        <v/>
      </c>
      <c r="H57">
        <f>G57*D57*Settings!$B$4</f>
        <v/>
      </c>
      <c r="I57">
        <f>CurrentPositions!I52</f>
        <v/>
      </c>
      <c r="J57">
        <f>CurrentPositions!J52</f>
        <v/>
      </c>
    </row>
    <row r="58">
      <c r="A58">
        <f>CurrentPositions!A53</f>
        <v/>
      </c>
      <c r="B58">
        <f>CurrentPositions!B53</f>
        <v/>
      </c>
      <c r="C58">
        <f>CurrentPositions!C53</f>
        <v/>
      </c>
      <c r="D58">
        <f>CurrentPositions!D53</f>
        <v/>
      </c>
      <c r="E58">
        <f>CurrentPositions!E53</f>
        <v/>
      </c>
      <c r="F58">
        <f>$B$4</f>
        <v/>
      </c>
      <c r="G58">
        <f>IF(B58="BUY",(F58-E58)/Settings!$B$3,(E58-F58)/Settings!$B$3)</f>
        <v/>
      </c>
      <c r="H58">
        <f>G58*D58*Settings!$B$4</f>
        <v/>
      </c>
      <c r="I58">
        <f>CurrentPositions!I53</f>
        <v/>
      </c>
      <c r="J58">
        <f>CurrentPositions!J53</f>
        <v/>
      </c>
    </row>
    <row r="59">
      <c r="A59">
        <f>CurrentPositions!A54</f>
        <v/>
      </c>
      <c r="B59">
        <f>CurrentPositions!B54</f>
        <v/>
      </c>
      <c r="C59">
        <f>CurrentPositions!C54</f>
        <v/>
      </c>
      <c r="D59">
        <f>CurrentPositions!D54</f>
        <v/>
      </c>
      <c r="E59">
        <f>CurrentPositions!E54</f>
        <v/>
      </c>
      <c r="F59">
        <f>$B$4</f>
        <v/>
      </c>
      <c r="G59">
        <f>IF(B59="BUY",(F59-E59)/Settings!$B$3,(E59-F59)/Settings!$B$3)</f>
        <v/>
      </c>
      <c r="H59">
        <f>G59*D59*Settings!$B$4</f>
        <v/>
      </c>
      <c r="I59">
        <f>CurrentPositions!I54</f>
        <v/>
      </c>
      <c r="J59">
        <f>CurrentPositions!J54</f>
        <v/>
      </c>
    </row>
    <row r="60">
      <c r="A60">
        <f>CurrentPositions!A55</f>
        <v/>
      </c>
      <c r="B60">
        <f>CurrentPositions!B55</f>
        <v/>
      </c>
      <c r="C60">
        <f>CurrentPositions!C55</f>
        <v/>
      </c>
      <c r="D60">
        <f>CurrentPositions!D55</f>
        <v/>
      </c>
      <c r="E60">
        <f>CurrentPositions!E55</f>
        <v/>
      </c>
      <c r="F60">
        <f>$B$4</f>
        <v/>
      </c>
      <c r="G60">
        <f>IF(B60="BUY",(F60-E60)/Settings!$B$3,(E60-F60)/Settings!$B$3)</f>
        <v/>
      </c>
      <c r="H60">
        <f>G60*D60*Settings!$B$4</f>
        <v/>
      </c>
      <c r="I60">
        <f>CurrentPositions!I55</f>
        <v/>
      </c>
      <c r="J60">
        <f>CurrentPositions!J55</f>
        <v/>
      </c>
    </row>
    <row r="61">
      <c r="A61">
        <f>CurrentPositions!A56</f>
        <v/>
      </c>
      <c r="B61">
        <f>CurrentPositions!B56</f>
        <v/>
      </c>
      <c r="C61">
        <f>CurrentPositions!C56</f>
        <v/>
      </c>
      <c r="D61">
        <f>CurrentPositions!D56</f>
        <v/>
      </c>
      <c r="E61">
        <f>CurrentPositions!E56</f>
        <v/>
      </c>
      <c r="F61">
        <f>$B$4</f>
        <v/>
      </c>
      <c r="G61">
        <f>IF(B61="BUY",(F61-E61)/Settings!$B$3,(E61-F61)/Settings!$B$3)</f>
        <v/>
      </c>
      <c r="H61">
        <f>G61*D61*Settings!$B$4</f>
        <v/>
      </c>
      <c r="I61">
        <f>CurrentPositions!I56</f>
        <v/>
      </c>
      <c r="J61">
        <f>CurrentPositions!J56</f>
        <v/>
      </c>
    </row>
    <row r="62">
      <c r="A62">
        <f>CurrentPositions!A57</f>
        <v/>
      </c>
      <c r="B62">
        <f>CurrentPositions!B57</f>
        <v/>
      </c>
      <c r="C62">
        <f>CurrentPositions!C57</f>
        <v/>
      </c>
      <c r="D62">
        <f>CurrentPositions!D57</f>
        <v/>
      </c>
      <c r="E62">
        <f>CurrentPositions!E57</f>
        <v/>
      </c>
      <c r="F62">
        <f>$B$4</f>
        <v/>
      </c>
      <c r="G62">
        <f>IF(B62="BUY",(F62-E62)/Settings!$B$3,(E62-F62)/Settings!$B$3)</f>
        <v/>
      </c>
      <c r="H62">
        <f>G62*D62*Settings!$B$4</f>
        <v/>
      </c>
      <c r="I62">
        <f>CurrentPositions!I57</f>
        <v/>
      </c>
      <c r="J62">
        <f>CurrentPositions!J57</f>
        <v/>
      </c>
    </row>
    <row r="63">
      <c r="A63">
        <f>CurrentPositions!A58</f>
        <v/>
      </c>
      <c r="B63">
        <f>CurrentPositions!B58</f>
        <v/>
      </c>
      <c r="C63">
        <f>CurrentPositions!C58</f>
        <v/>
      </c>
      <c r="D63">
        <f>CurrentPositions!D58</f>
        <v/>
      </c>
      <c r="E63">
        <f>CurrentPositions!E58</f>
        <v/>
      </c>
      <c r="F63">
        <f>$B$4</f>
        <v/>
      </c>
      <c r="G63">
        <f>IF(B63="BUY",(F63-E63)/Settings!$B$3,(E63-F63)/Settings!$B$3)</f>
        <v/>
      </c>
      <c r="H63">
        <f>G63*D63*Settings!$B$4</f>
        <v/>
      </c>
      <c r="I63">
        <f>CurrentPositions!I58</f>
        <v/>
      </c>
      <c r="J63">
        <f>CurrentPositions!J58</f>
        <v/>
      </c>
    </row>
    <row r="64">
      <c r="A64">
        <f>CurrentPositions!A59</f>
        <v/>
      </c>
      <c r="B64">
        <f>CurrentPositions!B59</f>
        <v/>
      </c>
      <c r="C64">
        <f>CurrentPositions!C59</f>
        <v/>
      </c>
      <c r="D64">
        <f>CurrentPositions!D59</f>
        <v/>
      </c>
      <c r="E64">
        <f>CurrentPositions!E59</f>
        <v/>
      </c>
      <c r="F64">
        <f>$B$4</f>
        <v/>
      </c>
      <c r="G64">
        <f>IF(B64="BUY",(F64-E64)/Settings!$B$3,(E64-F64)/Settings!$B$3)</f>
        <v/>
      </c>
      <c r="H64">
        <f>G64*D64*Settings!$B$4</f>
        <v/>
      </c>
      <c r="I64">
        <f>CurrentPositions!I59</f>
        <v/>
      </c>
      <c r="J64">
        <f>CurrentPositions!J59</f>
        <v/>
      </c>
    </row>
    <row r="65">
      <c r="A65">
        <f>CurrentPositions!A60</f>
        <v/>
      </c>
      <c r="B65">
        <f>CurrentPositions!B60</f>
        <v/>
      </c>
      <c r="C65">
        <f>CurrentPositions!C60</f>
        <v/>
      </c>
      <c r="D65">
        <f>CurrentPositions!D60</f>
        <v/>
      </c>
      <c r="E65">
        <f>CurrentPositions!E60</f>
        <v/>
      </c>
      <c r="F65">
        <f>$B$4</f>
        <v/>
      </c>
      <c r="G65">
        <f>IF(B65="BUY",(F65-E65)/Settings!$B$3,(E65-F65)/Settings!$B$3)</f>
        <v/>
      </c>
      <c r="H65">
        <f>G65*D65*Settings!$B$4</f>
        <v/>
      </c>
      <c r="I65">
        <f>CurrentPositions!I60</f>
        <v/>
      </c>
      <c r="J65">
        <f>CurrentPositions!J60</f>
        <v/>
      </c>
    </row>
    <row r="66">
      <c r="A66">
        <f>CurrentPositions!A61</f>
        <v/>
      </c>
      <c r="B66">
        <f>CurrentPositions!B61</f>
        <v/>
      </c>
      <c r="C66">
        <f>CurrentPositions!C61</f>
        <v/>
      </c>
      <c r="D66">
        <f>CurrentPositions!D61</f>
        <v/>
      </c>
      <c r="E66">
        <f>CurrentPositions!E61</f>
        <v/>
      </c>
      <c r="F66">
        <f>$B$4</f>
        <v/>
      </c>
      <c r="G66">
        <f>IF(B66="BUY",(F66-E66)/Settings!$B$3,(E66-F66)/Settings!$B$3)</f>
        <v/>
      </c>
      <c r="H66">
        <f>G66*D66*Settings!$B$4</f>
        <v/>
      </c>
      <c r="I66">
        <f>CurrentPositions!I61</f>
        <v/>
      </c>
      <c r="J66">
        <f>CurrentPositions!J61</f>
        <v/>
      </c>
    </row>
    <row r="67">
      <c r="A67">
        <f>CurrentPositions!A62</f>
        <v/>
      </c>
      <c r="B67">
        <f>CurrentPositions!B62</f>
        <v/>
      </c>
      <c r="C67">
        <f>CurrentPositions!C62</f>
        <v/>
      </c>
      <c r="D67">
        <f>CurrentPositions!D62</f>
        <v/>
      </c>
      <c r="E67">
        <f>CurrentPositions!E62</f>
        <v/>
      </c>
      <c r="F67">
        <f>$B$4</f>
        <v/>
      </c>
      <c r="G67">
        <f>IF(B67="BUY",(F67-E67)/Settings!$B$3,(E67-F67)/Settings!$B$3)</f>
        <v/>
      </c>
      <c r="H67">
        <f>G67*D67*Settings!$B$4</f>
        <v/>
      </c>
      <c r="I67">
        <f>CurrentPositions!I62</f>
        <v/>
      </c>
      <c r="J67">
        <f>CurrentPositions!J62</f>
        <v/>
      </c>
    </row>
    <row r="68">
      <c r="A68">
        <f>CurrentPositions!A63</f>
        <v/>
      </c>
      <c r="B68">
        <f>CurrentPositions!B63</f>
        <v/>
      </c>
      <c r="C68">
        <f>CurrentPositions!C63</f>
        <v/>
      </c>
      <c r="D68">
        <f>CurrentPositions!D63</f>
        <v/>
      </c>
      <c r="E68">
        <f>CurrentPositions!E63</f>
        <v/>
      </c>
      <c r="F68">
        <f>$B$4</f>
        <v/>
      </c>
      <c r="G68">
        <f>IF(B68="BUY",(F68-E68)/Settings!$B$3,(E68-F68)/Settings!$B$3)</f>
        <v/>
      </c>
      <c r="H68">
        <f>G68*D68*Settings!$B$4</f>
        <v/>
      </c>
      <c r="I68">
        <f>CurrentPositions!I63</f>
        <v/>
      </c>
      <c r="J68">
        <f>CurrentPositions!J63</f>
        <v/>
      </c>
    </row>
    <row r="69">
      <c r="A69">
        <f>CurrentPositions!A64</f>
        <v/>
      </c>
      <c r="B69">
        <f>CurrentPositions!B64</f>
        <v/>
      </c>
      <c r="C69">
        <f>CurrentPositions!C64</f>
        <v/>
      </c>
      <c r="D69">
        <f>CurrentPositions!D64</f>
        <v/>
      </c>
      <c r="E69">
        <f>CurrentPositions!E64</f>
        <v/>
      </c>
      <c r="F69">
        <f>$B$4</f>
        <v/>
      </c>
      <c r="G69">
        <f>IF(B69="BUY",(F69-E69)/Settings!$B$3,(E69-F69)/Settings!$B$3)</f>
        <v/>
      </c>
      <c r="H69">
        <f>G69*D69*Settings!$B$4</f>
        <v/>
      </c>
      <c r="I69">
        <f>CurrentPositions!I64</f>
        <v/>
      </c>
      <c r="J69">
        <f>CurrentPositions!J64</f>
        <v/>
      </c>
    </row>
    <row r="70">
      <c r="A70">
        <f>CurrentPositions!A65</f>
        <v/>
      </c>
      <c r="B70">
        <f>CurrentPositions!B65</f>
        <v/>
      </c>
      <c r="C70">
        <f>CurrentPositions!C65</f>
        <v/>
      </c>
      <c r="D70">
        <f>CurrentPositions!D65</f>
        <v/>
      </c>
      <c r="E70">
        <f>CurrentPositions!E65</f>
        <v/>
      </c>
      <c r="F70">
        <f>$B$4</f>
        <v/>
      </c>
      <c r="G70">
        <f>IF(B70="BUY",(F70-E70)/Settings!$B$3,(E70-F70)/Settings!$B$3)</f>
        <v/>
      </c>
      <c r="H70">
        <f>G70*D70*Settings!$B$4</f>
        <v/>
      </c>
      <c r="I70">
        <f>CurrentPositions!I65</f>
        <v/>
      </c>
      <c r="J70">
        <f>CurrentPositions!J65</f>
        <v/>
      </c>
    </row>
    <row r="71">
      <c r="A71">
        <f>CurrentPositions!A66</f>
        <v/>
      </c>
      <c r="B71">
        <f>CurrentPositions!B66</f>
        <v/>
      </c>
      <c r="C71">
        <f>CurrentPositions!C66</f>
        <v/>
      </c>
      <c r="D71">
        <f>CurrentPositions!D66</f>
        <v/>
      </c>
      <c r="E71">
        <f>CurrentPositions!E66</f>
        <v/>
      </c>
      <c r="F71">
        <f>$B$4</f>
        <v/>
      </c>
      <c r="G71">
        <f>IF(B71="BUY",(F71-E71)/Settings!$B$3,(E71-F71)/Settings!$B$3)</f>
        <v/>
      </c>
      <c r="H71">
        <f>G71*D71*Settings!$B$4</f>
        <v/>
      </c>
      <c r="I71">
        <f>CurrentPositions!I66</f>
        <v/>
      </c>
      <c r="J71">
        <f>CurrentPositions!J66</f>
        <v/>
      </c>
    </row>
    <row r="72">
      <c r="A72">
        <f>CurrentPositions!A67</f>
        <v/>
      </c>
      <c r="B72">
        <f>CurrentPositions!B67</f>
        <v/>
      </c>
      <c r="C72">
        <f>CurrentPositions!C67</f>
        <v/>
      </c>
      <c r="D72">
        <f>CurrentPositions!D67</f>
        <v/>
      </c>
      <c r="E72">
        <f>CurrentPositions!E67</f>
        <v/>
      </c>
      <c r="F72">
        <f>$B$4</f>
        <v/>
      </c>
      <c r="G72">
        <f>IF(B72="BUY",(F72-E72)/Settings!$B$3,(E72-F72)/Settings!$B$3)</f>
        <v/>
      </c>
      <c r="H72">
        <f>G72*D72*Settings!$B$4</f>
        <v/>
      </c>
      <c r="I72">
        <f>CurrentPositions!I67</f>
        <v/>
      </c>
      <c r="J72">
        <f>CurrentPositions!J67</f>
        <v/>
      </c>
    </row>
    <row r="73">
      <c r="A73">
        <f>CurrentPositions!A68</f>
        <v/>
      </c>
      <c r="B73">
        <f>CurrentPositions!B68</f>
        <v/>
      </c>
      <c r="C73">
        <f>CurrentPositions!C68</f>
        <v/>
      </c>
      <c r="D73">
        <f>CurrentPositions!D68</f>
        <v/>
      </c>
      <c r="E73">
        <f>CurrentPositions!E68</f>
        <v/>
      </c>
      <c r="F73">
        <f>$B$4</f>
        <v/>
      </c>
      <c r="G73">
        <f>IF(B73="BUY",(F73-E73)/Settings!$B$3,(E73-F73)/Settings!$B$3)</f>
        <v/>
      </c>
      <c r="H73">
        <f>G73*D73*Settings!$B$4</f>
        <v/>
      </c>
      <c r="I73">
        <f>CurrentPositions!I68</f>
        <v/>
      </c>
      <c r="J73">
        <f>CurrentPositions!J68</f>
        <v/>
      </c>
    </row>
    <row r="74">
      <c r="A74">
        <f>CurrentPositions!A69</f>
        <v/>
      </c>
      <c r="B74">
        <f>CurrentPositions!B69</f>
        <v/>
      </c>
      <c r="C74">
        <f>CurrentPositions!C69</f>
        <v/>
      </c>
      <c r="D74">
        <f>CurrentPositions!D69</f>
        <v/>
      </c>
      <c r="E74">
        <f>CurrentPositions!E69</f>
        <v/>
      </c>
      <c r="F74">
        <f>$B$4</f>
        <v/>
      </c>
      <c r="G74">
        <f>IF(B74="BUY",(F74-E74)/Settings!$B$3,(E74-F74)/Settings!$B$3)</f>
        <v/>
      </c>
      <c r="H74">
        <f>G74*D74*Settings!$B$4</f>
        <v/>
      </c>
      <c r="I74">
        <f>CurrentPositions!I69</f>
        <v/>
      </c>
      <c r="J74">
        <f>CurrentPositions!J69</f>
        <v/>
      </c>
    </row>
    <row r="75">
      <c r="A75">
        <f>CurrentPositions!A70</f>
        <v/>
      </c>
      <c r="B75">
        <f>CurrentPositions!B70</f>
        <v/>
      </c>
      <c r="C75">
        <f>CurrentPositions!C70</f>
        <v/>
      </c>
      <c r="D75">
        <f>CurrentPositions!D70</f>
        <v/>
      </c>
      <c r="E75">
        <f>CurrentPositions!E70</f>
        <v/>
      </c>
      <c r="F75">
        <f>$B$4</f>
        <v/>
      </c>
      <c r="G75">
        <f>IF(B75="BUY",(F75-E75)/Settings!$B$3,(E75-F75)/Settings!$B$3)</f>
        <v/>
      </c>
      <c r="H75">
        <f>G75*D75*Settings!$B$4</f>
        <v/>
      </c>
      <c r="I75">
        <f>CurrentPositions!I70</f>
        <v/>
      </c>
      <c r="J75">
        <f>CurrentPositions!J70</f>
        <v/>
      </c>
    </row>
    <row r="76">
      <c r="A76">
        <f>CurrentPositions!A71</f>
        <v/>
      </c>
      <c r="B76">
        <f>CurrentPositions!B71</f>
        <v/>
      </c>
      <c r="C76">
        <f>CurrentPositions!C71</f>
        <v/>
      </c>
      <c r="D76">
        <f>CurrentPositions!D71</f>
        <v/>
      </c>
      <c r="E76">
        <f>CurrentPositions!E71</f>
        <v/>
      </c>
      <c r="F76">
        <f>$B$4</f>
        <v/>
      </c>
      <c r="G76">
        <f>IF(B76="BUY",(F76-E76)/Settings!$B$3,(E76-F76)/Settings!$B$3)</f>
        <v/>
      </c>
      <c r="H76">
        <f>G76*D76*Settings!$B$4</f>
        <v/>
      </c>
      <c r="I76">
        <f>CurrentPositions!I71</f>
        <v/>
      </c>
      <c r="J76">
        <f>CurrentPositions!J71</f>
        <v/>
      </c>
    </row>
    <row r="77">
      <c r="A77">
        <f>CurrentPositions!A72</f>
        <v/>
      </c>
      <c r="B77">
        <f>CurrentPositions!B72</f>
        <v/>
      </c>
      <c r="C77">
        <f>CurrentPositions!C72</f>
        <v/>
      </c>
      <c r="D77">
        <f>CurrentPositions!D72</f>
        <v/>
      </c>
      <c r="E77">
        <f>CurrentPositions!E72</f>
        <v/>
      </c>
      <c r="F77">
        <f>$B$4</f>
        <v/>
      </c>
      <c r="G77">
        <f>IF(B77="BUY",(F77-E77)/Settings!$B$3,(E77-F77)/Settings!$B$3)</f>
        <v/>
      </c>
      <c r="H77">
        <f>G77*D77*Settings!$B$4</f>
        <v/>
      </c>
      <c r="I77">
        <f>CurrentPositions!I72</f>
        <v/>
      </c>
      <c r="J77">
        <f>CurrentPositions!J72</f>
        <v/>
      </c>
    </row>
    <row r="78">
      <c r="A78">
        <f>CurrentPositions!A73</f>
        <v/>
      </c>
      <c r="B78">
        <f>CurrentPositions!B73</f>
        <v/>
      </c>
      <c r="C78">
        <f>CurrentPositions!C73</f>
        <v/>
      </c>
      <c r="D78">
        <f>CurrentPositions!D73</f>
        <v/>
      </c>
      <c r="E78">
        <f>CurrentPositions!E73</f>
        <v/>
      </c>
      <c r="F78">
        <f>$B$4</f>
        <v/>
      </c>
      <c r="G78">
        <f>IF(B78="BUY",(F78-E78)/Settings!$B$3,(E78-F78)/Settings!$B$3)</f>
        <v/>
      </c>
      <c r="H78">
        <f>G78*D78*Settings!$B$4</f>
        <v/>
      </c>
      <c r="I78">
        <f>CurrentPositions!I73</f>
        <v/>
      </c>
      <c r="J78">
        <f>CurrentPositions!J73</f>
        <v/>
      </c>
    </row>
    <row r="79">
      <c r="A79">
        <f>CurrentPositions!A74</f>
        <v/>
      </c>
      <c r="B79">
        <f>CurrentPositions!B74</f>
        <v/>
      </c>
      <c r="C79">
        <f>CurrentPositions!C74</f>
        <v/>
      </c>
      <c r="D79">
        <f>CurrentPositions!D74</f>
        <v/>
      </c>
      <c r="E79">
        <f>CurrentPositions!E74</f>
        <v/>
      </c>
      <c r="F79">
        <f>$B$4</f>
        <v/>
      </c>
      <c r="G79">
        <f>IF(B79="BUY",(F79-E79)/Settings!$B$3,(E79-F79)/Settings!$B$3)</f>
        <v/>
      </c>
      <c r="H79">
        <f>G79*D79*Settings!$B$4</f>
        <v/>
      </c>
      <c r="I79">
        <f>CurrentPositions!I74</f>
        <v/>
      </c>
      <c r="J79">
        <f>CurrentPositions!J74</f>
        <v/>
      </c>
    </row>
    <row r="80">
      <c r="A80">
        <f>CurrentPositions!A75</f>
        <v/>
      </c>
      <c r="B80">
        <f>CurrentPositions!B75</f>
        <v/>
      </c>
      <c r="C80">
        <f>CurrentPositions!C75</f>
        <v/>
      </c>
      <c r="D80">
        <f>CurrentPositions!D75</f>
        <v/>
      </c>
      <c r="E80">
        <f>CurrentPositions!E75</f>
        <v/>
      </c>
      <c r="F80">
        <f>$B$4</f>
        <v/>
      </c>
      <c r="G80">
        <f>IF(B80="BUY",(F80-E80)/Settings!$B$3,(E80-F80)/Settings!$B$3)</f>
        <v/>
      </c>
      <c r="H80">
        <f>G80*D80*Settings!$B$4</f>
        <v/>
      </c>
      <c r="I80">
        <f>CurrentPositions!I75</f>
        <v/>
      </c>
      <c r="J80">
        <f>CurrentPositions!J75</f>
        <v/>
      </c>
    </row>
    <row r="81">
      <c r="A81">
        <f>CurrentPositions!A76</f>
        <v/>
      </c>
      <c r="B81">
        <f>CurrentPositions!B76</f>
        <v/>
      </c>
      <c r="C81">
        <f>CurrentPositions!C76</f>
        <v/>
      </c>
      <c r="D81">
        <f>CurrentPositions!D76</f>
        <v/>
      </c>
      <c r="E81">
        <f>CurrentPositions!E76</f>
        <v/>
      </c>
      <c r="F81">
        <f>$B$4</f>
        <v/>
      </c>
      <c r="G81">
        <f>IF(B81="BUY",(F81-E81)/Settings!$B$3,(E81-F81)/Settings!$B$3)</f>
        <v/>
      </c>
      <c r="H81">
        <f>G81*D81*Settings!$B$4</f>
        <v/>
      </c>
      <c r="I81">
        <f>CurrentPositions!I76</f>
        <v/>
      </c>
      <c r="J81">
        <f>CurrentPositions!J76</f>
        <v/>
      </c>
    </row>
    <row r="82">
      <c r="A82">
        <f>CurrentPositions!A77</f>
        <v/>
      </c>
      <c r="B82">
        <f>CurrentPositions!B77</f>
        <v/>
      </c>
      <c r="C82">
        <f>CurrentPositions!C77</f>
        <v/>
      </c>
      <c r="D82">
        <f>CurrentPositions!D77</f>
        <v/>
      </c>
      <c r="E82">
        <f>CurrentPositions!E77</f>
        <v/>
      </c>
      <c r="F82">
        <f>$B$4</f>
        <v/>
      </c>
      <c r="G82">
        <f>IF(B82="BUY",(F82-E82)/Settings!$B$3,(E82-F82)/Settings!$B$3)</f>
        <v/>
      </c>
      <c r="H82">
        <f>G82*D82*Settings!$B$4</f>
        <v/>
      </c>
      <c r="I82">
        <f>CurrentPositions!I77</f>
        <v/>
      </c>
      <c r="J82">
        <f>CurrentPositions!J77</f>
        <v/>
      </c>
    </row>
    <row r="83">
      <c r="A83">
        <f>CurrentPositions!A78</f>
        <v/>
      </c>
      <c r="B83">
        <f>CurrentPositions!B78</f>
        <v/>
      </c>
      <c r="C83">
        <f>CurrentPositions!C78</f>
        <v/>
      </c>
      <c r="D83">
        <f>CurrentPositions!D78</f>
        <v/>
      </c>
      <c r="E83">
        <f>CurrentPositions!E78</f>
        <v/>
      </c>
      <c r="F83">
        <f>$B$4</f>
        <v/>
      </c>
      <c r="G83">
        <f>IF(B83="BUY",(F83-E83)/Settings!$B$3,(E83-F83)/Settings!$B$3)</f>
        <v/>
      </c>
      <c r="H83">
        <f>G83*D83*Settings!$B$4</f>
        <v/>
      </c>
      <c r="I83">
        <f>CurrentPositions!I78</f>
        <v/>
      </c>
      <c r="J83">
        <f>CurrentPositions!J78</f>
        <v/>
      </c>
    </row>
    <row r="84">
      <c r="A84">
        <f>CurrentPositions!A79</f>
        <v/>
      </c>
      <c r="B84">
        <f>CurrentPositions!B79</f>
        <v/>
      </c>
      <c r="C84">
        <f>CurrentPositions!C79</f>
        <v/>
      </c>
      <c r="D84">
        <f>CurrentPositions!D79</f>
        <v/>
      </c>
      <c r="E84">
        <f>CurrentPositions!E79</f>
        <v/>
      </c>
      <c r="F84">
        <f>$B$4</f>
        <v/>
      </c>
      <c r="G84">
        <f>IF(B84="BUY",(F84-E84)/Settings!$B$3,(E84-F84)/Settings!$B$3)</f>
        <v/>
      </c>
      <c r="H84">
        <f>G84*D84*Settings!$B$4</f>
        <v/>
      </c>
      <c r="I84">
        <f>CurrentPositions!I79</f>
        <v/>
      </c>
      <c r="J84">
        <f>CurrentPositions!J79</f>
        <v/>
      </c>
    </row>
    <row r="85">
      <c r="A85">
        <f>CurrentPositions!A80</f>
        <v/>
      </c>
      <c r="B85">
        <f>CurrentPositions!B80</f>
        <v/>
      </c>
      <c r="C85">
        <f>CurrentPositions!C80</f>
        <v/>
      </c>
      <c r="D85">
        <f>CurrentPositions!D80</f>
        <v/>
      </c>
      <c r="E85">
        <f>CurrentPositions!E80</f>
        <v/>
      </c>
      <c r="F85">
        <f>$B$4</f>
        <v/>
      </c>
      <c r="G85">
        <f>IF(B85="BUY",(F85-E85)/Settings!$B$3,(E85-F85)/Settings!$B$3)</f>
        <v/>
      </c>
      <c r="H85">
        <f>G85*D85*Settings!$B$4</f>
        <v/>
      </c>
      <c r="I85">
        <f>CurrentPositions!I80</f>
        <v/>
      </c>
      <c r="J85">
        <f>CurrentPositions!J80</f>
        <v/>
      </c>
    </row>
    <row r="86">
      <c r="A86">
        <f>CurrentPositions!A81</f>
        <v/>
      </c>
      <c r="B86">
        <f>CurrentPositions!B81</f>
        <v/>
      </c>
      <c r="C86">
        <f>CurrentPositions!C81</f>
        <v/>
      </c>
      <c r="D86">
        <f>CurrentPositions!D81</f>
        <v/>
      </c>
      <c r="E86">
        <f>CurrentPositions!E81</f>
        <v/>
      </c>
      <c r="F86">
        <f>$B$4</f>
        <v/>
      </c>
      <c r="G86">
        <f>IF(B86="BUY",(F86-E86)/Settings!$B$3,(E86-F86)/Settings!$B$3)</f>
        <v/>
      </c>
      <c r="H86">
        <f>G86*D86*Settings!$B$4</f>
        <v/>
      </c>
      <c r="I86">
        <f>CurrentPositions!I81</f>
        <v/>
      </c>
      <c r="J86">
        <f>CurrentPositions!J81</f>
        <v/>
      </c>
    </row>
    <row r="87">
      <c r="A87">
        <f>CurrentPositions!A82</f>
        <v/>
      </c>
      <c r="B87">
        <f>CurrentPositions!B82</f>
        <v/>
      </c>
      <c r="C87">
        <f>CurrentPositions!C82</f>
        <v/>
      </c>
      <c r="D87">
        <f>CurrentPositions!D82</f>
        <v/>
      </c>
      <c r="E87">
        <f>CurrentPositions!E82</f>
        <v/>
      </c>
      <c r="F87">
        <f>$B$4</f>
        <v/>
      </c>
      <c r="G87">
        <f>IF(B87="BUY",(F87-E87)/Settings!$B$3,(E87-F87)/Settings!$B$3)</f>
        <v/>
      </c>
      <c r="H87">
        <f>G87*D87*Settings!$B$4</f>
        <v/>
      </c>
      <c r="I87">
        <f>CurrentPositions!I82</f>
        <v/>
      </c>
      <c r="J87">
        <f>CurrentPositions!J82</f>
        <v/>
      </c>
    </row>
    <row r="88">
      <c r="A88">
        <f>CurrentPositions!A83</f>
        <v/>
      </c>
      <c r="B88">
        <f>CurrentPositions!B83</f>
        <v/>
      </c>
      <c r="C88">
        <f>CurrentPositions!C83</f>
        <v/>
      </c>
      <c r="D88">
        <f>CurrentPositions!D83</f>
        <v/>
      </c>
      <c r="E88">
        <f>CurrentPositions!E83</f>
        <v/>
      </c>
      <c r="F88">
        <f>$B$4</f>
        <v/>
      </c>
      <c r="G88">
        <f>IF(B88="BUY",(F88-E88)/Settings!$B$3,(E88-F88)/Settings!$B$3)</f>
        <v/>
      </c>
      <c r="H88">
        <f>G88*D88*Settings!$B$4</f>
        <v/>
      </c>
      <c r="I88">
        <f>CurrentPositions!I83</f>
        <v/>
      </c>
      <c r="J88">
        <f>CurrentPositions!J83</f>
        <v/>
      </c>
    </row>
    <row r="89">
      <c r="A89">
        <f>CurrentPositions!A84</f>
        <v/>
      </c>
      <c r="B89">
        <f>CurrentPositions!B84</f>
        <v/>
      </c>
      <c r="C89">
        <f>CurrentPositions!C84</f>
        <v/>
      </c>
      <c r="D89">
        <f>CurrentPositions!D84</f>
        <v/>
      </c>
      <c r="E89">
        <f>CurrentPositions!E84</f>
        <v/>
      </c>
      <c r="F89">
        <f>$B$4</f>
        <v/>
      </c>
      <c r="G89">
        <f>IF(B89="BUY",(F89-E89)/Settings!$B$3,(E89-F89)/Settings!$B$3)</f>
        <v/>
      </c>
      <c r="H89">
        <f>G89*D89*Settings!$B$4</f>
        <v/>
      </c>
      <c r="I89">
        <f>CurrentPositions!I84</f>
        <v/>
      </c>
      <c r="J89">
        <f>CurrentPositions!J84</f>
        <v/>
      </c>
    </row>
    <row r="90">
      <c r="A90">
        <f>CurrentPositions!A85</f>
        <v/>
      </c>
      <c r="B90">
        <f>CurrentPositions!B85</f>
        <v/>
      </c>
      <c r="C90">
        <f>CurrentPositions!C85</f>
        <v/>
      </c>
      <c r="D90">
        <f>CurrentPositions!D85</f>
        <v/>
      </c>
      <c r="E90">
        <f>CurrentPositions!E85</f>
        <v/>
      </c>
      <c r="F90">
        <f>$B$4</f>
        <v/>
      </c>
      <c r="G90">
        <f>IF(B90="BUY",(F90-E90)/Settings!$B$3,(E90-F90)/Settings!$B$3)</f>
        <v/>
      </c>
      <c r="H90">
        <f>G90*D90*Settings!$B$4</f>
        <v/>
      </c>
      <c r="I90">
        <f>CurrentPositions!I85</f>
        <v/>
      </c>
      <c r="J90">
        <f>CurrentPositions!J85</f>
        <v/>
      </c>
    </row>
    <row r="91">
      <c r="A91">
        <f>CurrentPositions!A86</f>
        <v/>
      </c>
      <c r="B91">
        <f>CurrentPositions!B86</f>
        <v/>
      </c>
      <c r="C91">
        <f>CurrentPositions!C86</f>
        <v/>
      </c>
      <c r="D91">
        <f>CurrentPositions!D86</f>
        <v/>
      </c>
      <c r="E91">
        <f>CurrentPositions!E86</f>
        <v/>
      </c>
      <c r="F91">
        <f>$B$4</f>
        <v/>
      </c>
      <c r="G91">
        <f>IF(B91="BUY",(F91-E91)/Settings!$B$3,(E91-F91)/Settings!$B$3)</f>
        <v/>
      </c>
      <c r="H91">
        <f>G91*D91*Settings!$B$4</f>
        <v/>
      </c>
      <c r="I91">
        <f>CurrentPositions!I86</f>
        <v/>
      </c>
      <c r="J91">
        <f>CurrentPositions!J86</f>
        <v/>
      </c>
    </row>
    <row r="92">
      <c r="A92">
        <f>CurrentPositions!A87</f>
        <v/>
      </c>
      <c r="B92">
        <f>CurrentPositions!B87</f>
        <v/>
      </c>
      <c r="C92">
        <f>CurrentPositions!C87</f>
        <v/>
      </c>
      <c r="D92">
        <f>CurrentPositions!D87</f>
        <v/>
      </c>
      <c r="E92">
        <f>CurrentPositions!E87</f>
        <v/>
      </c>
      <c r="F92">
        <f>$B$4</f>
        <v/>
      </c>
      <c r="G92">
        <f>IF(B92="BUY",(F92-E92)/Settings!$B$3,(E92-F92)/Settings!$B$3)</f>
        <v/>
      </c>
      <c r="H92">
        <f>G92*D92*Settings!$B$4</f>
        <v/>
      </c>
      <c r="I92">
        <f>CurrentPositions!I87</f>
        <v/>
      </c>
      <c r="J92">
        <f>CurrentPositions!J87</f>
        <v/>
      </c>
    </row>
    <row r="93">
      <c r="A93">
        <f>CurrentPositions!A88</f>
        <v/>
      </c>
      <c r="B93">
        <f>CurrentPositions!B88</f>
        <v/>
      </c>
      <c r="C93">
        <f>CurrentPositions!C88</f>
        <v/>
      </c>
      <c r="D93">
        <f>CurrentPositions!D88</f>
        <v/>
      </c>
      <c r="E93">
        <f>CurrentPositions!E88</f>
        <v/>
      </c>
      <c r="F93">
        <f>$B$4</f>
        <v/>
      </c>
      <c r="G93">
        <f>IF(B93="BUY",(F93-E93)/Settings!$B$3,(E93-F93)/Settings!$B$3)</f>
        <v/>
      </c>
      <c r="H93">
        <f>G93*D93*Settings!$B$4</f>
        <v/>
      </c>
      <c r="I93">
        <f>CurrentPositions!I88</f>
        <v/>
      </c>
      <c r="J93">
        <f>CurrentPositions!J88</f>
        <v/>
      </c>
    </row>
    <row r="94">
      <c r="A94">
        <f>CurrentPositions!A89</f>
        <v/>
      </c>
      <c r="B94">
        <f>CurrentPositions!B89</f>
        <v/>
      </c>
      <c r="C94">
        <f>CurrentPositions!C89</f>
        <v/>
      </c>
      <c r="D94">
        <f>CurrentPositions!D89</f>
        <v/>
      </c>
      <c r="E94">
        <f>CurrentPositions!E89</f>
        <v/>
      </c>
      <c r="F94">
        <f>$B$4</f>
        <v/>
      </c>
      <c r="G94">
        <f>IF(B94="BUY",(F94-E94)/Settings!$B$3,(E94-F94)/Settings!$B$3)</f>
        <v/>
      </c>
      <c r="H94">
        <f>G94*D94*Settings!$B$4</f>
        <v/>
      </c>
      <c r="I94">
        <f>CurrentPositions!I89</f>
        <v/>
      </c>
      <c r="J94">
        <f>CurrentPositions!J89</f>
        <v/>
      </c>
    </row>
    <row r="95">
      <c r="A95">
        <f>CurrentPositions!A90</f>
        <v/>
      </c>
      <c r="B95">
        <f>CurrentPositions!B90</f>
        <v/>
      </c>
      <c r="C95">
        <f>CurrentPositions!C90</f>
        <v/>
      </c>
      <c r="D95">
        <f>CurrentPositions!D90</f>
        <v/>
      </c>
      <c r="E95">
        <f>CurrentPositions!E90</f>
        <v/>
      </c>
      <c r="F95">
        <f>$B$4</f>
        <v/>
      </c>
      <c r="G95">
        <f>IF(B95="BUY",(F95-E95)/Settings!$B$3,(E95-F95)/Settings!$B$3)</f>
        <v/>
      </c>
      <c r="H95">
        <f>G95*D95*Settings!$B$4</f>
        <v/>
      </c>
      <c r="I95">
        <f>CurrentPositions!I90</f>
        <v/>
      </c>
      <c r="J95">
        <f>CurrentPositions!J90</f>
        <v/>
      </c>
    </row>
    <row r="96">
      <c r="A96">
        <f>CurrentPositions!A91</f>
        <v/>
      </c>
      <c r="B96">
        <f>CurrentPositions!B91</f>
        <v/>
      </c>
      <c r="C96">
        <f>CurrentPositions!C91</f>
        <v/>
      </c>
      <c r="D96">
        <f>CurrentPositions!D91</f>
        <v/>
      </c>
      <c r="E96">
        <f>CurrentPositions!E91</f>
        <v/>
      </c>
      <c r="F96">
        <f>$B$4</f>
        <v/>
      </c>
      <c r="G96">
        <f>IF(B96="BUY",(F96-E96)/Settings!$B$3,(E96-F96)/Settings!$B$3)</f>
        <v/>
      </c>
      <c r="H96">
        <f>G96*D96*Settings!$B$4</f>
        <v/>
      </c>
      <c r="I96">
        <f>CurrentPositions!I91</f>
        <v/>
      </c>
      <c r="J96">
        <f>CurrentPositions!J91</f>
        <v/>
      </c>
    </row>
    <row r="97">
      <c r="A97">
        <f>CurrentPositions!A92</f>
        <v/>
      </c>
      <c r="B97">
        <f>CurrentPositions!B92</f>
        <v/>
      </c>
      <c r="C97">
        <f>CurrentPositions!C92</f>
        <v/>
      </c>
      <c r="D97">
        <f>CurrentPositions!D92</f>
        <v/>
      </c>
      <c r="E97">
        <f>CurrentPositions!E92</f>
        <v/>
      </c>
      <c r="F97">
        <f>$B$4</f>
        <v/>
      </c>
      <c r="G97">
        <f>IF(B97="BUY",(F97-E97)/Settings!$B$3,(E97-F97)/Settings!$B$3)</f>
        <v/>
      </c>
      <c r="H97">
        <f>G97*D97*Settings!$B$4</f>
        <v/>
      </c>
      <c r="I97">
        <f>CurrentPositions!I92</f>
        <v/>
      </c>
      <c r="J97">
        <f>CurrentPositions!J92</f>
        <v/>
      </c>
    </row>
    <row r="98">
      <c r="A98">
        <f>CurrentPositions!A93</f>
        <v/>
      </c>
      <c r="B98">
        <f>CurrentPositions!B93</f>
        <v/>
      </c>
      <c r="C98">
        <f>CurrentPositions!C93</f>
        <v/>
      </c>
      <c r="D98">
        <f>CurrentPositions!D93</f>
        <v/>
      </c>
      <c r="E98">
        <f>CurrentPositions!E93</f>
        <v/>
      </c>
      <c r="F98">
        <f>$B$4</f>
        <v/>
      </c>
      <c r="G98">
        <f>IF(B98="BUY",(F98-E98)/Settings!$B$3,(E98-F98)/Settings!$B$3)</f>
        <v/>
      </c>
      <c r="H98">
        <f>G98*D98*Settings!$B$4</f>
        <v/>
      </c>
      <c r="I98">
        <f>CurrentPositions!I93</f>
        <v/>
      </c>
      <c r="J98">
        <f>CurrentPositions!J93</f>
        <v/>
      </c>
    </row>
    <row r="99">
      <c r="A99">
        <f>CurrentPositions!A94</f>
        <v/>
      </c>
      <c r="B99">
        <f>CurrentPositions!B94</f>
        <v/>
      </c>
      <c r="C99">
        <f>CurrentPositions!C94</f>
        <v/>
      </c>
      <c r="D99">
        <f>CurrentPositions!D94</f>
        <v/>
      </c>
      <c r="E99">
        <f>CurrentPositions!E94</f>
        <v/>
      </c>
      <c r="F99">
        <f>$B$4</f>
        <v/>
      </c>
      <c r="G99">
        <f>IF(B99="BUY",(F99-E99)/Settings!$B$3,(E99-F99)/Settings!$B$3)</f>
        <v/>
      </c>
      <c r="H99">
        <f>G99*D99*Settings!$B$4</f>
        <v/>
      </c>
      <c r="I99">
        <f>CurrentPositions!I94</f>
        <v/>
      </c>
      <c r="J99">
        <f>CurrentPositions!J94</f>
        <v/>
      </c>
    </row>
    <row r="100">
      <c r="A100">
        <f>CurrentPositions!A95</f>
        <v/>
      </c>
      <c r="B100">
        <f>CurrentPositions!B95</f>
        <v/>
      </c>
      <c r="C100">
        <f>CurrentPositions!C95</f>
        <v/>
      </c>
      <c r="D100">
        <f>CurrentPositions!D95</f>
        <v/>
      </c>
      <c r="E100">
        <f>CurrentPositions!E95</f>
        <v/>
      </c>
      <c r="F100">
        <f>$B$4</f>
        <v/>
      </c>
      <c r="G100">
        <f>IF(B100="BUY",(F100-E100)/Settings!$B$3,(E100-F100)/Settings!$B$3)</f>
        <v/>
      </c>
      <c r="H100">
        <f>G100*D100*Settings!$B$4</f>
        <v/>
      </c>
      <c r="I100">
        <f>CurrentPositions!I95</f>
        <v/>
      </c>
      <c r="J100">
        <f>CurrentPositions!J95</f>
        <v/>
      </c>
    </row>
    <row r="101">
      <c r="A101">
        <f>CurrentPositions!A96</f>
        <v/>
      </c>
      <c r="B101">
        <f>CurrentPositions!B96</f>
        <v/>
      </c>
      <c r="C101">
        <f>CurrentPositions!C96</f>
        <v/>
      </c>
      <c r="D101">
        <f>CurrentPositions!D96</f>
        <v/>
      </c>
      <c r="E101">
        <f>CurrentPositions!E96</f>
        <v/>
      </c>
      <c r="F101">
        <f>$B$4</f>
        <v/>
      </c>
      <c r="G101">
        <f>IF(B101="BUY",(F101-E101)/Settings!$B$3,(E101-F101)/Settings!$B$3)</f>
        <v/>
      </c>
      <c r="H101">
        <f>G101*D101*Settings!$B$4</f>
        <v/>
      </c>
      <c r="I101">
        <f>CurrentPositions!I96</f>
        <v/>
      </c>
      <c r="J101">
        <f>CurrentPositions!J96</f>
        <v/>
      </c>
    </row>
    <row r="102">
      <c r="A102">
        <f>CurrentPositions!A97</f>
        <v/>
      </c>
      <c r="B102">
        <f>CurrentPositions!B97</f>
        <v/>
      </c>
      <c r="C102">
        <f>CurrentPositions!C97</f>
        <v/>
      </c>
      <c r="D102">
        <f>CurrentPositions!D97</f>
        <v/>
      </c>
      <c r="E102">
        <f>CurrentPositions!E97</f>
        <v/>
      </c>
      <c r="F102">
        <f>$B$4</f>
        <v/>
      </c>
      <c r="G102">
        <f>IF(B102="BUY",(F102-E102)/Settings!$B$3,(E102-F102)/Settings!$B$3)</f>
        <v/>
      </c>
      <c r="H102">
        <f>G102*D102*Settings!$B$4</f>
        <v/>
      </c>
      <c r="I102">
        <f>CurrentPositions!I97</f>
        <v/>
      </c>
      <c r="J102">
        <f>CurrentPositions!J97</f>
        <v/>
      </c>
    </row>
    <row r="103">
      <c r="A103">
        <f>CurrentPositions!A98</f>
        <v/>
      </c>
      <c r="B103">
        <f>CurrentPositions!B98</f>
        <v/>
      </c>
      <c r="C103">
        <f>CurrentPositions!C98</f>
        <v/>
      </c>
      <c r="D103">
        <f>CurrentPositions!D98</f>
        <v/>
      </c>
      <c r="E103">
        <f>CurrentPositions!E98</f>
        <v/>
      </c>
      <c r="F103">
        <f>$B$4</f>
        <v/>
      </c>
      <c r="G103">
        <f>IF(B103="BUY",(F103-E103)/Settings!$B$3,(E103-F103)/Settings!$B$3)</f>
        <v/>
      </c>
      <c r="H103">
        <f>G103*D103*Settings!$B$4</f>
        <v/>
      </c>
      <c r="I103">
        <f>CurrentPositions!I98</f>
        <v/>
      </c>
      <c r="J103">
        <f>CurrentPositions!J98</f>
        <v/>
      </c>
    </row>
    <row r="104">
      <c r="A104">
        <f>CurrentPositions!A99</f>
        <v/>
      </c>
      <c r="B104">
        <f>CurrentPositions!B99</f>
        <v/>
      </c>
      <c r="C104">
        <f>CurrentPositions!C99</f>
        <v/>
      </c>
      <c r="D104">
        <f>CurrentPositions!D99</f>
        <v/>
      </c>
      <c r="E104">
        <f>CurrentPositions!E99</f>
        <v/>
      </c>
      <c r="F104">
        <f>$B$4</f>
        <v/>
      </c>
      <c r="G104">
        <f>IF(B104="BUY",(F104-E104)/Settings!$B$3,(E104-F104)/Settings!$B$3)</f>
        <v/>
      </c>
      <c r="H104">
        <f>G104*D104*Settings!$B$4</f>
        <v/>
      </c>
      <c r="I104">
        <f>CurrentPositions!I99</f>
        <v/>
      </c>
      <c r="J104">
        <f>CurrentPositions!J99</f>
        <v/>
      </c>
    </row>
    <row r="105">
      <c r="A105">
        <f>CurrentPositions!A100</f>
        <v/>
      </c>
      <c r="B105">
        <f>CurrentPositions!B100</f>
        <v/>
      </c>
      <c r="C105">
        <f>CurrentPositions!C100</f>
        <v/>
      </c>
      <c r="D105">
        <f>CurrentPositions!D100</f>
        <v/>
      </c>
      <c r="E105">
        <f>CurrentPositions!E100</f>
        <v/>
      </c>
      <c r="F105">
        <f>$B$4</f>
        <v/>
      </c>
      <c r="G105">
        <f>IF(B105="BUY",(F105-E105)/Settings!$B$3,(E105-F105)/Settings!$B$3)</f>
        <v/>
      </c>
      <c r="H105">
        <f>G105*D105*Settings!$B$4</f>
        <v/>
      </c>
      <c r="I105">
        <f>CurrentPositions!I100</f>
        <v/>
      </c>
      <c r="J105">
        <f>CurrentPositions!J100</f>
        <v/>
      </c>
    </row>
    <row r="106">
      <c r="A106">
        <f>CurrentPositions!A101</f>
        <v/>
      </c>
      <c r="B106">
        <f>CurrentPositions!B101</f>
        <v/>
      </c>
      <c r="C106">
        <f>CurrentPositions!C101</f>
        <v/>
      </c>
      <c r="D106">
        <f>CurrentPositions!D101</f>
        <v/>
      </c>
      <c r="E106">
        <f>CurrentPositions!E101</f>
        <v/>
      </c>
      <c r="F106">
        <f>$B$4</f>
        <v/>
      </c>
      <c r="G106">
        <f>IF(B106="BUY",(F106-E106)/Settings!$B$3,(E106-F106)/Settings!$B$3)</f>
        <v/>
      </c>
      <c r="H106">
        <f>G106*D106*Settings!$B$4</f>
        <v/>
      </c>
      <c r="I106">
        <f>CurrentPositions!I101</f>
        <v/>
      </c>
      <c r="J106">
        <f>CurrentPositions!J101</f>
        <v/>
      </c>
    </row>
    <row r="107">
      <c r="A107">
        <f>CurrentPositions!A102</f>
        <v/>
      </c>
      <c r="B107">
        <f>CurrentPositions!B102</f>
        <v/>
      </c>
      <c r="C107">
        <f>CurrentPositions!C102</f>
        <v/>
      </c>
      <c r="D107">
        <f>CurrentPositions!D102</f>
        <v/>
      </c>
      <c r="E107">
        <f>CurrentPositions!E102</f>
        <v/>
      </c>
      <c r="F107">
        <f>$B$4</f>
        <v/>
      </c>
      <c r="G107">
        <f>IF(B107="BUY",(F107-E107)/Settings!$B$3,(E107-F107)/Settings!$B$3)</f>
        <v/>
      </c>
      <c r="H107">
        <f>G107*D107*Settings!$B$4</f>
        <v/>
      </c>
      <c r="I107">
        <f>CurrentPositions!I102</f>
        <v/>
      </c>
      <c r="J107">
        <f>CurrentPositions!J102</f>
        <v/>
      </c>
    </row>
    <row r="108">
      <c r="A108">
        <f>CurrentPositions!A103</f>
        <v/>
      </c>
      <c r="B108">
        <f>CurrentPositions!B103</f>
        <v/>
      </c>
      <c r="C108">
        <f>CurrentPositions!C103</f>
        <v/>
      </c>
      <c r="D108">
        <f>CurrentPositions!D103</f>
        <v/>
      </c>
      <c r="E108">
        <f>CurrentPositions!E103</f>
        <v/>
      </c>
      <c r="F108">
        <f>$B$4</f>
        <v/>
      </c>
      <c r="G108">
        <f>IF(B108="BUY",(F108-E108)/Settings!$B$3,(E108-F108)/Settings!$B$3)</f>
        <v/>
      </c>
      <c r="H108">
        <f>G108*D108*Settings!$B$4</f>
        <v/>
      </c>
      <c r="I108">
        <f>CurrentPositions!I103</f>
        <v/>
      </c>
      <c r="J108">
        <f>CurrentPositions!J103</f>
        <v/>
      </c>
    </row>
    <row r="109">
      <c r="A109">
        <f>CurrentPositions!A104</f>
        <v/>
      </c>
      <c r="B109">
        <f>CurrentPositions!B104</f>
        <v/>
      </c>
      <c r="C109">
        <f>CurrentPositions!C104</f>
        <v/>
      </c>
      <c r="D109">
        <f>CurrentPositions!D104</f>
        <v/>
      </c>
      <c r="E109">
        <f>CurrentPositions!E104</f>
        <v/>
      </c>
      <c r="F109">
        <f>$B$4</f>
        <v/>
      </c>
      <c r="G109">
        <f>IF(B109="BUY",(F109-E109)/Settings!$B$3,(E109-F109)/Settings!$B$3)</f>
        <v/>
      </c>
      <c r="H109">
        <f>G109*D109*Settings!$B$4</f>
        <v/>
      </c>
      <c r="I109">
        <f>CurrentPositions!I104</f>
        <v/>
      </c>
      <c r="J109">
        <f>CurrentPositions!J104</f>
        <v/>
      </c>
    </row>
    <row r="110">
      <c r="A110">
        <f>CurrentPositions!A105</f>
        <v/>
      </c>
      <c r="B110">
        <f>CurrentPositions!B105</f>
        <v/>
      </c>
      <c r="C110">
        <f>CurrentPositions!C105</f>
        <v/>
      </c>
      <c r="D110">
        <f>CurrentPositions!D105</f>
        <v/>
      </c>
      <c r="E110">
        <f>CurrentPositions!E105</f>
        <v/>
      </c>
      <c r="F110">
        <f>$B$4</f>
        <v/>
      </c>
      <c r="G110">
        <f>IF(B110="BUY",(F110-E110)/Settings!$B$3,(E110-F110)/Settings!$B$3)</f>
        <v/>
      </c>
      <c r="H110">
        <f>G110*D110*Settings!$B$4</f>
        <v/>
      </c>
      <c r="I110">
        <f>CurrentPositions!I105</f>
        <v/>
      </c>
      <c r="J110">
        <f>CurrentPositions!J105</f>
        <v/>
      </c>
    </row>
    <row r="111">
      <c r="A111">
        <f>CurrentPositions!A106</f>
        <v/>
      </c>
      <c r="B111">
        <f>CurrentPositions!B106</f>
        <v/>
      </c>
      <c r="C111">
        <f>CurrentPositions!C106</f>
        <v/>
      </c>
      <c r="D111">
        <f>CurrentPositions!D106</f>
        <v/>
      </c>
      <c r="E111">
        <f>CurrentPositions!E106</f>
        <v/>
      </c>
      <c r="F111">
        <f>$B$4</f>
        <v/>
      </c>
      <c r="G111">
        <f>IF(B111="BUY",(F111-E111)/Settings!$B$3,(E111-F111)/Settings!$B$3)</f>
        <v/>
      </c>
      <c r="H111">
        <f>G111*D111*Settings!$B$4</f>
        <v/>
      </c>
      <c r="I111">
        <f>CurrentPositions!I106</f>
        <v/>
      </c>
      <c r="J111">
        <f>CurrentPositions!J106</f>
        <v/>
      </c>
    </row>
    <row r="112">
      <c r="A112">
        <f>CurrentPositions!A107</f>
        <v/>
      </c>
      <c r="B112">
        <f>CurrentPositions!B107</f>
        <v/>
      </c>
      <c r="C112">
        <f>CurrentPositions!C107</f>
        <v/>
      </c>
      <c r="D112">
        <f>CurrentPositions!D107</f>
        <v/>
      </c>
      <c r="E112">
        <f>CurrentPositions!E107</f>
        <v/>
      </c>
      <c r="F112">
        <f>$B$4</f>
        <v/>
      </c>
      <c r="G112">
        <f>IF(B112="BUY",(F112-E112)/Settings!$B$3,(E112-F112)/Settings!$B$3)</f>
        <v/>
      </c>
      <c r="H112">
        <f>G112*D112*Settings!$B$4</f>
        <v/>
      </c>
      <c r="I112">
        <f>CurrentPositions!I107</f>
        <v/>
      </c>
      <c r="J112">
        <f>CurrentPositions!J107</f>
        <v/>
      </c>
    </row>
    <row r="113">
      <c r="A113">
        <f>CurrentPositions!A108</f>
        <v/>
      </c>
      <c r="B113">
        <f>CurrentPositions!B108</f>
        <v/>
      </c>
      <c r="C113">
        <f>CurrentPositions!C108</f>
        <v/>
      </c>
      <c r="D113">
        <f>CurrentPositions!D108</f>
        <v/>
      </c>
      <c r="E113">
        <f>CurrentPositions!E108</f>
        <v/>
      </c>
      <c r="F113">
        <f>$B$4</f>
        <v/>
      </c>
      <c r="G113">
        <f>IF(B113="BUY",(F113-E113)/Settings!$B$3,(E113-F113)/Settings!$B$3)</f>
        <v/>
      </c>
      <c r="H113">
        <f>G113*D113*Settings!$B$4</f>
        <v/>
      </c>
      <c r="I113">
        <f>CurrentPositions!I108</f>
        <v/>
      </c>
      <c r="J113">
        <f>CurrentPositions!J108</f>
        <v/>
      </c>
    </row>
    <row r="114">
      <c r="A114">
        <f>CurrentPositions!A109</f>
        <v/>
      </c>
      <c r="B114">
        <f>CurrentPositions!B109</f>
        <v/>
      </c>
      <c r="C114">
        <f>CurrentPositions!C109</f>
        <v/>
      </c>
      <c r="D114">
        <f>CurrentPositions!D109</f>
        <v/>
      </c>
      <c r="E114">
        <f>CurrentPositions!E109</f>
        <v/>
      </c>
      <c r="F114">
        <f>$B$4</f>
        <v/>
      </c>
      <c r="G114">
        <f>IF(B114="BUY",(F114-E114)/Settings!$B$3,(E114-F114)/Settings!$B$3)</f>
        <v/>
      </c>
      <c r="H114">
        <f>G114*D114*Settings!$B$4</f>
        <v/>
      </c>
      <c r="I114">
        <f>CurrentPositions!I109</f>
        <v/>
      </c>
      <c r="J114">
        <f>CurrentPositions!J109</f>
        <v/>
      </c>
    </row>
    <row r="115">
      <c r="A115">
        <f>CurrentPositions!A110</f>
        <v/>
      </c>
      <c r="B115">
        <f>CurrentPositions!B110</f>
        <v/>
      </c>
      <c r="C115">
        <f>CurrentPositions!C110</f>
        <v/>
      </c>
      <c r="D115">
        <f>CurrentPositions!D110</f>
        <v/>
      </c>
      <c r="E115">
        <f>CurrentPositions!E110</f>
        <v/>
      </c>
      <c r="F115">
        <f>$B$4</f>
        <v/>
      </c>
      <c r="G115">
        <f>IF(B115="BUY",(F115-E115)/Settings!$B$3,(E115-F115)/Settings!$B$3)</f>
        <v/>
      </c>
      <c r="H115">
        <f>G115*D115*Settings!$B$4</f>
        <v/>
      </c>
      <c r="I115">
        <f>CurrentPositions!I110</f>
        <v/>
      </c>
      <c r="J115">
        <f>CurrentPositions!J110</f>
        <v/>
      </c>
    </row>
    <row r="116">
      <c r="A116">
        <f>CurrentPositions!A111</f>
        <v/>
      </c>
      <c r="B116">
        <f>CurrentPositions!B111</f>
        <v/>
      </c>
      <c r="C116">
        <f>CurrentPositions!C111</f>
        <v/>
      </c>
      <c r="D116">
        <f>CurrentPositions!D111</f>
        <v/>
      </c>
      <c r="E116">
        <f>CurrentPositions!E111</f>
        <v/>
      </c>
      <c r="F116">
        <f>$B$4</f>
        <v/>
      </c>
      <c r="G116">
        <f>IF(B116="BUY",(F116-E116)/Settings!$B$3,(E116-F116)/Settings!$B$3)</f>
        <v/>
      </c>
      <c r="H116">
        <f>G116*D116*Settings!$B$4</f>
        <v/>
      </c>
      <c r="I116">
        <f>CurrentPositions!I111</f>
        <v/>
      </c>
      <c r="J116">
        <f>CurrentPositions!J111</f>
        <v/>
      </c>
    </row>
    <row r="117">
      <c r="A117">
        <f>CurrentPositions!A112</f>
        <v/>
      </c>
      <c r="B117">
        <f>CurrentPositions!B112</f>
        <v/>
      </c>
      <c r="C117">
        <f>CurrentPositions!C112</f>
        <v/>
      </c>
      <c r="D117">
        <f>CurrentPositions!D112</f>
        <v/>
      </c>
      <c r="E117">
        <f>CurrentPositions!E112</f>
        <v/>
      </c>
      <c r="F117">
        <f>$B$4</f>
        <v/>
      </c>
      <c r="G117">
        <f>IF(B117="BUY",(F117-E117)/Settings!$B$3,(E117-F117)/Settings!$B$3)</f>
        <v/>
      </c>
      <c r="H117">
        <f>G117*D117*Settings!$B$4</f>
        <v/>
      </c>
      <c r="I117">
        <f>CurrentPositions!I112</f>
        <v/>
      </c>
      <c r="J117">
        <f>CurrentPositions!J112</f>
        <v/>
      </c>
    </row>
    <row r="118">
      <c r="A118">
        <f>CurrentPositions!A113</f>
        <v/>
      </c>
      <c r="B118">
        <f>CurrentPositions!B113</f>
        <v/>
      </c>
      <c r="C118">
        <f>CurrentPositions!C113</f>
        <v/>
      </c>
      <c r="D118">
        <f>CurrentPositions!D113</f>
        <v/>
      </c>
      <c r="E118">
        <f>CurrentPositions!E113</f>
        <v/>
      </c>
      <c r="F118">
        <f>$B$4</f>
        <v/>
      </c>
      <c r="G118">
        <f>IF(B118="BUY",(F118-E118)/Settings!$B$3,(E118-F118)/Settings!$B$3)</f>
        <v/>
      </c>
      <c r="H118">
        <f>G118*D118*Settings!$B$4</f>
        <v/>
      </c>
      <c r="I118">
        <f>CurrentPositions!I113</f>
        <v/>
      </c>
      <c r="J118">
        <f>CurrentPositions!J113</f>
        <v/>
      </c>
    </row>
    <row r="119">
      <c r="A119">
        <f>CurrentPositions!A114</f>
        <v/>
      </c>
      <c r="B119">
        <f>CurrentPositions!B114</f>
        <v/>
      </c>
      <c r="C119">
        <f>CurrentPositions!C114</f>
        <v/>
      </c>
      <c r="D119">
        <f>CurrentPositions!D114</f>
        <v/>
      </c>
      <c r="E119">
        <f>CurrentPositions!E114</f>
        <v/>
      </c>
      <c r="F119">
        <f>$B$4</f>
        <v/>
      </c>
      <c r="G119">
        <f>IF(B119="BUY",(F119-E119)/Settings!$B$3,(E119-F119)/Settings!$B$3)</f>
        <v/>
      </c>
      <c r="H119">
        <f>G119*D119*Settings!$B$4</f>
        <v/>
      </c>
      <c r="I119">
        <f>CurrentPositions!I114</f>
        <v/>
      </c>
      <c r="J119">
        <f>CurrentPositions!J114</f>
        <v/>
      </c>
    </row>
    <row r="120">
      <c r="A120">
        <f>CurrentPositions!A115</f>
        <v/>
      </c>
      <c r="B120">
        <f>CurrentPositions!B115</f>
        <v/>
      </c>
      <c r="C120">
        <f>CurrentPositions!C115</f>
        <v/>
      </c>
      <c r="D120">
        <f>CurrentPositions!D115</f>
        <v/>
      </c>
      <c r="E120">
        <f>CurrentPositions!E115</f>
        <v/>
      </c>
      <c r="F120">
        <f>$B$4</f>
        <v/>
      </c>
      <c r="G120">
        <f>IF(B120="BUY",(F120-E120)/Settings!$B$3,(E120-F120)/Settings!$B$3)</f>
        <v/>
      </c>
      <c r="H120">
        <f>G120*D120*Settings!$B$4</f>
        <v/>
      </c>
      <c r="I120">
        <f>CurrentPositions!I115</f>
        <v/>
      </c>
      <c r="J120">
        <f>CurrentPositions!J115</f>
        <v/>
      </c>
    </row>
    <row r="121">
      <c r="A121">
        <f>CurrentPositions!A116</f>
        <v/>
      </c>
      <c r="B121">
        <f>CurrentPositions!B116</f>
        <v/>
      </c>
      <c r="C121">
        <f>CurrentPositions!C116</f>
        <v/>
      </c>
      <c r="D121">
        <f>CurrentPositions!D116</f>
        <v/>
      </c>
      <c r="E121">
        <f>CurrentPositions!E116</f>
        <v/>
      </c>
      <c r="F121">
        <f>$B$4</f>
        <v/>
      </c>
      <c r="G121">
        <f>IF(B121="BUY",(F121-E121)/Settings!$B$3,(E121-F121)/Settings!$B$3)</f>
        <v/>
      </c>
      <c r="H121">
        <f>G121*D121*Settings!$B$4</f>
        <v/>
      </c>
      <c r="I121">
        <f>CurrentPositions!I116</f>
        <v/>
      </c>
      <c r="J121">
        <f>CurrentPositions!J116</f>
        <v/>
      </c>
    </row>
    <row r="122">
      <c r="A122">
        <f>CurrentPositions!A117</f>
        <v/>
      </c>
      <c r="B122">
        <f>CurrentPositions!B117</f>
        <v/>
      </c>
      <c r="C122">
        <f>CurrentPositions!C117</f>
        <v/>
      </c>
      <c r="D122">
        <f>CurrentPositions!D117</f>
        <v/>
      </c>
      <c r="E122">
        <f>CurrentPositions!E117</f>
        <v/>
      </c>
      <c r="F122">
        <f>$B$4</f>
        <v/>
      </c>
      <c r="G122">
        <f>IF(B122="BUY",(F122-E122)/Settings!$B$3,(E122-F122)/Settings!$B$3)</f>
        <v/>
      </c>
      <c r="H122">
        <f>G122*D122*Settings!$B$4</f>
        <v/>
      </c>
      <c r="I122">
        <f>CurrentPositions!I117</f>
        <v/>
      </c>
      <c r="J122">
        <f>CurrentPositions!J117</f>
        <v/>
      </c>
    </row>
    <row r="123">
      <c r="A123">
        <f>CurrentPositions!A118</f>
        <v/>
      </c>
      <c r="B123">
        <f>CurrentPositions!B118</f>
        <v/>
      </c>
      <c r="C123">
        <f>CurrentPositions!C118</f>
        <v/>
      </c>
      <c r="D123">
        <f>CurrentPositions!D118</f>
        <v/>
      </c>
      <c r="E123">
        <f>CurrentPositions!E118</f>
        <v/>
      </c>
      <c r="F123">
        <f>$B$4</f>
        <v/>
      </c>
      <c r="G123">
        <f>IF(B123="BUY",(F123-E123)/Settings!$B$3,(E123-F123)/Settings!$B$3)</f>
        <v/>
      </c>
      <c r="H123">
        <f>G123*D123*Settings!$B$4</f>
        <v/>
      </c>
      <c r="I123">
        <f>CurrentPositions!I118</f>
        <v/>
      </c>
      <c r="J123">
        <f>CurrentPositions!J118</f>
        <v/>
      </c>
    </row>
    <row r="124">
      <c r="A124">
        <f>CurrentPositions!A119</f>
        <v/>
      </c>
      <c r="B124">
        <f>CurrentPositions!B119</f>
        <v/>
      </c>
      <c r="C124">
        <f>CurrentPositions!C119</f>
        <v/>
      </c>
      <c r="D124">
        <f>CurrentPositions!D119</f>
        <v/>
      </c>
      <c r="E124">
        <f>CurrentPositions!E119</f>
        <v/>
      </c>
      <c r="F124">
        <f>$B$4</f>
        <v/>
      </c>
      <c r="G124">
        <f>IF(B124="BUY",(F124-E124)/Settings!$B$3,(E124-F124)/Settings!$B$3)</f>
        <v/>
      </c>
      <c r="H124">
        <f>G124*D124*Settings!$B$4</f>
        <v/>
      </c>
      <c r="I124">
        <f>CurrentPositions!I119</f>
        <v/>
      </c>
      <c r="J124">
        <f>CurrentPositions!J119</f>
        <v/>
      </c>
    </row>
    <row r="125">
      <c r="A125">
        <f>CurrentPositions!A120</f>
        <v/>
      </c>
      <c r="B125">
        <f>CurrentPositions!B120</f>
        <v/>
      </c>
      <c r="C125">
        <f>CurrentPositions!C120</f>
        <v/>
      </c>
      <c r="D125">
        <f>CurrentPositions!D120</f>
        <v/>
      </c>
      <c r="E125">
        <f>CurrentPositions!E120</f>
        <v/>
      </c>
      <c r="F125">
        <f>$B$4</f>
        <v/>
      </c>
      <c r="G125">
        <f>IF(B125="BUY",(F125-E125)/Settings!$B$3,(E125-F125)/Settings!$B$3)</f>
        <v/>
      </c>
      <c r="H125">
        <f>G125*D125*Settings!$B$4</f>
        <v/>
      </c>
      <c r="I125">
        <f>CurrentPositions!I120</f>
        <v/>
      </c>
      <c r="J125">
        <f>CurrentPositions!J120</f>
        <v/>
      </c>
    </row>
    <row r="126">
      <c r="A126">
        <f>CurrentPositions!A121</f>
        <v/>
      </c>
      <c r="B126">
        <f>CurrentPositions!B121</f>
        <v/>
      </c>
      <c r="C126">
        <f>CurrentPositions!C121</f>
        <v/>
      </c>
      <c r="D126">
        <f>CurrentPositions!D121</f>
        <v/>
      </c>
      <c r="E126">
        <f>CurrentPositions!E121</f>
        <v/>
      </c>
      <c r="F126">
        <f>$B$4</f>
        <v/>
      </c>
      <c r="G126">
        <f>IF(B126="BUY",(F126-E126)/Settings!$B$3,(E126-F126)/Settings!$B$3)</f>
        <v/>
      </c>
      <c r="H126">
        <f>G126*D126*Settings!$B$4</f>
        <v/>
      </c>
      <c r="I126">
        <f>CurrentPositions!I121</f>
        <v/>
      </c>
      <c r="J126">
        <f>CurrentPositions!J121</f>
        <v/>
      </c>
    </row>
    <row r="127">
      <c r="A127">
        <f>CurrentPositions!A122</f>
        <v/>
      </c>
      <c r="B127">
        <f>CurrentPositions!B122</f>
        <v/>
      </c>
      <c r="C127">
        <f>CurrentPositions!C122</f>
        <v/>
      </c>
      <c r="D127">
        <f>CurrentPositions!D122</f>
        <v/>
      </c>
      <c r="E127">
        <f>CurrentPositions!E122</f>
        <v/>
      </c>
      <c r="F127">
        <f>$B$4</f>
        <v/>
      </c>
      <c r="G127">
        <f>IF(B127="BUY",(F127-E127)/Settings!$B$3,(E127-F127)/Settings!$B$3)</f>
        <v/>
      </c>
      <c r="H127">
        <f>G127*D127*Settings!$B$4</f>
        <v/>
      </c>
      <c r="I127">
        <f>CurrentPositions!I122</f>
        <v/>
      </c>
      <c r="J127">
        <f>CurrentPositions!J122</f>
        <v/>
      </c>
    </row>
    <row r="128">
      <c r="A128">
        <f>CurrentPositions!A123</f>
        <v/>
      </c>
      <c r="B128">
        <f>CurrentPositions!B123</f>
        <v/>
      </c>
      <c r="C128">
        <f>CurrentPositions!C123</f>
        <v/>
      </c>
      <c r="D128">
        <f>CurrentPositions!D123</f>
        <v/>
      </c>
      <c r="E128">
        <f>CurrentPositions!E123</f>
        <v/>
      </c>
      <c r="F128">
        <f>$B$4</f>
        <v/>
      </c>
      <c r="G128">
        <f>IF(B128="BUY",(F128-E128)/Settings!$B$3,(E128-F128)/Settings!$B$3)</f>
        <v/>
      </c>
      <c r="H128">
        <f>G128*D128*Settings!$B$4</f>
        <v/>
      </c>
      <c r="I128">
        <f>CurrentPositions!I123</f>
        <v/>
      </c>
      <c r="J128">
        <f>CurrentPositions!J123</f>
        <v/>
      </c>
    </row>
    <row r="129">
      <c r="A129">
        <f>CurrentPositions!A124</f>
        <v/>
      </c>
      <c r="B129">
        <f>CurrentPositions!B124</f>
        <v/>
      </c>
      <c r="C129">
        <f>CurrentPositions!C124</f>
        <v/>
      </c>
      <c r="D129">
        <f>CurrentPositions!D124</f>
        <v/>
      </c>
      <c r="E129">
        <f>CurrentPositions!E124</f>
        <v/>
      </c>
      <c r="F129">
        <f>$B$4</f>
        <v/>
      </c>
      <c r="G129">
        <f>IF(B129="BUY",(F129-E129)/Settings!$B$3,(E129-F129)/Settings!$B$3)</f>
        <v/>
      </c>
      <c r="H129">
        <f>G129*D129*Settings!$B$4</f>
        <v/>
      </c>
      <c r="I129">
        <f>CurrentPositions!I124</f>
        <v/>
      </c>
      <c r="J129">
        <f>CurrentPositions!J124</f>
        <v/>
      </c>
    </row>
    <row r="130">
      <c r="A130">
        <f>CurrentPositions!A125</f>
        <v/>
      </c>
      <c r="B130">
        <f>CurrentPositions!B125</f>
        <v/>
      </c>
      <c r="C130">
        <f>CurrentPositions!C125</f>
        <v/>
      </c>
      <c r="D130">
        <f>CurrentPositions!D125</f>
        <v/>
      </c>
      <c r="E130">
        <f>CurrentPositions!E125</f>
        <v/>
      </c>
      <c r="F130">
        <f>$B$4</f>
        <v/>
      </c>
      <c r="G130">
        <f>IF(B130="BUY",(F130-E130)/Settings!$B$3,(E130-F130)/Settings!$B$3)</f>
        <v/>
      </c>
      <c r="H130">
        <f>G130*D130*Settings!$B$4</f>
        <v/>
      </c>
      <c r="I130">
        <f>CurrentPositions!I125</f>
        <v/>
      </c>
      <c r="J130">
        <f>CurrentPositions!J125</f>
        <v/>
      </c>
    </row>
    <row r="131">
      <c r="A131">
        <f>CurrentPositions!A126</f>
        <v/>
      </c>
      <c r="B131">
        <f>CurrentPositions!B126</f>
        <v/>
      </c>
      <c r="C131">
        <f>CurrentPositions!C126</f>
        <v/>
      </c>
      <c r="D131">
        <f>CurrentPositions!D126</f>
        <v/>
      </c>
      <c r="E131">
        <f>CurrentPositions!E126</f>
        <v/>
      </c>
      <c r="F131">
        <f>$B$4</f>
        <v/>
      </c>
      <c r="G131">
        <f>IF(B131="BUY",(F131-E131)/Settings!$B$3,(E131-F131)/Settings!$B$3)</f>
        <v/>
      </c>
      <c r="H131">
        <f>G131*D131*Settings!$B$4</f>
        <v/>
      </c>
      <c r="I131">
        <f>CurrentPositions!I126</f>
        <v/>
      </c>
      <c r="J131">
        <f>CurrentPositions!J126</f>
        <v/>
      </c>
    </row>
    <row r="132">
      <c r="A132">
        <f>CurrentPositions!A127</f>
        <v/>
      </c>
      <c r="B132">
        <f>CurrentPositions!B127</f>
        <v/>
      </c>
      <c r="C132">
        <f>CurrentPositions!C127</f>
        <v/>
      </c>
      <c r="D132">
        <f>CurrentPositions!D127</f>
        <v/>
      </c>
      <c r="E132">
        <f>CurrentPositions!E127</f>
        <v/>
      </c>
      <c r="F132">
        <f>$B$4</f>
        <v/>
      </c>
      <c r="G132">
        <f>IF(B132="BUY",(F132-E132)/Settings!$B$3,(E132-F132)/Settings!$B$3)</f>
        <v/>
      </c>
      <c r="H132">
        <f>G132*D132*Settings!$B$4</f>
        <v/>
      </c>
      <c r="I132">
        <f>CurrentPositions!I127</f>
        <v/>
      </c>
      <c r="J132">
        <f>CurrentPositions!J127</f>
        <v/>
      </c>
    </row>
    <row r="133">
      <c r="A133">
        <f>CurrentPositions!A128</f>
        <v/>
      </c>
      <c r="B133">
        <f>CurrentPositions!B128</f>
        <v/>
      </c>
      <c r="C133">
        <f>CurrentPositions!C128</f>
        <v/>
      </c>
      <c r="D133">
        <f>CurrentPositions!D128</f>
        <v/>
      </c>
      <c r="E133">
        <f>CurrentPositions!E128</f>
        <v/>
      </c>
      <c r="F133">
        <f>$B$4</f>
        <v/>
      </c>
      <c r="G133">
        <f>IF(B133="BUY",(F133-E133)/Settings!$B$3,(E133-F133)/Settings!$B$3)</f>
        <v/>
      </c>
      <c r="H133">
        <f>G133*D133*Settings!$B$4</f>
        <v/>
      </c>
      <c r="I133">
        <f>CurrentPositions!I128</f>
        <v/>
      </c>
      <c r="J133">
        <f>CurrentPositions!J128</f>
        <v/>
      </c>
    </row>
    <row r="134">
      <c r="A134">
        <f>CurrentPositions!A129</f>
        <v/>
      </c>
      <c r="B134">
        <f>CurrentPositions!B129</f>
        <v/>
      </c>
      <c r="C134">
        <f>CurrentPositions!C129</f>
        <v/>
      </c>
      <c r="D134">
        <f>CurrentPositions!D129</f>
        <v/>
      </c>
      <c r="E134">
        <f>CurrentPositions!E129</f>
        <v/>
      </c>
      <c r="F134">
        <f>$B$4</f>
        <v/>
      </c>
      <c r="G134">
        <f>IF(B134="BUY",(F134-E134)/Settings!$B$3,(E134-F134)/Settings!$B$3)</f>
        <v/>
      </c>
      <c r="H134">
        <f>G134*D134*Settings!$B$4</f>
        <v/>
      </c>
      <c r="I134">
        <f>CurrentPositions!I129</f>
        <v/>
      </c>
      <c r="J134">
        <f>CurrentPositions!J129</f>
        <v/>
      </c>
    </row>
    <row r="135">
      <c r="A135">
        <f>CurrentPositions!A130</f>
        <v/>
      </c>
      <c r="B135">
        <f>CurrentPositions!B130</f>
        <v/>
      </c>
      <c r="C135">
        <f>CurrentPositions!C130</f>
        <v/>
      </c>
      <c r="D135">
        <f>CurrentPositions!D130</f>
        <v/>
      </c>
      <c r="E135">
        <f>CurrentPositions!E130</f>
        <v/>
      </c>
      <c r="F135">
        <f>$B$4</f>
        <v/>
      </c>
      <c r="G135">
        <f>IF(B135="BUY",(F135-E135)/Settings!$B$3,(E135-F135)/Settings!$B$3)</f>
        <v/>
      </c>
      <c r="H135">
        <f>G135*D135*Settings!$B$4</f>
        <v/>
      </c>
      <c r="I135">
        <f>CurrentPositions!I130</f>
        <v/>
      </c>
      <c r="J135">
        <f>CurrentPositions!J130</f>
        <v/>
      </c>
    </row>
    <row r="136">
      <c r="A136">
        <f>CurrentPositions!A131</f>
        <v/>
      </c>
      <c r="B136">
        <f>CurrentPositions!B131</f>
        <v/>
      </c>
      <c r="C136">
        <f>CurrentPositions!C131</f>
        <v/>
      </c>
      <c r="D136">
        <f>CurrentPositions!D131</f>
        <v/>
      </c>
      <c r="E136">
        <f>CurrentPositions!E131</f>
        <v/>
      </c>
      <c r="F136">
        <f>$B$4</f>
        <v/>
      </c>
      <c r="G136">
        <f>IF(B136="BUY",(F136-E136)/Settings!$B$3,(E136-F136)/Settings!$B$3)</f>
        <v/>
      </c>
      <c r="H136">
        <f>G136*D136*Settings!$B$4</f>
        <v/>
      </c>
      <c r="I136">
        <f>CurrentPositions!I131</f>
        <v/>
      </c>
      <c r="J136">
        <f>CurrentPositions!J131</f>
        <v/>
      </c>
    </row>
    <row r="137">
      <c r="A137">
        <f>CurrentPositions!A132</f>
        <v/>
      </c>
      <c r="B137">
        <f>CurrentPositions!B132</f>
        <v/>
      </c>
      <c r="C137">
        <f>CurrentPositions!C132</f>
        <v/>
      </c>
      <c r="D137">
        <f>CurrentPositions!D132</f>
        <v/>
      </c>
      <c r="E137">
        <f>CurrentPositions!E132</f>
        <v/>
      </c>
      <c r="F137">
        <f>$B$4</f>
        <v/>
      </c>
      <c r="G137">
        <f>IF(B137="BUY",(F137-E137)/Settings!$B$3,(E137-F137)/Settings!$B$3)</f>
        <v/>
      </c>
      <c r="H137">
        <f>G137*D137*Settings!$B$4</f>
        <v/>
      </c>
      <c r="I137">
        <f>CurrentPositions!I132</f>
        <v/>
      </c>
      <c r="J137">
        <f>CurrentPositions!J132</f>
        <v/>
      </c>
    </row>
    <row r="138">
      <c r="A138">
        <f>CurrentPositions!A133</f>
        <v/>
      </c>
      <c r="B138">
        <f>CurrentPositions!B133</f>
        <v/>
      </c>
      <c r="C138">
        <f>CurrentPositions!C133</f>
        <v/>
      </c>
      <c r="D138">
        <f>CurrentPositions!D133</f>
        <v/>
      </c>
      <c r="E138">
        <f>CurrentPositions!E133</f>
        <v/>
      </c>
      <c r="F138">
        <f>$B$4</f>
        <v/>
      </c>
      <c r="G138">
        <f>IF(B138="BUY",(F138-E138)/Settings!$B$3,(E138-F138)/Settings!$B$3)</f>
        <v/>
      </c>
      <c r="H138">
        <f>G138*D138*Settings!$B$4</f>
        <v/>
      </c>
      <c r="I138">
        <f>CurrentPositions!I133</f>
        <v/>
      </c>
      <c r="J138">
        <f>CurrentPositions!J133</f>
        <v/>
      </c>
    </row>
    <row r="139">
      <c r="A139">
        <f>CurrentPositions!A134</f>
        <v/>
      </c>
      <c r="B139">
        <f>CurrentPositions!B134</f>
        <v/>
      </c>
      <c r="C139">
        <f>CurrentPositions!C134</f>
        <v/>
      </c>
      <c r="D139">
        <f>CurrentPositions!D134</f>
        <v/>
      </c>
      <c r="E139">
        <f>CurrentPositions!E134</f>
        <v/>
      </c>
      <c r="F139">
        <f>$B$4</f>
        <v/>
      </c>
      <c r="G139">
        <f>IF(B139="BUY",(F139-E139)/Settings!$B$3,(E139-F139)/Settings!$B$3)</f>
        <v/>
      </c>
      <c r="H139">
        <f>G139*D139*Settings!$B$4</f>
        <v/>
      </c>
      <c r="I139">
        <f>CurrentPositions!I134</f>
        <v/>
      </c>
      <c r="J139">
        <f>CurrentPositions!J134</f>
        <v/>
      </c>
    </row>
    <row r="140">
      <c r="A140">
        <f>CurrentPositions!A135</f>
        <v/>
      </c>
      <c r="B140">
        <f>CurrentPositions!B135</f>
        <v/>
      </c>
      <c r="C140">
        <f>CurrentPositions!C135</f>
        <v/>
      </c>
      <c r="D140">
        <f>CurrentPositions!D135</f>
        <v/>
      </c>
      <c r="E140">
        <f>CurrentPositions!E135</f>
        <v/>
      </c>
      <c r="F140">
        <f>$B$4</f>
        <v/>
      </c>
      <c r="G140">
        <f>IF(B140="BUY",(F140-E140)/Settings!$B$3,(E140-F140)/Settings!$B$3)</f>
        <v/>
      </c>
      <c r="H140">
        <f>G140*D140*Settings!$B$4</f>
        <v/>
      </c>
      <c r="I140">
        <f>CurrentPositions!I135</f>
        <v/>
      </c>
      <c r="J140">
        <f>CurrentPositions!J135</f>
        <v/>
      </c>
    </row>
    <row r="141">
      <c r="A141">
        <f>CurrentPositions!A136</f>
        <v/>
      </c>
      <c r="B141">
        <f>CurrentPositions!B136</f>
        <v/>
      </c>
      <c r="C141">
        <f>CurrentPositions!C136</f>
        <v/>
      </c>
      <c r="D141">
        <f>CurrentPositions!D136</f>
        <v/>
      </c>
      <c r="E141">
        <f>CurrentPositions!E136</f>
        <v/>
      </c>
      <c r="F141">
        <f>$B$4</f>
        <v/>
      </c>
      <c r="G141">
        <f>IF(B141="BUY",(F141-E141)/Settings!$B$3,(E141-F141)/Settings!$B$3)</f>
        <v/>
      </c>
      <c r="H141">
        <f>G141*D141*Settings!$B$4</f>
        <v/>
      </c>
      <c r="I141">
        <f>CurrentPositions!I136</f>
        <v/>
      </c>
      <c r="J141">
        <f>CurrentPositions!J136</f>
        <v/>
      </c>
    </row>
    <row r="142">
      <c r="A142">
        <f>CurrentPositions!A137</f>
        <v/>
      </c>
      <c r="B142">
        <f>CurrentPositions!B137</f>
        <v/>
      </c>
      <c r="C142">
        <f>CurrentPositions!C137</f>
        <v/>
      </c>
      <c r="D142">
        <f>CurrentPositions!D137</f>
        <v/>
      </c>
      <c r="E142">
        <f>CurrentPositions!E137</f>
        <v/>
      </c>
      <c r="F142">
        <f>$B$4</f>
        <v/>
      </c>
      <c r="G142">
        <f>IF(B142="BUY",(F142-E142)/Settings!$B$3,(E142-F142)/Settings!$B$3)</f>
        <v/>
      </c>
      <c r="H142">
        <f>G142*D142*Settings!$B$4</f>
        <v/>
      </c>
      <c r="I142">
        <f>CurrentPositions!I137</f>
        <v/>
      </c>
      <c r="J142">
        <f>CurrentPositions!J137</f>
        <v/>
      </c>
    </row>
    <row r="143">
      <c r="A143">
        <f>CurrentPositions!A138</f>
        <v/>
      </c>
      <c r="B143">
        <f>CurrentPositions!B138</f>
        <v/>
      </c>
      <c r="C143">
        <f>CurrentPositions!C138</f>
        <v/>
      </c>
      <c r="D143">
        <f>CurrentPositions!D138</f>
        <v/>
      </c>
      <c r="E143">
        <f>CurrentPositions!E138</f>
        <v/>
      </c>
      <c r="F143">
        <f>$B$4</f>
        <v/>
      </c>
      <c r="G143">
        <f>IF(B143="BUY",(F143-E143)/Settings!$B$3,(E143-F143)/Settings!$B$3)</f>
        <v/>
      </c>
      <c r="H143">
        <f>G143*D143*Settings!$B$4</f>
        <v/>
      </c>
      <c r="I143">
        <f>CurrentPositions!I138</f>
        <v/>
      </c>
      <c r="J143">
        <f>CurrentPositions!J138</f>
        <v/>
      </c>
    </row>
    <row r="144">
      <c r="A144">
        <f>CurrentPositions!A139</f>
        <v/>
      </c>
      <c r="B144">
        <f>CurrentPositions!B139</f>
        <v/>
      </c>
      <c r="C144">
        <f>CurrentPositions!C139</f>
        <v/>
      </c>
      <c r="D144">
        <f>CurrentPositions!D139</f>
        <v/>
      </c>
      <c r="E144">
        <f>CurrentPositions!E139</f>
        <v/>
      </c>
      <c r="F144">
        <f>$B$4</f>
        <v/>
      </c>
      <c r="G144">
        <f>IF(B144="BUY",(F144-E144)/Settings!$B$3,(E144-F144)/Settings!$B$3)</f>
        <v/>
      </c>
      <c r="H144">
        <f>G144*D144*Settings!$B$4</f>
        <v/>
      </c>
      <c r="I144">
        <f>CurrentPositions!I139</f>
        <v/>
      </c>
      <c r="J144">
        <f>CurrentPositions!J139</f>
        <v/>
      </c>
    </row>
    <row r="145">
      <c r="A145">
        <f>CurrentPositions!A140</f>
        <v/>
      </c>
      <c r="B145">
        <f>CurrentPositions!B140</f>
        <v/>
      </c>
      <c r="C145">
        <f>CurrentPositions!C140</f>
        <v/>
      </c>
      <c r="D145">
        <f>CurrentPositions!D140</f>
        <v/>
      </c>
      <c r="E145">
        <f>CurrentPositions!E140</f>
        <v/>
      </c>
      <c r="F145">
        <f>$B$4</f>
        <v/>
      </c>
      <c r="G145">
        <f>IF(B145="BUY",(F145-E145)/Settings!$B$3,(E145-F145)/Settings!$B$3)</f>
        <v/>
      </c>
      <c r="H145">
        <f>G145*D145*Settings!$B$4</f>
        <v/>
      </c>
      <c r="I145">
        <f>CurrentPositions!I140</f>
        <v/>
      </c>
      <c r="J145">
        <f>CurrentPositions!J140</f>
        <v/>
      </c>
    </row>
    <row r="146">
      <c r="A146">
        <f>CurrentPositions!A141</f>
        <v/>
      </c>
      <c r="B146">
        <f>CurrentPositions!B141</f>
        <v/>
      </c>
      <c r="C146">
        <f>CurrentPositions!C141</f>
        <v/>
      </c>
      <c r="D146">
        <f>CurrentPositions!D141</f>
        <v/>
      </c>
      <c r="E146">
        <f>CurrentPositions!E141</f>
        <v/>
      </c>
      <c r="F146">
        <f>$B$4</f>
        <v/>
      </c>
      <c r="G146">
        <f>IF(B146="BUY",(F146-E146)/Settings!$B$3,(E146-F146)/Settings!$B$3)</f>
        <v/>
      </c>
      <c r="H146">
        <f>G146*D146*Settings!$B$4</f>
        <v/>
      </c>
      <c r="I146">
        <f>CurrentPositions!I141</f>
        <v/>
      </c>
      <c r="J146">
        <f>CurrentPositions!J141</f>
        <v/>
      </c>
    </row>
    <row r="147">
      <c r="A147">
        <f>CurrentPositions!A142</f>
        <v/>
      </c>
      <c r="B147">
        <f>CurrentPositions!B142</f>
        <v/>
      </c>
      <c r="C147">
        <f>CurrentPositions!C142</f>
        <v/>
      </c>
      <c r="D147">
        <f>CurrentPositions!D142</f>
        <v/>
      </c>
      <c r="E147">
        <f>CurrentPositions!E142</f>
        <v/>
      </c>
      <c r="F147">
        <f>$B$4</f>
        <v/>
      </c>
      <c r="G147">
        <f>IF(B147="BUY",(F147-E147)/Settings!$B$3,(E147-F147)/Settings!$B$3)</f>
        <v/>
      </c>
      <c r="H147">
        <f>G147*D147*Settings!$B$4</f>
        <v/>
      </c>
      <c r="I147">
        <f>CurrentPositions!I142</f>
        <v/>
      </c>
      <c r="J147">
        <f>CurrentPositions!J142</f>
        <v/>
      </c>
    </row>
    <row r="148">
      <c r="A148">
        <f>CurrentPositions!A143</f>
        <v/>
      </c>
      <c r="B148">
        <f>CurrentPositions!B143</f>
        <v/>
      </c>
      <c r="C148">
        <f>CurrentPositions!C143</f>
        <v/>
      </c>
      <c r="D148">
        <f>CurrentPositions!D143</f>
        <v/>
      </c>
      <c r="E148">
        <f>CurrentPositions!E143</f>
        <v/>
      </c>
      <c r="F148">
        <f>$B$4</f>
        <v/>
      </c>
      <c r="G148">
        <f>IF(B148="BUY",(F148-E148)/Settings!$B$3,(E148-F148)/Settings!$B$3)</f>
        <v/>
      </c>
      <c r="H148">
        <f>G148*D148*Settings!$B$4</f>
        <v/>
      </c>
      <c r="I148">
        <f>CurrentPositions!I143</f>
        <v/>
      </c>
      <c r="J148">
        <f>CurrentPositions!J143</f>
        <v/>
      </c>
    </row>
    <row r="149">
      <c r="A149">
        <f>CurrentPositions!A144</f>
        <v/>
      </c>
      <c r="B149">
        <f>CurrentPositions!B144</f>
        <v/>
      </c>
      <c r="C149">
        <f>CurrentPositions!C144</f>
        <v/>
      </c>
      <c r="D149">
        <f>CurrentPositions!D144</f>
        <v/>
      </c>
      <c r="E149">
        <f>CurrentPositions!E144</f>
        <v/>
      </c>
      <c r="F149">
        <f>$B$4</f>
        <v/>
      </c>
      <c r="G149">
        <f>IF(B149="BUY",(F149-E149)/Settings!$B$3,(E149-F149)/Settings!$B$3)</f>
        <v/>
      </c>
      <c r="H149">
        <f>G149*D149*Settings!$B$4</f>
        <v/>
      </c>
      <c r="I149">
        <f>CurrentPositions!I144</f>
        <v/>
      </c>
      <c r="J149">
        <f>CurrentPositions!J144</f>
        <v/>
      </c>
    </row>
    <row r="150">
      <c r="A150">
        <f>CurrentPositions!A145</f>
        <v/>
      </c>
      <c r="B150">
        <f>CurrentPositions!B145</f>
        <v/>
      </c>
      <c r="C150">
        <f>CurrentPositions!C145</f>
        <v/>
      </c>
      <c r="D150">
        <f>CurrentPositions!D145</f>
        <v/>
      </c>
      <c r="E150">
        <f>CurrentPositions!E145</f>
        <v/>
      </c>
      <c r="F150">
        <f>$B$4</f>
        <v/>
      </c>
      <c r="G150">
        <f>IF(B150="BUY",(F150-E150)/Settings!$B$3,(E150-F150)/Settings!$B$3)</f>
        <v/>
      </c>
      <c r="H150">
        <f>G150*D150*Settings!$B$4</f>
        <v/>
      </c>
      <c r="I150">
        <f>CurrentPositions!I145</f>
        <v/>
      </c>
      <c r="J150">
        <f>CurrentPositions!J145</f>
        <v/>
      </c>
    </row>
    <row r="151">
      <c r="A151">
        <f>CurrentPositions!A146</f>
        <v/>
      </c>
      <c r="B151">
        <f>CurrentPositions!B146</f>
        <v/>
      </c>
      <c r="C151">
        <f>CurrentPositions!C146</f>
        <v/>
      </c>
      <c r="D151">
        <f>CurrentPositions!D146</f>
        <v/>
      </c>
      <c r="E151">
        <f>CurrentPositions!E146</f>
        <v/>
      </c>
      <c r="F151">
        <f>$B$4</f>
        <v/>
      </c>
      <c r="G151">
        <f>IF(B151="BUY",(F151-E151)/Settings!$B$3,(E151-F151)/Settings!$B$3)</f>
        <v/>
      </c>
      <c r="H151">
        <f>G151*D151*Settings!$B$4</f>
        <v/>
      </c>
      <c r="I151">
        <f>CurrentPositions!I146</f>
        <v/>
      </c>
      <c r="J151">
        <f>CurrentPositions!J146</f>
        <v/>
      </c>
    </row>
    <row r="152">
      <c r="A152">
        <f>CurrentPositions!A147</f>
        <v/>
      </c>
      <c r="B152">
        <f>CurrentPositions!B147</f>
        <v/>
      </c>
      <c r="C152">
        <f>CurrentPositions!C147</f>
        <v/>
      </c>
      <c r="D152">
        <f>CurrentPositions!D147</f>
        <v/>
      </c>
      <c r="E152">
        <f>CurrentPositions!E147</f>
        <v/>
      </c>
      <c r="F152">
        <f>$B$4</f>
        <v/>
      </c>
      <c r="G152">
        <f>IF(B152="BUY",(F152-E152)/Settings!$B$3,(E152-F152)/Settings!$B$3)</f>
        <v/>
      </c>
      <c r="H152">
        <f>G152*D152*Settings!$B$4</f>
        <v/>
      </c>
      <c r="I152">
        <f>CurrentPositions!I147</f>
        <v/>
      </c>
      <c r="J152">
        <f>CurrentPositions!J147</f>
        <v/>
      </c>
    </row>
    <row r="153">
      <c r="A153">
        <f>CurrentPositions!A148</f>
        <v/>
      </c>
      <c r="B153">
        <f>CurrentPositions!B148</f>
        <v/>
      </c>
      <c r="C153">
        <f>CurrentPositions!C148</f>
        <v/>
      </c>
      <c r="D153">
        <f>CurrentPositions!D148</f>
        <v/>
      </c>
      <c r="E153">
        <f>CurrentPositions!E148</f>
        <v/>
      </c>
      <c r="F153">
        <f>$B$4</f>
        <v/>
      </c>
      <c r="G153">
        <f>IF(B153="BUY",(F153-E153)/Settings!$B$3,(E153-F153)/Settings!$B$3)</f>
        <v/>
      </c>
      <c r="H153">
        <f>G153*D153*Settings!$B$4</f>
        <v/>
      </c>
      <c r="I153">
        <f>CurrentPositions!I148</f>
        <v/>
      </c>
      <c r="J153">
        <f>CurrentPositions!J148</f>
        <v/>
      </c>
    </row>
    <row r="154">
      <c r="A154">
        <f>CurrentPositions!A149</f>
        <v/>
      </c>
      <c r="B154">
        <f>CurrentPositions!B149</f>
        <v/>
      </c>
      <c r="C154">
        <f>CurrentPositions!C149</f>
        <v/>
      </c>
      <c r="D154">
        <f>CurrentPositions!D149</f>
        <v/>
      </c>
      <c r="E154">
        <f>CurrentPositions!E149</f>
        <v/>
      </c>
      <c r="F154">
        <f>$B$4</f>
        <v/>
      </c>
      <c r="G154">
        <f>IF(B154="BUY",(F154-E154)/Settings!$B$3,(E154-F154)/Settings!$B$3)</f>
        <v/>
      </c>
      <c r="H154">
        <f>G154*D154*Settings!$B$4</f>
        <v/>
      </c>
      <c r="I154">
        <f>CurrentPositions!I149</f>
        <v/>
      </c>
      <c r="J154">
        <f>CurrentPositions!J149</f>
        <v/>
      </c>
    </row>
    <row r="155">
      <c r="A155">
        <f>CurrentPositions!A150</f>
        <v/>
      </c>
      <c r="B155">
        <f>CurrentPositions!B150</f>
        <v/>
      </c>
      <c r="C155">
        <f>CurrentPositions!C150</f>
        <v/>
      </c>
      <c r="D155">
        <f>CurrentPositions!D150</f>
        <v/>
      </c>
      <c r="E155">
        <f>CurrentPositions!E150</f>
        <v/>
      </c>
      <c r="F155">
        <f>$B$4</f>
        <v/>
      </c>
      <c r="G155">
        <f>IF(B155="BUY",(F155-E155)/Settings!$B$3,(E155-F155)/Settings!$B$3)</f>
        <v/>
      </c>
      <c r="H155">
        <f>G155*D155*Settings!$B$4</f>
        <v/>
      </c>
      <c r="I155">
        <f>CurrentPositions!I150</f>
        <v/>
      </c>
      <c r="J155">
        <f>CurrentPositions!J150</f>
        <v/>
      </c>
    </row>
    <row r="156">
      <c r="A156">
        <f>CurrentPositions!A151</f>
        <v/>
      </c>
      <c r="B156">
        <f>CurrentPositions!B151</f>
        <v/>
      </c>
      <c r="C156">
        <f>CurrentPositions!C151</f>
        <v/>
      </c>
      <c r="D156">
        <f>CurrentPositions!D151</f>
        <v/>
      </c>
      <c r="E156">
        <f>CurrentPositions!E151</f>
        <v/>
      </c>
      <c r="F156">
        <f>$B$4</f>
        <v/>
      </c>
      <c r="G156">
        <f>IF(B156="BUY",(F156-E156)/Settings!$B$3,(E156-F156)/Settings!$B$3)</f>
        <v/>
      </c>
      <c r="H156">
        <f>G156*D156*Settings!$B$4</f>
        <v/>
      </c>
      <c r="I156">
        <f>CurrentPositions!I151</f>
        <v/>
      </c>
      <c r="J156">
        <f>CurrentPositions!J151</f>
        <v/>
      </c>
    </row>
    <row r="157">
      <c r="A157">
        <f>CurrentPositions!A152</f>
        <v/>
      </c>
      <c r="B157">
        <f>CurrentPositions!B152</f>
        <v/>
      </c>
      <c r="C157">
        <f>CurrentPositions!C152</f>
        <v/>
      </c>
      <c r="D157">
        <f>CurrentPositions!D152</f>
        <v/>
      </c>
      <c r="E157">
        <f>CurrentPositions!E152</f>
        <v/>
      </c>
      <c r="F157">
        <f>$B$4</f>
        <v/>
      </c>
      <c r="G157">
        <f>IF(B157="BUY",(F157-E157)/Settings!$B$3,(E157-F157)/Settings!$B$3)</f>
        <v/>
      </c>
      <c r="H157">
        <f>G157*D157*Settings!$B$4</f>
        <v/>
      </c>
      <c r="I157">
        <f>CurrentPositions!I152</f>
        <v/>
      </c>
      <c r="J157">
        <f>CurrentPositions!J152</f>
        <v/>
      </c>
    </row>
    <row r="158">
      <c r="A158">
        <f>CurrentPositions!A153</f>
        <v/>
      </c>
      <c r="B158">
        <f>CurrentPositions!B153</f>
        <v/>
      </c>
      <c r="C158">
        <f>CurrentPositions!C153</f>
        <v/>
      </c>
      <c r="D158">
        <f>CurrentPositions!D153</f>
        <v/>
      </c>
      <c r="E158">
        <f>CurrentPositions!E153</f>
        <v/>
      </c>
      <c r="F158">
        <f>$B$4</f>
        <v/>
      </c>
      <c r="G158">
        <f>IF(B158="BUY",(F158-E158)/Settings!$B$3,(E158-F158)/Settings!$B$3)</f>
        <v/>
      </c>
      <c r="H158">
        <f>G158*D158*Settings!$B$4</f>
        <v/>
      </c>
      <c r="I158">
        <f>CurrentPositions!I153</f>
        <v/>
      </c>
      <c r="J158">
        <f>CurrentPositions!J153</f>
        <v/>
      </c>
    </row>
    <row r="159">
      <c r="A159">
        <f>CurrentPositions!A154</f>
        <v/>
      </c>
      <c r="B159">
        <f>CurrentPositions!B154</f>
        <v/>
      </c>
      <c r="C159">
        <f>CurrentPositions!C154</f>
        <v/>
      </c>
      <c r="D159">
        <f>CurrentPositions!D154</f>
        <v/>
      </c>
      <c r="E159">
        <f>CurrentPositions!E154</f>
        <v/>
      </c>
      <c r="F159">
        <f>$B$4</f>
        <v/>
      </c>
      <c r="G159">
        <f>IF(B159="BUY",(F159-E159)/Settings!$B$3,(E159-F159)/Settings!$B$3)</f>
        <v/>
      </c>
      <c r="H159">
        <f>G159*D159*Settings!$B$4</f>
        <v/>
      </c>
      <c r="I159">
        <f>CurrentPositions!I154</f>
        <v/>
      </c>
      <c r="J159">
        <f>CurrentPositions!J154</f>
        <v/>
      </c>
    </row>
    <row r="160">
      <c r="A160">
        <f>CurrentPositions!A155</f>
        <v/>
      </c>
      <c r="B160">
        <f>CurrentPositions!B155</f>
        <v/>
      </c>
      <c r="C160">
        <f>CurrentPositions!C155</f>
        <v/>
      </c>
      <c r="D160">
        <f>CurrentPositions!D155</f>
        <v/>
      </c>
      <c r="E160">
        <f>CurrentPositions!E155</f>
        <v/>
      </c>
      <c r="F160">
        <f>$B$4</f>
        <v/>
      </c>
      <c r="G160">
        <f>IF(B160="BUY",(F160-E160)/Settings!$B$3,(E160-F160)/Settings!$B$3)</f>
        <v/>
      </c>
      <c r="H160">
        <f>G160*D160*Settings!$B$4</f>
        <v/>
      </c>
      <c r="I160">
        <f>CurrentPositions!I155</f>
        <v/>
      </c>
      <c r="J160">
        <f>CurrentPositions!J155</f>
        <v/>
      </c>
    </row>
    <row r="161">
      <c r="A161">
        <f>CurrentPositions!A156</f>
        <v/>
      </c>
      <c r="B161">
        <f>CurrentPositions!B156</f>
        <v/>
      </c>
      <c r="C161">
        <f>CurrentPositions!C156</f>
        <v/>
      </c>
      <c r="D161">
        <f>CurrentPositions!D156</f>
        <v/>
      </c>
      <c r="E161">
        <f>CurrentPositions!E156</f>
        <v/>
      </c>
      <c r="F161">
        <f>$B$4</f>
        <v/>
      </c>
      <c r="G161">
        <f>IF(B161="BUY",(F161-E161)/Settings!$B$3,(E161-F161)/Settings!$B$3)</f>
        <v/>
      </c>
      <c r="H161">
        <f>G161*D161*Settings!$B$4</f>
        <v/>
      </c>
      <c r="I161">
        <f>CurrentPositions!I156</f>
        <v/>
      </c>
      <c r="J161">
        <f>CurrentPositions!J156</f>
        <v/>
      </c>
    </row>
    <row r="162">
      <c r="A162">
        <f>CurrentPositions!A157</f>
        <v/>
      </c>
      <c r="B162">
        <f>CurrentPositions!B157</f>
        <v/>
      </c>
      <c r="C162">
        <f>CurrentPositions!C157</f>
        <v/>
      </c>
      <c r="D162">
        <f>CurrentPositions!D157</f>
        <v/>
      </c>
      <c r="E162">
        <f>CurrentPositions!E157</f>
        <v/>
      </c>
      <c r="F162">
        <f>$B$4</f>
        <v/>
      </c>
      <c r="G162">
        <f>IF(B162="BUY",(F162-E162)/Settings!$B$3,(E162-F162)/Settings!$B$3)</f>
        <v/>
      </c>
      <c r="H162">
        <f>G162*D162*Settings!$B$4</f>
        <v/>
      </c>
      <c r="I162">
        <f>CurrentPositions!I157</f>
        <v/>
      </c>
      <c r="J162">
        <f>CurrentPositions!J157</f>
        <v/>
      </c>
    </row>
    <row r="163">
      <c r="A163">
        <f>CurrentPositions!A158</f>
        <v/>
      </c>
      <c r="B163">
        <f>CurrentPositions!B158</f>
        <v/>
      </c>
      <c r="C163">
        <f>CurrentPositions!C158</f>
        <v/>
      </c>
      <c r="D163">
        <f>CurrentPositions!D158</f>
        <v/>
      </c>
      <c r="E163">
        <f>CurrentPositions!E158</f>
        <v/>
      </c>
      <c r="F163">
        <f>$B$4</f>
        <v/>
      </c>
      <c r="G163">
        <f>IF(B163="BUY",(F163-E163)/Settings!$B$3,(E163-F163)/Settings!$B$3)</f>
        <v/>
      </c>
      <c r="H163">
        <f>G163*D163*Settings!$B$4</f>
        <v/>
      </c>
      <c r="I163">
        <f>CurrentPositions!I158</f>
        <v/>
      </c>
      <c r="J163">
        <f>CurrentPositions!J158</f>
        <v/>
      </c>
    </row>
    <row r="164">
      <c r="A164">
        <f>CurrentPositions!A159</f>
        <v/>
      </c>
      <c r="B164">
        <f>CurrentPositions!B159</f>
        <v/>
      </c>
      <c r="C164">
        <f>CurrentPositions!C159</f>
        <v/>
      </c>
      <c r="D164">
        <f>CurrentPositions!D159</f>
        <v/>
      </c>
      <c r="E164">
        <f>CurrentPositions!E159</f>
        <v/>
      </c>
      <c r="F164">
        <f>$B$4</f>
        <v/>
      </c>
      <c r="G164">
        <f>IF(B164="BUY",(F164-E164)/Settings!$B$3,(E164-F164)/Settings!$B$3)</f>
        <v/>
      </c>
      <c r="H164">
        <f>G164*D164*Settings!$B$4</f>
        <v/>
      </c>
      <c r="I164">
        <f>CurrentPositions!I159</f>
        <v/>
      </c>
      <c r="J164">
        <f>CurrentPositions!J159</f>
        <v/>
      </c>
    </row>
    <row r="165">
      <c r="A165">
        <f>CurrentPositions!A160</f>
        <v/>
      </c>
      <c r="B165">
        <f>CurrentPositions!B160</f>
        <v/>
      </c>
      <c r="C165">
        <f>CurrentPositions!C160</f>
        <v/>
      </c>
      <c r="D165">
        <f>CurrentPositions!D160</f>
        <v/>
      </c>
      <c r="E165">
        <f>CurrentPositions!E160</f>
        <v/>
      </c>
      <c r="F165">
        <f>$B$4</f>
        <v/>
      </c>
      <c r="G165">
        <f>IF(B165="BUY",(F165-E165)/Settings!$B$3,(E165-F165)/Settings!$B$3)</f>
        <v/>
      </c>
      <c r="H165">
        <f>G165*D165*Settings!$B$4</f>
        <v/>
      </c>
      <c r="I165">
        <f>CurrentPositions!I160</f>
        <v/>
      </c>
      <c r="J165">
        <f>CurrentPositions!J160</f>
        <v/>
      </c>
    </row>
    <row r="166">
      <c r="A166">
        <f>CurrentPositions!A161</f>
        <v/>
      </c>
      <c r="B166">
        <f>CurrentPositions!B161</f>
        <v/>
      </c>
      <c r="C166">
        <f>CurrentPositions!C161</f>
        <v/>
      </c>
      <c r="D166">
        <f>CurrentPositions!D161</f>
        <v/>
      </c>
      <c r="E166">
        <f>CurrentPositions!E161</f>
        <v/>
      </c>
      <c r="F166">
        <f>$B$4</f>
        <v/>
      </c>
      <c r="G166">
        <f>IF(B166="BUY",(F166-E166)/Settings!$B$3,(E166-F166)/Settings!$B$3)</f>
        <v/>
      </c>
      <c r="H166">
        <f>G166*D166*Settings!$B$4</f>
        <v/>
      </c>
      <c r="I166">
        <f>CurrentPositions!I161</f>
        <v/>
      </c>
      <c r="J166">
        <f>CurrentPositions!J161</f>
        <v/>
      </c>
    </row>
    <row r="167">
      <c r="A167">
        <f>CurrentPositions!A162</f>
        <v/>
      </c>
      <c r="B167">
        <f>CurrentPositions!B162</f>
        <v/>
      </c>
      <c r="C167">
        <f>CurrentPositions!C162</f>
        <v/>
      </c>
      <c r="D167">
        <f>CurrentPositions!D162</f>
        <v/>
      </c>
      <c r="E167">
        <f>CurrentPositions!E162</f>
        <v/>
      </c>
      <c r="F167">
        <f>$B$4</f>
        <v/>
      </c>
      <c r="G167">
        <f>IF(B167="BUY",(F167-E167)/Settings!$B$3,(E167-F167)/Settings!$B$3)</f>
        <v/>
      </c>
      <c r="H167">
        <f>G167*D167*Settings!$B$4</f>
        <v/>
      </c>
      <c r="I167">
        <f>CurrentPositions!I162</f>
        <v/>
      </c>
      <c r="J167">
        <f>CurrentPositions!J162</f>
        <v/>
      </c>
    </row>
    <row r="168">
      <c r="A168">
        <f>CurrentPositions!A163</f>
        <v/>
      </c>
      <c r="B168">
        <f>CurrentPositions!B163</f>
        <v/>
      </c>
      <c r="C168">
        <f>CurrentPositions!C163</f>
        <v/>
      </c>
      <c r="D168">
        <f>CurrentPositions!D163</f>
        <v/>
      </c>
      <c r="E168">
        <f>CurrentPositions!E163</f>
        <v/>
      </c>
      <c r="F168">
        <f>$B$4</f>
        <v/>
      </c>
      <c r="G168">
        <f>IF(B168="BUY",(F168-E168)/Settings!$B$3,(E168-F168)/Settings!$B$3)</f>
        <v/>
      </c>
      <c r="H168">
        <f>G168*D168*Settings!$B$4</f>
        <v/>
      </c>
      <c r="I168">
        <f>CurrentPositions!I163</f>
        <v/>
      </c>
      <c r="J168">
        <f>CurrentPositions!J163</f>
        <v/>
      </c>
    </row>
    <row r="169">
      <c r="A169">
        <f>CurrentPositions!A164</f>
        <v/>
      </c>
      <c r="B169">
        <f>CurrentPositions!B164</f>
        <v/>
      </c>
      <c r="C169">
        <f>CurrentPositions!C164</f>
        <v/>
      </c>
      <c r="D169">
        <f>CurrentPositions!D164</f>
        <v/>
      </c>
      <c r="E169">
        <f>CurrentPositions!E164</f>
        <v/>
      </c>
      <c r="F169">
        <f>$B$4</f>
        <v/>
      </c>
      <c r="G169">
        <f>IF(B169="BUY",(F169-E169)/Settings!$B$3,(E169-F169)/Settings!$B$3)</f>
        <v/>
      </c>
      <c r="H169">
        <f>G169*D169*Settings!$B$4</f>
        <v/>
      </c>
      <c r="I169">
        <f>CurrentPositions!I164</f>
        <v/>
      </c>
      <c r="J169">
        <f>CurrentPositions!J164</f>
        <v/>
      </c>
    </row>
    <row r="170">
      <c r="A170">
        <f>CurrentPositions!A165</f>
        <v/>
      </c>
      <c r="B170">
        <f>CurrentPositions!B165</f>
        <v/>
      </c>
      <c r="C170">
        <f>CurrentPositions!C165</f>
        <v/>
      </c>
      <c r="D170">
        <f>CurrentPositions!D165</f>
        <v/>
      </c>
      <c r="E170">
        <f>CurrentPositions!E165</f>
        <v/>
      </c>
      <c r="F170">
        <f>$B$4</f>
        <v/>
      </c>
      <c r="G170">
        <f>IF(B170="BUY",(F170-E170)/Settings!$B$3,(E170-F170)/Settings!$B$3)</f>
        <v/>
      </c>
      <c r="H170">
        <f>G170*D170*Settings!$B$4</f>
        <v/>
      </c>
      <c r="I170">
        <f>CurrentPositions!I165</f>
        <v/>
      </c>
      <c r="J170">
        <f>CurrentPositions!J165</f>
        <v/>
      </c>
    </row>
    <row r="171">
      <c r="A171">
        <f>CurrentPositions!A166</f>
        <v/>
      </c>
      <c r="B171">
        <f>CurrentPositions!B166</f>
        <v/>
      </c>
      <c r="C171">
        <f>CurrentPositions!C166</f>
        <v/>
      </c>
      <c r="D171">
        <f>CurrentPositions!D166</f>
        <v/>
      </c>
      <c r="E171">
        <f>CurrentPositions!E166</f>
        <v/>
      </c>
      <c r="F171">
        <f>$B$4</f>
        <v/>
      </c>
      <c r="G171">
        <f>IF(B171="BUY",(F171-E171)/Settings!$B$3,(E171-F171)/Settings!$B$3)</f>
        <v/>
      </c>
      <c r="H171">
        <f>G171*D171*Settings!$B$4</f>
        <v/>
      </c>
      <c r="I171">
        <f>CurrentPositions!I166</f>
        <v/>
      </c>
      <c r="J171">
        <f>CurrentPositions!J166</f>
        <v/>
      </c>
    </row>
    <row r="172">
      <c r="A172">
        <f>CurrentPositions!A167</f>
        <v/>
      </c>
      <c r="B172">
        <f>CurrentPositions!B167</f>
        <v/>
      </c>
      <c r="C172">
        <f>CurrentPositions!C167</f>
        <v/>
      </c>
      <c r="D172">
        <f>CurrentPositions!D167</f>
        <v/>
      </c>
      <c r="E172">
        <f>CurrentPositions!E167</f>
        <v/>
      </c>
      <c r="F172">
        <f>$B$4</f>
        <v/>
      </c>
      <c r="G172">
        <f>IF(B172="BUY",(F172-E172)/Settings!$B$3,(E172-F172)/Settings!$B$3)</f>
        <v/>
      </c>
      <c r="H172">
        <f>G172*D172*Settings!$B$4</f>
        <v/>
      </c>
      <c r="I172">
        <f>CurrentPositions!I167</f>
        <v/>
      </c>
      <c r="J172">
        <f>CurrentPositions!J167</f>
        <v/>
      </c>
    </row>
    <row r="173">
      <c r="A173">
        <f>CurrentPositions!A168</f>
        <v/>
      </c>
      <c r="B173">
        <f>CurrentPositions!B168</f>
        <v/>
      </c>
      <c r="C173">
        <f>CurrentPositions!C168</f>
        <v/>
      </c>
      <c r="D173">
        <f>CurrentPositions!D168</f>
        <v/>
      </c>
      <c r="E173">
        <f>CurrentPositions!E168</f>
        <v/>
      </c>
      <c r="F173">
        <f>$B$4</f>
        <v/>
      </c>
      <c r="G173">
        <f>IF(B173="BUY",(F173-E173)/Settings!$B$3,(E173-F173)/Settings!$B$3)</f>
        <v/>
      </c>
      <c r="H173">
        <f>G173*D173*Settings!$B$4</f>
        <v/>
      </c>
      <c r="I173">
        <f>CurrentPositions!I168</f>
        <v/>
      </c>
      <c r="J173">
        <f>CurrentPositions!J168</f>
        <v/>
      </c>
    </row>
    <row r="174">
      <c r="A174">
        <f>CurrentPositions!A169</f>
        <v/>
      </c>
      <c r="B174">
        <f>CurrentPositions!B169</f>
        <v/>
      </c>
      <c r="C174">
        <f>CurrentPositions!C169</f>
        <v/>
      </c>
      <c r="D174">
        <f>CurrentPositions!D169</f>
        <v/>
      </c>
      <c r="E174">
        <f>CurrentPositions!E169</f>
        <v/>
      </c>
      <c r="F174">
        <f>$B$4</f>
        <v/>
      </c>
      <c r="G174">
        <f>IF(B174="BUY",(F174-E174)/Settings!$B$3,(E174-F174)/Settings!$B$3)</f>
        <v/>
      </c>
      <c r="H174">
        <f>G174*D174*Settings!$B$4</f>
        <v/>
      </c>
      <c r="I174">
        <f>CurrentPositions!I169</f>
        <v/>
      </c>
      <c r="J174">
        <f>CurrentPositions!J169</f>
        <v/>
      </c>
    </row>
    <row r="175">
      <c r="A175">
        <f>CurrentPositions!A170</f>
        <v/>
      </c>
      <c r="B175">
        <f>CurrentPositions!B170</f>
        <v/>
      </c>
      <c r="C175">
        <f>CurrentPositions!C170</f>
        <v/>
      </c>
      <c r="D175">
        <f>CurrentPositions!D170</f>
        <v/>
      </c>
      <c r="E175">
        <f>CurrentPositions!E170</f>
        <v/>
      </c>
      <c r="F175">
        <f>$B$4</f>
        <v/>
      </c>
      <c r="G175">
        <f>IF(B175="BUY",(F175-E175)/Settings!$B$3,(E175-F175)/Settings!$B$3)</f>
        <v/>
      </c>
      <c r="H175">
        <f>G175*D175*Settings!$B$4</f>
        <v/>
      </c>
      <c r="I175">
        <f>CurrentPositions!I170</f>
        <v/>
      </c>
      <c r="J175">
        <f>CurrentPositions!J170</f>
        <v/>
      </c>
    </row>
    <row r="176">
      <c r="A176">
        <f>CurrentPositions!A171</f>
        <v/>
      </c>
      <c r="B176">
        <f>CurrentPositions!B171</f>
        <v/>
      </c>
      <c r="C176">
        <f>CurrentPositions!C171</f>
        <v/>
      </c>
      <c r="D176">
        <f>CurrentPositions!D171</f>
        <v/>
      </c>
      <c r="E176">
        <f>CurrentPositions!E171</f>
        <v/>
      </c>
      <c r="F176">
        <f>$B$4</f>
        <v/>
      </c>
      <c r="G176">
        <f>IF(B176="BUY",(F176-E176)/Settings!$B$3,(E176-F176)/Settings!$B$3)</f>
        <v/>
      </c>
      <c r="H176">
        <f>G176*D176*Settings!$B$4</f>
        <v/>
      </c>
      <c r="I176">
        <f>CurrentPositions!I171</f>
        <v/>
      </c>
      <c r="J176">
        <f>CurrentPositions!J171</f>
        <v/>
      </c>
    </row>
    <row r="177">
      <c r="A177">
        <f>CurrentPositions!A172</f>
        <v/>
      </c>
      <c r="B177">
        <f>CurrentPositions!B172</f>
        <v/>
      </c>
      <c r="C177">
        <f>CurrentPositions!C172</f>
        <v/>
      </c>
      <c r="D177">
        <f>CurrentPositions!D172</f>
        <v/>
      </c>
      <c r="E177">
        <f>CurrentPositions!E172</f>
        <v/>
      </c>
      <c r="F177">
        <f>$B$4</f>
        <v/>
      </c>
      <c r="G177">
        <f>IF(B177="BUY",(F177-E177)/Settings!$B$3,(E177-F177)/Settings!$B$3)</f>
        <v/>
      </c>
      <c r="H177">
        <f>G177*D177*Settings!$B$4</f>
        <v/>
      </c>
      <c r="I177">
        <f>CurrentPositions!I172</f>
        <v/>
      </c>
      <c r="J177">
        <f>CurrentPositions!J172</f>
        <v/>
      </c>
    </row>
    <row r="178">
      <c r="A178">
        <f>CurrentPositions!A173</f>
        <v/>
      </c>
      <c r="B178">
        <f>CurrentPositions!B173</f>
        <v/>
      </c>
      <c r="C178">
        <f>CurrentPositions!C173</f>
        <v/>
      </c>
      <c r="D178">
        <f>CurrentPositions!D173</f>
        <v/>
      </c>
      <c r="E178">
        <f>CurrentPositions!E173</f>
        <v/>
      </c>
      <c r="F178">
        <f>$B$4</f>
        <v/>
      </c>
      <c r="G178">
        <f>IF(B178="BUY",(F178-E178)/Settings!$B$3,(E178-F178)/Settings!$B$3)</f>
        <v/>
      </c>
      <c r="H178">
        <f>G178*D178*Settings!$B$4</f>
        <v/>
      </c>
      <c r="I178">
        <f>CurrentPositions!I173</f>
        <v/>
      </c>
      <c r="J178">
        <f>CurrentPositions!J173</f>
        <v/>
      </c>
    </row>
    <row r="179">
      <c r="A179">
        <f>CurrentPositions!A174</f>
        <v/>
      </c>
      <c r="B179">
        <f>CurrentPositions!B174</f>
        <v/>
      </c>
      <c r="C179">
        <f>CurrentPositions!C174</f>
        <v/>
      </c>
      <c r="D179">
        <f>CurrentPositions!D174</f>
        <v/>
      </c>
      <c r="E179">
        <f>CurrentPositions!E174</f>
        <v/>
      </c>
      <c r="F179">
        <f>$B$4</f>
        <v/>
      </c>
      <c r="G179">
        <f>IF(B179="BUY",(F179-E179)/Settings!$B$3,(E179-F179)/Settings!$B$3)</f>
        <v/>
      </c>
      <c r="H179">
        <f>G179*D179*Settings!$B$4</f>
        <v/>
      </c>
      <c r="I179">
        <f>CurrentPositions!I174</f>
        <v/>
      </c>
      <c r="J179">
        <f>CurrentPositions!J174</f>
        <v/>
      </c>
    </row>
    <row r="180">
      <c r="A180">
        <f>CurrentPositions!A175</f>
        <v/>
      </c>
      <c r="B180">
        <f>CurrentPositions!B175</f>
        <v/>
      </c>
      <c r="C180">
        <f>CurrentPositions!C175</f>
        <v/>
      </c>
      <c r="D180">
        <f>CurrentPositions!D175</f>
        <v/>
      </c>
      <c r="E180">
        <f>CurrentPositions!E175</f>
        <v/>
      </c>
      <c r="F180">
        <f>$B$4</f>
        <v/>
      </c>
      <c r="G180">
        <f>IF(B180="BUY",(F180-E180)/Settings!$B$3,(E180-F180)/Settings!$B$3)</f>
        <v/>
      </c>
      <c r="H180">
        <f>G180*D180*Settings!$B$4</f>
        <v/>
      </c>
      <c r="I180">
        <f>CurrentPositions!I175</f>
        <v/>
      </c>
      <c r="J180">
        <f>CurrentPositions!J175</f>
        <v/>
      </c>
    </row>
    <row r="181">
      <c r="A181">
        <f>CurrentPositions!A176</f>
        <v/>
      </c>
      <c r="B181">
        <f>CurrentPositions!B176</f>
        <v/>
      </c>
      <c r="C181">
        <f>CurrentPositions!C176</f>
        <v/>
      </c>
      <c r="D181">
        <f>CurrentPositions!D176</f>
        <v/>
      </c>
      <c r="E181">
        <f>CurrentPositions!E176</f>
        <v/>
      </c>
      <c r="F181">
        <f>$B$4</f>
        <v/>
      </c>
      <c r="G181">
        <f>IF(B181="BUY",(F181-E181)/Settings!$B$3,(E181-F181)/Settings!$B$3)</f>
        <v/>
      </c>
      <c r="H181">
        <f>G181*D181*Settings!$B$4</f>
        <v/>
      </c>
      <c r="I181">
        <f>CurrentPositions!I176</f>
        <v/>
      </c>
      <c r="J181">
        <f>CurrentPositions!J176</f>
        <v/>
      </c>
    </row>
    <row r="182">
      <c r="A182">
        <f>CurrentPositions!A177</f>
        <v/>
      </c>
      <c r="B182">
        <f>CurrentPositions!B177</f>
        <v/>
      </c>
      <c r="C182">
        <f>CurrentPositions!C177</f>
        <v/>
      </c>
      <c r="D182">
        <f>CurrentPositions!D177</f>
        <v/>
      </c>
      <c r="E182">
        <f>CurrentPositions!E177</f>
        <v/>
      </c>
      <c r="F182">
        <f>$B$4</f>
        <v/>
      </c>
      <c r="G182">
        <f>IF(B182="BUY",(F182-E182)/Settings!$B$3,(E182-F182)/Settings!$B$3)</f>
        <v/>
      </c>
      <c r="H182">
        <f>G182*D182*Settings!$B$4</f>
        <v/>
      </c>
      <c r="I182">
        <f>CurrentPositions!I177</f>
        <v/>
      </c>
      <c r="J182">
        <f>CurrentPositions!J177</f>
        <v/>
      </c>
    </row>
    <row r="183">
      <c r="A183">
        <f>CurrentPositions!A178</f>
        <v/>
      </c>
      <c r="B183">
        <f>CurrentPositions!B178</f>
        <v/>
      </c>
      <c r="C183">
        <f>CurrentPositions!C178</f>
        <v/>
      </c>
      <c r="D183">
        <f>CurrentPositions!D178</f>
        <v/>
      </c>
      <c r="E183">
        <f>CurrentPositions!E178</f>
        <v/>
      </c>
      <c r="F183">
        <f>$B$4</f>
        <v/>
      </c>
      <c r="G183">
        <f>IF(B183="BUY",(F183-E183)/Settings!$B$3,(E183-F183)/Settings!$B$3)</f>
        <v/>
      </c>
      <c r="H183">
        <f>G183*D183*Settings!$B$4</f>
        <v/>
      </c>
      <c r="I183">
        <f>CurrentPositions!I178</f>
        <v/>
      </c>
      <c r="J183">
        <f>CurrentPositions!J178</f>
        <v/>
      </c>
    </row>
    <row r="184">
      <c r="A184">
        <f>CurrentPositions!A179</f>
        <v/>
      </c>
      <c r="B184">
        <f>CurrentPositions!B179</f>
        <v/>
      </c>
      <c r="C184">
        <f>CurrentPositions!C179</f>
        <v/>
      </c>
      <c r="D184">
        <f>CurrentPositions!D179</f>
        <v/>
      </c>
      <c r="E184">
        <f>CurrentPositions!E179</f>
        <v/>
      </c>
      <c r="F184">
        <f>$B$4</f>
        <v/>
      </c>
      <c r="G184">
        <f>IF(B184="BUY",(F184-E184)/Settings!$B$3,(E184-F184)/Settings!$B$3)</f>
        <v/>
      </c>
      <c r="H184">
        <f>G184*D184*Settings!$B$4</f>
        <v/>
      </c>
      <c r="I184">
        <f>CurrentPositions!I179</f>
        <v/>
      </c>
      <c r="J184">
        <f>CurrentPositions!J179</f>
        <v/>
      </c>
    </row>
    <row r="185">
      <c r="A185">
        <f>CurrentPositions!A180</f>
        <v/>
      </c>
      <c r="B185">
        <f>CurrentPositions!B180</f>
        <v/>
      </c>
      <c r="C185">
        <f>CurrentPositions!C180</f>
        <v/>
      </c>
      <c r="D185">
        <f>CurrentPositions!D180</f>
        <v/>
      </c>
      <c r="E185">
        <f>CurrentPositions!E180</f>
        <v/>
      </c>
      <c r="F185">
        <f>$B$4</f>
        <v/>
      </c>
      <c r="G185">
        <f>IF(B185="BUY",(F185-E185)/Settings!$B$3,(E185-F185)/Settings!$B$3)</f>
        <v/>
      </c>
      <c r="H185">
        <f>G185*D185*Settings!$B$4</f>
        <v/>
      </c>
      <c r="I185">
        <f>CurrentPositions!I180</f>
        <v/>
      </c>
      <c r="J185">
        <f>CurrentPositions!J180</f>
        <v/>
      </c>
    </row>
    <row r="186">
      <c r="A186">
        <f>CurrentPositions!A181</f>
        <v/>
      </c>
      <c r="B186">
        <f>CurrentPositions!B181</f>
        <v/>
      </c>
      <c r="C186">
        <f>CurrentPositions!C181</f>
        <v/>
      </c>
      <c r="D186">
        <f>CurrentPositions!D181</f>
        <v/>
      </c>
      <c r="E186">
        <f>CurrentPositions!E181</f>
        <v/>
      </c>
      <c r="F186">
        <f>$B$4</f>
        <v/>
      </c>
      <c r="G186">
        <f>IF(B186="BUY",(F186-E186)/Settings!$B$3,(E186-F186)/Settings!$B$3)</f>
        <v/>
      </c>
      <c r="H186">
        <f>G186*D186*Settings!$B$4</f>
        <v/>
      </c>
      <c r="I186">
        <f>CurrentPositions!I181</f>
        <v/>
      </c>
      <c r="J186">
        <f>CurrentPositions!J181</f>
        <v/>
      </c>
    </row>
    <row r="187">
      <c r="A187">
        <f>CurrentPositions!A182</f>
        <v/>
      </c>
      <c r="B187">
        <f>CurrentPositions!B182</f>
        <v/>
      </c>
      <c r="C187">
        <f>CurrentPositions!C182</f>
        <v/>
      </c>
      <c r="D187">
        <f>CurrentPositions!D182</f>
        <v/>
      </c>
      <c r="E187">
        <f>CurrentPositions!E182</f>
        <v/>
      </c>
      <c r="F187">
        <f>$B$4</f>
        <v/>
      </c>
      <c r="G187">
        <f>IF(B187="BUY",(F187-E187)/Settings!$B$3,(E187-F187)/Settings!$B$3)</f>
        <v/>
      </c>
      <c r="H187">
        <f>G187*D187*Settings!$B$4</f>
        <v/>
      </c>
      <c r="I187">
        <f>CurrentPositions!I182</f>
        <v/>
      </c>
      <c r="J187">
        <f>CurrentPositions!J182</f>
        <v/>
      </c>
    </row>
    <row r="188">
      <c r="A188">
        <f>CurrentPositions!A183</f>
        <v/>
      </c>
      <c r="B188">
        <f>CurrentPositions!B183</f>
        <v/>
      </c>
      <c r="C188">
        <f>CurrentPositions!C183</f>
        <v/>
      </c>
      <c r="D188">
        <f>CurrentPositions!D183</f>
        <v/>
      </c>
      <c r="E188">
        <f>CurrentPositions!E183</f>
        <v/>
      </c>
      <c r="F188">
        <f>$B$4</f>
        <v/>
      </c>
      <c r="G188">
        <f>IF(B188="BUY",(F188-E188)/Settings!$B$3,(E188-F188)/Settings!$B$3)</f>
        <v/>
      </c>
      <c r="H188">
        <f>G188*D188*Settings!$B$4</f>
        <v/>
      </c>
      <c r="I188">
        <f>CurrentPositions!I183</f>
        <v/>
      </c>
      <c r="J188">
        <f>CurrentPositions!J183</f>
        <v/>
      </c>
    </row>
    <row r="189">
      <c r="A189">
        <f>CurrentPositions!A184</f>
        <v/>
      </c>
      <c r="B189">
        <f>CurrentPositions!B184</f>
        <v/>
      </c>
      <c r="C189">
        <f>CurrentPositions!C184</f>
        <v/>
      </c>
      <c r="D189">
        <f>CurrentPositions!D184</f>
        <v/>
      </c>
      <c r="E189">
        <f>CurrentPositions!E184</f>
        <v/>
      </c>
      <c r="F189">
        <f>$B$4</f>
        <v/>
      </c>
      <c r="G189">
        <f>IF(B189="BUY",(F189-E189)/Settings!$B$3,(E189-F189)/Settings!$B$3)</f>
        <v/>
      </c>
      <c r="H189">
        <f>G189*D189*Settings!$B$4</f>
        <v/>
      </c>
      <c r="I189">
        <f>CurrentPositions!I184</f>
        <v/>
      </c>
      <c r="J189">
        <f>CurrentPositions!J184</f>
        <v/>
      </c>
    </row>
    <row r="190">
      <c r="A190">
        <f>CurrentPositions!A185</f>
        <v/>
      </c>
      <c r="B190">
        <f>CurrentPositions!B185</f>
        <v/>
      </c>
      <c r="C190">
        <f>CurrentPositions!C185</f>
        <v/>
      </c>
      <c r="D190">
        <f>CurrentPositions!D185</f>
        <v/>
      </c>
      <c r="E190">
        <f>CurrentPositions!E185</f>
        <v/>
      </c>
      <c r="F190">
        <f>$B$4</f>
        <v/>
      </c>
      <c r="G190">
        <f>IF(B190="BUY",(F190-E190)/Settings!$B$3,(E190-F190)/Settings!$B$3)</f>
        <v/>
      </c>
      <c r="H190">
        <f>G190*D190*Settings!$B$4</f>
        <v/>
      </c>
      <c r="I190">
        <f>CurrentPositions!I185</f>
        <v/>
      </c>
      <c r="J190">
        <f>CurrentPositions!J185</f>
        <v/>
      </c>
    </row>
    <row r="191">
      <c r="A191">
        <f>CurrentPositions!A186</f>
        <v/>
      </c>
      <c r="B191">
        <f>CurrentPositions!B186</f>
        <v/>
      </c>
      <c r="C191">
        <f>CurrentPositions!C186</f>
        <v/>
      </c>
      <c r="D191">
        <f>CurrentPositions!D186</f>
        <v/>
      </c>
      <c r="E191">
        <f>CurrentPositions!E186</f>
        <v/>
      </c>
      <c r="F191">
        <f>$B$4</f>
        <v/>
      </c>
      <c r="G191">
        <f>IF(B191="BUY",(F191-E191)/Settings!$B$3,(E191-F191)/Settings!$B$3)</f>
        <v/>
      </c>
      <c r="H191">
        <f>G191*D191*Settings!$B$4</f>
        <v/>
      </c>
      <c r="I191">
        <f>CurrentPositions!I186</f>
        <v/>
      </c>
      <c r="J191">
        <f>CurrentPositions!J186</f>
        <v/>
      </c>
    </row>
    <row r="192">
      <c r="A192">
        <f>CurrentPositions!A187</f>
        <v/>
      </c>
      <c r="B192">
        <f>CurrentPositions!B187</f>
        <v/>
      </c>
      <c r="C192">
        <f>CurrentPositions!C187</f>
        <v/>
      </c>
      <c r="D192">
        <f>CurrentPositions!D187</f>
        <v/>
      </c>
      <c r="E192">
        <f>CurrentPositions!E187</f>
        <v/>
      </c>
      <c r="F192">
        <f>$B$4</f>
        <v/>
      </c>
      <c r="G192">
        <f>IF(B192="BUY",(F192-E192)/Settings!$B$3,(E192-F192)/Settings!$B$3)</f>
        <v/>
      </c>
      <c r="H192">
        <f>G192*D192*Settings!$B$4</f>
        <v/>
      </c>
      <c r="I192">
        <f>CurrentPositions!I187</f>
        <v/>
      </c>
      <c r="J192">
        <f>CurrentPositions!J187</f>
        <v/>
      </c>
    </row>
    <row r="193">
      <c r="A193">
        <f>CurrentPositions!A188</f>
        <v/>
      </c>
      <c r="B193">
        <f>CurrentPositions!B188</f>
        <v/>
      </c>
      <c r="C193">
        <f>CurrentPositions!C188</f>
        <v/>
      </c>
      <c r="D193">
        <f>CurrentPositions!D188</f>
        <v/>
      </c>
      <c r="E193">
        <f>CurrentPositions!E188</f>
        <v/>
      </c>
      <c r="F193">
        <f>$B$4</f>
        <v/>
      </c>
      <c r="G193">
        <f>IF(B193="BUY",(F193-E193)/Settings!$B$3,(E193-F193)/Settings!$B$3)</f>
        <v/>
      </c>
      <c r="H193">
        <f>G193*D193*Settings!$B$4</f>
        <v/>
      </c>
      <c r="I193">
        <f>CurrentPositions!I188</f>
        <v/>
      </c>
      <c r="J193">
        <f>CurrentPositions!J188</f>
        <v/>
      </c>
    </row>
    <row r="194">
      <c r="A194">
        <f>CurrentPositions!A189</f>
        <v/>
      </c>
      <c r="B194">
        <f>CurrentPositions!B189</f>
        <v/>
      </c>
      <c r="C194">
        <f>CurrentPositions!C189</f>
        <v/>
      </c>
      <c r="D194">
        <f>CurrentPositions!D189</f>
        <v/>
      </c>
      <c r="E194">
        <f>CurrentPositions!E189</f>
        <v/>
      </c>
      <c r="F194">
        <f>$B$4</f>
        <v/>
      </c>
      <c r="G194">
        <f>IF(B194="BUY",(F194-E194)/Settings!$B$3,(E194-F194)/Settings!$B$3)</f>
        <v/>
      </c>
      <c r="H194">
        <f>G194*D194*Settings!$B$4</f>
        <v/>
      </c>
      <c r="I194">
        <f>CurrentPositions!I189</f>
        <v/>
      </c>
      <c r="J194">
        <f>CurrentPositions!J189</f>
        <v/>
      </c>
    </row>
    <row r="195">
      <c r="A195">
        <f>CurrentPositions!A190</f>
        <v/>
      </c>
      <c r="B195">
        <f>CurrentPositions!B190</f>
        <v/>
      </c>
      <c r="C195">
        <f>CurrentPositions!C190</f>
        <v/>
      </c>
      <c r="D195">
        <f>CurrentPositions!D190</f>
        <v/>
      </c>
      <c r="E195">
        <f>CurrentPositions!E190</f>
        <v/>
      </c>
      <c r="F195">
        <f>$B$4</f>
        <v/>
      </c>
      <c r="G195">
        <f>IF(B195="BUY",(F195-E195)/Settings!$B$3,(E195-F195)/Settings!$B$3)</f>
        <v/>
      </c>
      <c r="H195">
        <f>G195*D195*Settings!$B$4</f>
        <v/>
      </c>
      <c r="I195">
        <f>CurrentPositions!I190</f>
        <v/>
      </c>
      <c r="J195">
        <f>CurrentPositions!J190</f>
        <v/>
      </c>
    </row>
    <row r="196">
      <c r="A196">
        <f>CurrentPositions!A191</f>
        <v/>
      </c>
      <c r="B196">
        <f>CurrentPositions!B191</f>
        <v/>
      </c>
      <c r="C196">
        <f>CurrentPositions!C191</f>
        <v/>
      </c>
      <c r="D196">
        <f>CurrentPositions!D191</f>
        <v/>
      </c>
      <c r="E196">
        <f>CurrentPositions!E191</f>
        <v/>
      </c>
      <c r="F196">
        <f>$B$4</f>
        <v/>
      </c>
      <c r="G196">
        <f>IF(B196="BUY",(F196-E196)/Settings!$B$3,(E196-F196)/Settings!$B$3)</f>
        <v/>
      </c>
      <c r="H196">
        <f>G196*D196*Settings!$B$4</f>
        <v/>
      </c>
      <c r="I196">
        <f>CurrentPositions!I191</f>
        <v/>
      </c>
      <c r="J196">
        <f>CurrentPositions!J191</f>
        <v/>
      </c>
    </row>
    <row r="197">
      <c r="A197">
        <f>CurrentPositions!A192</f>
        <v/>
      </c>
      <c r="B197">
        <f>CurrentPositions!B192</f>
        <v/>
      </c>
      <c r="C197">
        <f>CurrentPositions!C192</f>
        <v/>
      </c>
      <c r="D197">
        <f>CurrentPositions!D192</f>
        <v/>
      </c>
      <c r="E197">
        <f>CurrentPositions!E192</f>
        <v/>
      </c>
      <c r="F197">
        <f>$B$4</f>
        <v/>
      </c>
      <c r="G197">
        <f>IF(B197="BUY",(F197-E197)/Settings!$B$3,(E197-F197)/Settings!$B$3)</f>
        <v/>
      </c>
      <c r="H197">
        <f>G197*D197*Settings!$B$4</f>
        <v/>
      </c>
      <c r="I197">
        <f>CurrentPositions!I192</f>
        <v/>
      </c>
      <c r="J197">
        <f>CurrentPositions!J192</f>
        <v/>
      </c>
    </row>
    <row r="198">
      <c r="A198">
        <f>CurrentPositions!A193</f>
        <v/>
      </c>
      <c r="B198">
        <f>CurrentPositions!B193</f>
        <v/>
      </c>
      <c r="C198">
        <f>CurrentPositions!C193</f>
        <v/>
      </c>
      <c r="D198">
        <f>CurrentPositions!D193</f>
        <v/>
      </c>
      <c r="E198">
        <f>CurrentPositions!E193</f>
        <v/>
      </c>
      <c r="F198">
        <f>$B$4</f>
        <v/>
      </c>
      <c r="G198">
        <f>IF(B198="BUY",(F198-E198)/Settings!$B$3,(E198-F198)/Settings!$B$3)</f>
        <v/>
      </c>
      <c r="H198">
        <f>G198*D198*Settings!$B$4</f>
        <v/>
      </c>
      <c r="I198">
        <f>CurrentPositions!I193</f>
        <v/>
      </c>
      <c r="J198">
        <f>CurrentPositions!J193</f>
        <v/>
      </c>
    </row>
    <row r="199">
      <c r="A199">
        <f>CurrentPositions!A194</f>
        <v/>
      </c>
      <c r="B199">
        <f>CurrentPositions!B194</f>
        <v/>
      </c>
      <c r="C199">
        <f>CurrentPositions!C194</f>
        <v/>
      </c>
      <c r="D199">
        <f>CurrentPositions!D194</f>
        <v/>
      </c>
      <c r="E199">
        <f>CurrentPositions!E194</f>
        <v/>
      </c>
      <c r="F199">
        <f>$B$4</f>
        <v/>
      </c>
      <c r="G199">
        <f>IF(B199="BUY",(F199-E199)/Settings!$B$3,(E199-F199)/Settings!$B$3)</f>
        <v/>
      </c>
      <c r="H199">
        <f>G199*D199*Settings!$B$4</f>
        <v/>
      </c>
      <c r="I199">
        <f>CurrentPositions!I194</f>
        <v/>
      </c>
      <c r="J199">
        <f>CurrentPositions!J194</f>
        <v/>
      </c>
    </row>
    <row r="200">
      <c r="A200">
        <f>CurrentPositions!A195</f>
        <v/>
      </c>
      <c r="B200">
        <f>CurrentPositions!B195</f>
        <v/>
      </c>
      <c r="C200">
        <f>CurrentPositions!C195</f>
        <v/>
      </c>
      <c r="D200">
        <f>CurrentPositions!D195</f>
        <v/>
      </c>
      <c r="E200">
        <f>CurrentPositions!E195</f>
        <v/>
      </c>
      <c r="F200">
        <f>$B$4</f>
        <v/>
      </c>
      <c r="G200">
        <f>IF(B200="BUY",(F200-E200)/Settings!$B$3,(E200-F200)/Settings!$B$3)</f>
        <v/>
      </c>
      <c r="H200">
        <f>G200*D200*Settings!$B$4</f>
        <v/>
      </c>
      <c r="I200">
        <f>CurrentPositions!I195</f>
        <v/>
      </c>
      <c r="J200">
        <f>CurrentPositions!J195</f>
        <v/>
      </c>
    </row>
    <row r="201">
      <c r="A201">
        <f>CurrentPositions!A196</f>
        <v/>
      </c>
      <c r="B201">
        <f>CurrentPositions!B196</f>
        <v/>
      </c>
      <c r="C201">
        <f>CurrentPositions!C196</f>
        <v/>
      </c>
      <c r="D201">
        <f>CurrentPositions!D196</f>
        <v/>
      </c>
      <c r="E201">
        <f>CurrentPositions!E196</f>
        <v/>
      </c>
      <c r="F201">
        <f>$B$4</f>
        <v/>
      </c>
      <c r="G201">
        <f>IF(B201="BUY",(F201-E201)/Settings!$B$3,(E201-F201)/Settings!$B$3)</f>
        <v/>
      </c>
      <c r="H201">
        <f>G201*D201*Settings!$B$4</f>
        <v/>
      </c>
      <c r="I201">
        <f>CurrentPositions!I196</f>
        <v/>
      </c>
      <c r="J201">
        <f>CurrentPositions!J196</f>
        <v/>
      </c>
    </row>
    <row r="202">
      <c r="A202">
        <f>CurrentPositions!A197</f>
        <v/>
      </c>
      <c r="B202">
        <f>CurrentPositions!B197</f>
        <v/>
      </c>
      <c r="C202">
        <f>CurrentPositions!C197</f>
        <v/>
      </c>
      <c r="D202">
        <f>CurrentPositions!D197</f>
        <v/>
      </c>
      <c r="E202">
        <f>CurrentPositions!E197</f>
        <v/>
      </c>
      <c r="F202">
        <f>$B$4</f>
        <v/>
      </c>
      <c r="G202">
        <f>IF(B202="BUY",(F202-E202)/Settings!$B$3,(E202-F202)/Settings!$B$3)</f>
        <v/>
      </c>
      <c r="H202">
        <f>G202*D202*Settings!$B$4</f>
        <v/>
      </c>
      <c r="I202">
        <f>CurrentPositions!I197</f>
        <v/>
      </c>
      <c r="J202">
        <f>CurrentPositions!J197</f>
        <v/>
      </c>
    </row>
    <row r="203">
      <c r="A203">
        <f>CurrentPositions!A198</f>
        <v/>
      </c>
      <c r="B203">
        <f>CurrentPositions!B198</f>
        <v/>
      </c>
      <c r="C203">
        <f>CurrentPositions!C198</f>
        <v/>
      </c>
      <c r="D203">
        <f>CurrentPositions!D198</f>
        <v/>
      </c>
      <c r="E203">
        <f>CurrentPositions!E198</f>
        <v/>
      </c>
      <c r="F203">
        <f>$B$4</f>
        <v/>
      </c>
      <c r="G203">
        <f>IF(B203="BUY",(F203-E203)/Settings!$B$3,(E203-F203)/Settings!$B$3)</f>
        <v/>
      </c>
      <c r="H203">
        <f>G203*D203*Settings!$B$4</f>
        <v/>
      </c>
      <c r="I203">
        <f>CurrentPositions!I198</f>
        <v/>
      </c>
      <c r="J203">
        <f>CurrentPositions!J198</f>
        <v/>
      </c>
    </row>
    <row r="204">
      <c r="A204">
        <f>CurrentPositions!A199</f>
        <v/>
      </c>
      <c r="B204">
        <f>CurrentPositions!B199</f>
        <v/>
      </c>
      <c r="C204">
        <f>CurrentPositions!C199</f>
        <v/>
      </c>
      <c r="D204">
        <f>CurrentPositions!D199</f>
        <v/>
      </c>
      <c r="E204">
        <f>CurrentPositions!E199</f>
        <v/>
      </c>
      <c r="F204">
        <f>$B$4</f>
        <v/>
      </c>
      <c r="G204">
        <f>IF(B204="BUY",(F204-E204)/Settings!$B$3,(E204-F204)/Settings!$B$3)</f>
        <v/>
      </c>
      <c r="H204">
        <f>G204*D204*Settings!$B$4</f>
        <v/>
      </c>
      <c r="I204">
        <f>CurrentPositions!I199</f>
        <v/>
      </c>
      <c r="J204">
        <f>CurrentPositions!J199</f>
        <v/>
      </c>
    </row>
    <row r="205">
      <c r="A205">
        <f>CurrentPositions!A200</f>
        <v/>
      </c>
      <c r="B205">
        <f>CurrentPositions!B200</f>
        <v/>
      </c>
      <c r="C205">
        <f>CurrentPositions!C200</f>
        <v/>
      </c>
      <c r="D205">
        <f>CurrentPositions!D200</f>
        <v/>
      </c>
      <c r="E205">
        <f>CurrentPositions!E200</f>
        <v/>
      </c>
      <c r="F205">
        <f>$B$4</f>
        <v/>
      </c>
      <c r="G205">
        <f>IF(B205="BUY",(F205-E205)/Settings!$B$3,(E205-F205)/Settings!$B$3)</f>
        <v/>
      </c>
      <c r="H205">
        <f>G205*D205*Settings!$B$4</f>
        <v/>
      </c>
      <c r="I205">
        <f>CurrentPositions!I200</f>
        <v/>
      </c>
      <c r="J205">
        <f>CurrentPositions!J200</f>
        <v/>
      </c>
    </row>
    <row r="206">
      <c r="A206">
        <f>CurrentPositions!A201</f>
        <v/>
      </c>
      <c r="B206">
        <f>CurrentPositions!B201</f>
        <v/>
      </c>
      <c r="C206">
        <f>CurrentPositions!C201</f>
        <v/>
      </c>
      <c r="D206">
        <f>CurrentPositions!D201</f>
        <v/>
      </c>
      <c r="E206">
        <f>CurrentPositions!E201</f>
        <v/>
      </c>
      <c r="F206">
        <f>$B$4</f>
        <v/>
      </c>
      <c r="G206">
        <f>IF(B206="BUY",(F206-E206)/Settings!$B$3,(E206-F206)/Settings!$B$3)</f>
        <v/>
      </c>
      <c r="H206">
        <f>G206*D206*Settings!$B$4</f>
        <v/>
      </c>
      <c r="I206">
        <f>CurrentPositions!I201</f>
        <v/>
      </c>
      <c r="J206">
        <f>CurrentPositions!J201</f>
        <v/>
      </c>
    </row>
    <row r="220">
      <c r="A220" t="inlineStr">
        <is>
          <t>TailType</t>
        </is>
      </c>
      <c r="B220" t="inlineStr">
        <is>
          <t>BUY</t>
        </is>
      </c>
    </row>
    <row r="221">
      <c r="A221" t="inlineStr">
        <is>
          <t>TailTicket</t>
        </is>
      </c>
      <c r="B221">
        <f>IFERROR(INDEX(A7:A206,MATCH(MINIFS(H7:H206,B7:B206,"BUY",H7:H206,"&lt;0"),H7:H206,0)),"N/A")</f>
        <v/>
      </c>
    </row>
    <row r="222">
      <c r="A222" t="inlineStr">
        <is>
          <t>TailLot</t>
        </is>
      </c>
      <c r="B222">
        <f>IF(B221="N/A",0,XLOOKUP(B221,A7:A206,D7:D206,0))</f>
        <v/>
      </c>
    </row>
    <row r="223">
      <c r="A223" t="inlineStr">
        <is>
          <t>TailLossMoney</t>
        </is>
      </c>
      <c r="B223">
        <f>IF(B221="N/A",0,ABS(XLOOKUP(B221,A7:A206,H7:H206,0)))</f>
        <v/>
      </c>
    </row>
    <row r="224">
      <c r="A224" t="inlineStr">
        <is>
          <t>TailLossPerLot</t>
        </is>
      </c>
      <c r="B224">
        <f>IF(B222=0,0,ABS(B223/B222))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Scenario_UP!B220</f>
        <v/>
      </c>
    </row>
    <row r="3">
      <c r="A3" t="inlineStr">
        <is>
          <t>TailLot</t>
        </is>
      </c>
      <c r="B3">
        <f>Scenario_UP!B222</f>
        <v/>
      </c>
    </row>
    <row r="4">
      <c r="A4" t="inlineStr">
        <is>
          <t>NextLevel</t>
        </is>
      </c>
      <c r="B4" t="n">
        <v>1</v>
      </c>
    </row>
    <row r="5">
      <c r="A5" t="inlineStr">
        <is>
          <t>BigRatio</t>
        </is>
      </c>
      <c r="B5">
        <f>XLOOKUP(B4,Settings!A21:A24,Settings!B21:B24)</f>
        <v/>
      </c>
    </row>
    <row r="6">
      <c r="A6" t="inlineStr">
        <is>
          <t>SmallRatio</t>
        </is>
      </c>
      <c r="B6">
        <f>XLOOKUP(B4,Settings!A21:A24,Settings!C21:C24)</f>
        <v/>
      </c>
    </row>
    <row r="7">
      <c r="A7" t="inlineStr">
        <is>
          <t>BigLot</t>
        </is>
      </c>
      <c r="B7">
        <f>FLOOR(B3*B5,Settings!$B$7)</f>
        <v/>
      </c>
    </row>
    <row r="8">
      <c r="A8" t="inlineStr">
        <is>
          <t>SmallLot</t>
        </is>
      </c>
      <c r="B8">
        <f>FLOOR(B3*B6,Settings!$B$7)</f>
        <v/>
      </c>
    </row>
    <row r="9">
      <c r="A9" t="inlineStr">
        <is>
          <t>ActiveSections</t>
        </is>
      </c>
      <c r="B9">
        <f>COUNTIFS(CurrentPositions!C2:C500,"SECTION_BIG")</f>
        <v/>
      </c>
    </row>
    <row r="10">
      <c r="A10" t="inlineStr">
        <is>
          <t>TotalLotAfterOpen</t>
        </is>
      </c>
      <c r="B10">
        <f>SUM(CurrentPositions!D2:D500)+B7+B8</f>
        <v/>
      </c>
    </row>
    <row r="11">
      <c r="A11" t="inlineStr">
        <is>
          <t>NetLotAfterOpen</t>
        </is>
      </c>
      <c r="B11">
        <f>ABS(SUMIFS(CurrentPositions!D2:D500,CurrentPositions!B2:B500,"BUY")+IF(B2="BUY",B7,0)+IF(B2="SELL",B8,0)-SUMIFS(CurrentPositions!D2:D500,CurrentPositions!B2:B500,"SELL")-IF(B2="SELL",B7,0)-IF(B2="BUY",B8,0))</f>
        <v/>
      </c>
    </row>
    <row r="12">
      <c r="A12" t="inlineStr">
        <is>
          <t>LevelReached</t>
        </is>
      </c>
      <c r="B12">
        <f>IF(Scenario_UP!B4&gt;=INDEX(Scenario_UP!E4:E7,B4),"YES","NO")</f>
        <v/>
      </c>
    </row>
    <row r="13">
      <c r="A13" t="inlineStr">
        <is>
          <t>CanOpenSection</t>
        </is>
      </c>
      <c r="B13">
        <f>IF(AND(B7&gt;=Settings!$B$6,B8&gt;=Settings!$B$6,B8&lt;B7,B7&lt;=B3,B9&lt;Settings!$B$8,B10&lt;=Settings!$B$15,B11&lt;=Settings!$B$16,B12="YES"),"YES","NO")</f>
        <v/>
      </c>
    </row>
    <row r="20">
      <c r="A20" s="1" t="inlineStr">
        <is>
          <t>SectionID</t>
        </is>
      </c>
      <c r="B20" s="1" t="inlineStr">
        <is>
          <t>BigType</t>
        </is>
      </c>
      <c r="C20" s="1" t="inlineStr">
        <is>
          <t>BigLot</t>
        </is>
      </c>
      <c r="D20" s="1" t="inlineStr">
        <is>
          <t>BigOpenPrice</t>
        </is>
      </c>
      <c r="E20" s="1" t="inlineStr">
        <is>
          <t>SmallType</t>
        </is>
      </c>
      <c r="F20" s="1" t="inlineStr">
        <is>
          <t>SmallLot</t>
        </is>
      </c>
      <c r="G20" s="1" t="inlineStr">
        <is>
          <t>SmallOpenPrice</t>
        </is>
      </c>
      <c r="H20" s="1" t="inlineStr">
        <is>
          <t>ScenarioPrice</t>
        </is>
      </c>
      <c r="I20" s="1" t="inlineStr">
        <is>
          <t>BigPnL</t>
        </is>
      </c>
      <c r="J20" s="1" t="inlineStr">
        <is>
          <t>SmallPnL</t>
        </is>
      </c>
      <c r="K20" s="1" t="inlineStr">
        <is>
          <t>Costs</t>
        </is>
      </c>
      <c r="L20" s="1" t="inlineStr">
        <is>
          <t>CycleProfit</t>
        </is>
      </c>
      <c r="M20" s="1" t="inlineStr">
        <is>
          <t>CanCloseSection</t>
        </is>
      </c>
    </row>
    <row r="21">
      <c r="A21" t="inlineStr">
        <is>
          <t>S1</t>
        </is>
      </c>
      <c r="B21">
        <f>IFERROR(INDEX(CurrentPositions!B2:B500,MATCH(1,(CurrentPositions!C2:C500="SECTION_BIG")*(CurrentPositions!J2:J500=A21),0)),"")</f>
        <v/>
      </c>
      <c r="C21">
        <f>IFERROR(INDEX(CurrentPositions!D2:D500,MATCH(1,(CurrentPositions!C2:C500="SECTION_BIG")*(CurrentPositions!J2:J500=A21),0)),0)</f>
        <v/>
      </c>
      <c r="D21">
        <f>IFERROR(INDEX(CurrentPositions!E2:E500,MATCH(1,(CurrentPositions!C2:C500="SECTION_BIG")*(CurrentPositions!J2:J500=A21),0)),0)</f>
        <v/>
      </c>
      <c r="E21">
        <f>IFERROR(INDEX(CurrentPositions!B2:B500,MATCH(1,(CurrentPositions!C2:C500="SECTION_SMALL")*(CurrentPositions!J2:J500=A21),0)),"")</f>
        <v/>
      </c>
      <c r="F21">
        <f>IFERROR(INDEX(CurrentPositions!D2:D500,MATCH(1,(CurrentPositions!C2:C500="SECTION_SMALL")*(CurrentPositions!J2:J500=A21),0)),0)</f>
        <v/>
      </c>
      <c r="G21">
        <f>IFERROR(INDEX(CurrentPositions!E2:E500,MATCH(1,(CurrentPositions!C2:C500="SECTION_SMALL")*(CurrentPositions!J2:J500=A21),0)),0)</f>
        <v/>
      </c>
      <c r="H21">
        <f>Scenario_UP!B4</f>
        <v/>
      </c>
      <c r="I21">
        <f>IF(B21="",0,IF(B21="BUY",(H21-D21)/Settings!$B$3*C21*Settings!$B$4,(D21-H21)/Settings!$B$3*C21*Settings!$B$4))</f>
        <v/>
      </c>
      <c r="J21">
        <f>IF(E21="",0,IF(E21="BUY",(H21-G21)/Settings!$B$3*F21*Settings!$B$4,(G21-H21)/Settings!$B$3*F21*Settings!$B$4))</f>
        <v/>
      </c>
      <c r="K21">
        <f>(Settings!$B$12*Settings!$B$4*(C21+F21))+(Settings!$B$13*(C21+F21))+(Settings!$B$14*(C21+F21))</f>
        <v/>
      </c>
      <c r="L21">
        <f>I21+J21-K21</f>
        <v/>
      </c>
      <c r="M21">
        <f>IF(L21&gt;0,"YES","NO")</f>
        <v/>
      </c>
    </row>
    <row r="22">
      <c r="A22" t="inlineStr">
        <is>
          <t>S2</t>
        </is>
      </c>
      <c r="B22">
        <f>IFERROR(INDEX(CurrentPositions!B2:B500,MATCH(1,(CurrentPositions!C2:C500="SECTION_BIG")*(CurrentPositions!J2:J500=A22),0)),"")</f>
        <v/>
      </c>
      <c r="C22">
        <f>IFERROR(INDEX(CurrentPositions!D2:D500,MATCH(1,(CurrentPositions!C2:C500="SECTION_BIG")*(CurrentPositions!J2:J500=A22),0)),0)</f>
        <v/>
      </c>
      <c r="D22">
        <f>IFERROR(INDEX(CurrentPositions!E2:E500,MATCH(1,(CurrentPositions!C2:C500="SECTION_BIG")*(CurrentPositions!J2:J500=A22),0)),0)</f>
        <v/>
      </c>
      <c r="E22">
        <f>IFERROR(INDEX(CurrentPositions!B2:B500,MATCH(1,(CurrentPositions!C2:C500="SECTION_SMALL")*(CurrentPositions!J2:J500=A22),0)),"")</f>
        <v/>
      </c>
      <c r="F22">
        <f>IFERROR(INDEX(CurrentPositions!D2:D500,MATCH(1,(CurrentPositions!C2:C500="SECTION_SMALL")*(CurrentPositions!J2:J500=A22),0)),0)</f>
        <v/>
      </c>
      <c r="G22">
        <f>IFERROR(INDEX(CurrentPositions!E2:E500,MATCH(1,(CurrentPositions!C2:C500="SECTION_SMALL")*(CurrentPositions!J2:J500=A22),0)),0)</f>
        <v/>
      </c>
      <c r="H22">
        <f>Scenario_UP!B4</f>
        <v/>
      </c>
      <c r="I22">
        <f>IF(B22="",0,IF(B22="BUY",(H22-D22)/Settings!$B$3*C22*Settings!$B$4,(D22-H22)/Settings!$B$3*C22*Settings!$B$4))</f>
        <v/>
      </c>
      <c r="J22">
        <f>IF(E22="",0,IF(E22="BUY",(H22-G22)/Settings!$B$3*F22*Settings!$B$4,(G22-H22)/Settings!$B$3*F22*Settings!$B$4))</f>
        <v/>
      </c>
      <c r="K22">
        <f>(Settings!$B$12*Settings!$B$4*(C22+F22))+(Settings!$B$13*(C22+F22))+(Settings!$B$14*(C22+F22))</f>
        <v/>
      </c>
      <c r="L22">
        <f>I22+J22-K22</f>
        <v/>
      </c>
      <c r="M22">
        <f>IF(L22&gt;0,"YES","NO")</f>
        <v/>
      </c>
    </row>
    <row r="23">
      <c r="A23" t="inlineStr">
        <is>
          <t>S3</t>
        </is>
      </c>
      <c r="B23">
        <f>IFERROR(INDEX(CurrentPositions!B2:B500,MATCH(1,(CurrentPositions!C2:C500="SECTION_BIG")*(CurrentPositions!J2:J500=A23),0)),"")</f>
        <v/>
      </c>
      <c r="C23">
        <f>IFERROR(INDEX(CurrentPositions!D2:D500,MATCH(1,(CurrentPositions!C2:C500="SECTION_BIG")*(CurrentPositions!J2:J500=A23),0)),0)</f>
        <v/>
      </c>
      <c r="D23">
        <f>IFERROR(INDEX(CurrentPositions!E2:E500,MATCH(1,(CurrentPositions!C2:C500="SECTION_BIG")*(CurrentPositions!J2:J500=A23),0)),0)</f>
        <v/>
      </c>
      <c r="E23">
        <f>IFERROR(INDEX(CurrentPositions!B2:B500,MATCH(1,(CurrentPositions!C2:C500="SECTION_SMALL")*(CurrentPositions!J2:J500=A23),0)),"")</f>
        <v/>
      </c>
      <c r="F23">
        <f>IFERROR(INDEX(CurrentPositions!D2:D500,MATCH(1,(CurrentPositions!C2:C500="SECTION_SMALL")*(CurrentPositions!J2:J500=A23),0)),0)</f>
        <v/>
      </c>
      <c r="G23">
        <f>IFERROR(INDEX(CurrentPositions!E2:E500,MATCH(1,(CurrentPositions!C2:C500="SECTION_SMALL")*(CurrentPositions!J2:J500=A23),0)),0)</f>
        <v/>
      </c>
      <c r="H23">
        <f>Scenario_UP!B4</f>
        <v/>
      </c>
      <c r="I23">
        <f>IF(B23="",0,IF(B23="BUY",(H23-D23)/Settings!$B$3*C23*Settings!$B$4,(D23-H23)/Settings!$B$3*C23*Settings!$B$4))</f>
        <v/>
      </c>
      <c r="J23">
        <f>IF(E23="",0,IF(E23="BUY",(H23-G23)/Settings!$B$3*F23*Settings!$B$4,(G23-H23)/Settings!$B$3*F23*Settings!$B$4))</f>
        <v/>
      </c>
      <c r="K23">
        <f>(Settings!$B$12*Settings!$B$4*(C23+F23))+(Settings!$B$13*(C23+F23))+(Settings!$B$14*(C23+F23))</f>
        <v/>
      </c>
      <c r="L23">
        <f>I23+J23-K23</f>
        <v/>
      </c>
      <c r="M23">
        <f>IF(L23&gt;0,"YES","NO")</f>
        <v/>
      </c>
    </row>
    <row r="24">
      <c r="A24" t="inlineStr">
        <is>
          <t>S4</t>
        </is>
      </c>
      <c r="B24">
        <f>IFERROR(INDEX(CurrentPositions!B2:B500,MATCH(1,(CurrentPositions!C2:C500="SECTION_BIG")*(CurrentPositions!J2:J500=A24),0)),"")</f>
        <v/>
      </c>
      <c r="C24">
        <f>IFERROR(INDEX(CurrentPositions!D2:D500,MATCH(1,(CurrentPositions!C2:C500="SECTION_BIG")*(CurrentPositions!J2:J500=A24),0)),0)</f>
        <v/>
      </c>
      <c r="D24">
        <f>IFERROR(INDEX(CurrentPositions!E2:E500,MATCH(1,(CurrentPositions!C2:C500="SECTION_BIG")*(CurrentPositions!J2:J500=A24),0)),0)</f>
        <v/>
      </c>
      <c r="E24">
        <f>IFERROR(INDEX(CurrentPositions!B2:B500,MATCH(1,(CurrentPositions!C2:C500="SECTION_SMALL")*(CurrentPositions!J2:J500=A24),0)),"")</f>
        <v/>
      </c>
      <c r="F24">
        <f>IFERROR(INDEX(CurrentPositions!D2:D500,MATCH(1,(CurrentPositions!C2:C500="SECTION_SMALL")*(CurrentPositions!J2:J500=A24),0)),0)</f>
        <v/>
      </c>
      <c r="G24">
        <f>IFERROR(INDEX(CurrentPositions!E2:E500,MATCH(1,(CurrentPositions!C2:C500="SECTION_SMALL")*(CurrentPositions!J2:J500=A24),0)),0)</f>
        <v/>
      </c>
      <c r="H24">
        <f>Scenario_UP!B4</f>
        <v/>
      </c>
      <c r="I24">
        <f>IF(B24="",0,IF(B24="BUY",(H24-D24)/Settings!$B$3*C24*Settings!$B$4,(D24-H24)/Settings!$B$3*C24*Settings!$B$4))</f>
        <v/>
      </c>
      <c r="J24">
        <f>IF(E24="",0,IF(E24="BUY",(H24-G24)/Settings!$B$3*F24*Settings!$B$4,(G24-H24)/Settings!$B$3*F24*Settings!$B$4))</f>
        <v/>
      </c>
      <c r="K24">
        <f>(Settings!$B$12*Settings!$B$4*(C24+F24))+(Settings!$B$13*(C24+F24))+(Settings!$B$14*(C24+F24))</f>
        <v/>
      </c>
      <c r="L24">
        <f>I24+J24-K24</f>
        <v/>
      </c>
      <c r="M24">
        <f>IF(L24&gt;0,"YES","NO")</f>
        <v/>
      </c>
    </row>
    <row r="30">
      <c r="A30" t="inlineStr">
        <is>
          <t>SelectedSectionID</t>
        </is>
      </c>
      <c r="B30">
        <f>IFERROR(INDEX(A21:A24,MATCH("YES",M21:M24,0)),"NONE")</f>
        <v/>
      </c>
    </row>
    <row r="31">
      <c r="A31" t="inlineStr">
        <is>
          <t>CycleProfit</t>
        </is>
      </c>
      <c r="B31">
        <f>IF(B30="NONE",0,XLOOKUP(B30,A21:A24,L21:L24,0))</f>
        <v/>
      </c>
    </row>
    <row r="32">
      <c r="A32" t="inlineStr">
        <is>
          <t>CanCloseSection</t>
        </is>
      </c>
      <c r="B32">
        <f>IF(B31&gt;0,"YES","NO")</f>
        <v/>
      </c>
    </row>
    <row r="33">
      <c r="A33" t="inlineStr">
        <is>
          <t>ReserveAdd</t>
        </is>
      </c>
      <c r="B33">
        <f>IF(B31&gt;0,B31*Settings!$B$9,0)</f>
        <v/>
      </c>
    </row>
    <row r="34">
      <c r="A34" t="inlineStr">
        <is>
          <t>RecoveryAdd</t>
        </is>
      </c>
      <c r="B34">
        <f>IF(B31&gt;0,B31*Settings!$B$10,0)</f>
        <v/>
      </c>
    </row>
    <row r="35">
      <c r="A35" t="inlineStr">
        <is>
          <t>NewGlobalReserve</t>
        </is>
      </c>
      <c r="B35">
        <f>Settings!$B$17+B33</f>
        <v/>
      </c>
    </row>
    <row r="36">
      <c r="A36" t="inlineStr">
        <is>
          <t>NewRecoveryFund</t>
        </is>
      </c>
      <c r="B36">
        <f>Settings!$B$18+B34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Scenario_DOWN!B220</f>
        <v/>
      </c>
    </row>
    <row r="3">
      <c r="A3" t="inlineStr">
        <is>
          <t>TailLot</t>
        </is>
      </c>
      <c r="B3">
        <f>Scenario_DOWN!B222</f>
        <v/>
      </c>
    </row>
    <row r="4">
      <c r="A4" t="inlineStr">
        <is>
          <t>NextLevel</t>
        </is>
      </c>
      <c r="B4" t="n">
        <v>1</v>
      </c>
    </row>
    <row r="5">
      <c r="A5" t="inlineStr">
        <is>
          <t>BigRatio</t>
        </is>
      </c>
      <c r="B5">
        <f>XLOOKUP(B4,Settings!A21:A24,Settings!B21:B24)</f>
        <v/>
      </c>
    </row>
    <row r="6">
      <c r="A6" t="inlineStr">
        <is>
          <t>SmallRatio</t>
        </is>
      </c>
      <c r="B6">
        <f>XLOOKUP(B4,Settings!A21:A24,Settings!C21:C24)</f>
        <v/>
      </c>
    </row>
    <row r="7">
      <c r="A7" t="inlineStr">
        <is>
          <t>BigLot</t>
        </is>
      </c>
      <c r="B7">
        <f>FLOOR(B3*B5,Settings!$B$7)</f>
        <v/>
      </c>
    </row>
    <row r="8">
      <c r="A8" t="inlineStr">
        <is>
          <t>SmallLot</t>
        </is>
      </c>
      <c r="B8">
        <f>FLOOR(B3*B6,Settings!$B$7)</f>
        <v/>
      </c>
    </row>
    <row r="9">
      <c r="A9" t="inlineStr">
        <is>
          <t>ActiveSections</t>
        </is>
      </c>
      <c r="B9">
        <f>COUNTIFS(CurrentPositions!C2:C500,"SECTION_BIG")</f>
        <v/>
      </c>
    </row>
    <row r="10">
      <c r="A10" t="inlineStr">
        <is>
          <t>TotalLotAfterOpen</t>
        </is>
      </c>
      <c r="B10">
        <f>SUM(CurrentPositions!D2:D500)+B7+B8</f>
        <v/>
      </c>
    </row>
    <row r="11">
      <c r="A11" t="inlineStr">
        <is>
          <t>NetLotAfterOpen</t>
        </is>
      </c>
      <c r="B11">
        <f>ABS(SUMIFS(CurrentPositions!D2:D500,CurrentPositions!B2:B500,"BUY")+IF(B2="BUY",B7,0)+IF(B2="SELL",B8,0)-SUMIFS(CurrentPositions!D2:D500,CurrentPositions!B2:B500,"SELL")-IF(B2="SELL",B7,0)-IF(B2="BUY",B8,0))</f>
        <v/>
      </c>
    </row>
    <row r="12">
      <c r="A12" t="inlineStr">
        <is>
          <t>LevelReached</t>
        </is>
      </c>
      <c r="B12">
        <f>IF(Scenario_DOWN!B4&lt;=INDEX(Scenario_DOWN!E9:E12,B4),"YES","NO")</f>
        <v/>
      </c>
    </row>
    <row r="13">
      <c r="A13" t="inlineStr">
        <is>
          <t>CanOpenSection</t>
        </is>
      </c>
      <c r="B13">
        <f>IF(AND(B7&gt;=Settings!$B$6,B8&gt;=Settings!$B$6,B8&lt;B7,B7&lt;=B3,B9&lt;Settings!$B$8,B10&lt;=Settings!$B$15,B11&lt;=Settings!$B$16,B12="YES"),"YES","NO")</f>
        <v/>
      </c>
    </row>
    <row r="20">
      <c r="A20" s="1" t="inlineStr">
        <is>
          <t>SectionID</t>
        </is>
      </c>
      <c r="B20" s="1" t="inlineStr">
        <is>
          <t>BigType</t>
        </is>
      </c>
      <c r="C20" s="1" t="inlineStr">
        <is>
          <t>BigLot</t>
        </is>
      </c>
      <c r="D20" s="1" t="inlineStr">
        <is>
          <t>BigOpenPrice</t>
        </is>
      </c>
      <c r="E20" s="1" t="inlineStr">
        <is>
          <t>SmallType</t>
        </is>
      </c>
      <c r="F20" s="1" t="inlineStr">
        <is>
          <t>SmallLot</t>
        </is>
      </c>
      <c r="G20" s="1" t="inlineStr">
        <is>
          <t>SmallOpenPrice</t>
        </is>
      </c>
      <c r="H20" s="1" t="inlineStr">
        <is>
          <t>ScenarioPrice</t>
        </is>
      </c>
      <c r="I20" s="1" t="inlineStr">
        <is>
          <t>BigPnL</t>
        </is>
      </c>
      <c r="J20" s="1" t="inlineStr">
        <is>
          <t>SmallPnL</t>
        </is>
      </c>
      <c r="K20" s="1" t="inlineStr">
        <is>
          <t>Costs</t>
        </is>
      </c>
      <c r="L20" s="1" t="inlineStr">
        <is>
          <t>CycleProfit</t>
        </is>
      </c>
      <c r="M20" s="1" t="inlineStr">
        <is>
          <t>CanCloseSection</t>
        </is>
      </c>
    </row>
    <row r="21">
      <c r="A21" t="inlineStr">
        <is>
          <t>S1</t>
        </is>
      </c>
      <c r="B21">
        <f>IFERROR(INDEX(CurrentPositions!B2:B500,MATCH(1,(CurrentPositions!C2:C500="SECTION_BIG")*(CurrentPositions!J2:J500=A21),0)),"")</f>
        <v/>
      </c>
      <c r="C21">
        <f>IFERROR(INDEX(CurrentPositions!D2:D500,MATCH(1,(CurrentPositions!C2:C500="SECTION_BIG")*(CurrentPositions!J2:J500=A21),0)),0)</f>
        <v/>
      </c>
      <c r="D21">
        <f>IFERROR(INDEX(CurrentPositions!E2:E500,MATCH(1,(CurrentPositions!C2:C500="SECTION_BIG")*(CurrentPositions!J2:J500=A21),0)),0)</f>
        <v/>
      </c>
      <c r="E21">
        <f>IFERROR(INDEX(CurrentPositions!B2:B500,MATCH(1,(CurrentPositions!C2:C500="SECTION_SMALL")*(CurrentPositions!J2:J500=A21),0)),"")</f>
        <v/>
      </c>
      <c r="F21">
        <f>IFERROR(INDEX(CurrentPositions!D2:D500,MATCH(1,(CurrentPositions!C2:C500="SECTION_SMALL")*(CurrentPositions!J2:J500=A21),0)),0)</f>
        <v/>
      </c>
      <c r="G21">
        <f>IFERROR(INDEX(CurrentPositions!E2:E500,MATCH(1,(CurrentPositions!C2:C500="SECTION_SMALL")*(CurrentPositions!J2:J500=A21),0)),0)</f>
        <v/>
      </c>
      <c r="H21">
        <f>Scenario_DOWN!B4</f>
        <v/>
      </c>
      <c r="I21">
        <f>IF(B21="",0,IF(B21="BUY",(H21-D21)/Settings!$B$3*C21*Settings!$B$4,(D21-H21)/Settings!$B$3*C21*Settings!$B$4))</f>
        <v/>
      </c>
      <c r="J21">
        <f>IF(E21="",0,IF(E21="BUY",(H21-G21)/Settings!$B$3*F21*Settings!$B$4,(G21-H21)/Settings!$B$3*F21*Settings!$B$4))</f>
        <v/>
      </c>
      <c r="K21">
        <f>(Settings!$B$12*Settings!$B$4*(C21+F21))+(Settings!$B$13*(C21+F21))+(Settings!$B$14*(C21+F21))</f>
        <v/>
      </c>
      <c r="L21">
        <f>I21+J21-K21</f>
        <v/>
      </c>
      <c r="M21">
        <f>IF(L21&gt;0,"YES","NO")</f>
        <v/>
      </c>
    </row>
    <row r="22">
      <c r="A22" t="inlineStr">
        <is>
          <t>S2</t>
        </is>
      </c>
      <c r="B22">
        <f>IFERROR(INDEX(CurrentPositions!B2:B500,MATCH(1,(CurrentPositions!C2:C500="SECTION_BIG")*(CurrentPositions!J2:J500=A22),0)),"")</f>
        <v/>
      </c>
      <c r="C22">
        <f>IFERROR(INDEX(CurrentPositions!D2:D500,MATCH(1,(CurrentPositions!C2:C500="SECTION_BIG")*(CurrentPositions!J2:J500=A22),0)),0)</f>
        <v/>
      </c>
      <c r="D22">
        <f>IFERROR(INDEX(CurrentPositions!E2:E500,MATCH(1,(CurrentPositions!C2:C500="SECTION_BIG")*(CurrentPositions!J2:J500=A22),0)),0)</f>
        <v/>
      </c>
      <c r="E22">
        <f>IFERROR(INDEX(CurrentPositions!B2:B500,MATCH(1,(CurrentPositions!C2:C500="SECTION_SMALL")*(CurrentPositions!J2:J500=A22),0)),"")</f>
        <v/>
      </c>
      <c r="F22">
        <f>IFERROR(INDEX(CurrentPositions!D2:D500,MATCH(1,(CurrentPositions!C2:C500="SECTION_SMALL")*(CurrentPositions!J2:J500=A22),0)),0)</f>
        <v/>
      </c>
      <c r="G22">
        <f>IFERROR(INDEX(CurrentPositions!E2:E500,MATCH(1,(CurrentPositions!C2:C500="SECTION_SMALL")*(CurrentPositions!J2:J500=A22),0)),0)</f>
        <v/>
      </c>
      <c r="H22">
        <f>Scenario_DOWN!B4</f>
        <v/>
      </c>
      <c r="I22">
        <f>IF(B22="",0,IF(B22="BUY",(H22-D22)/Settings!$B$3*C22*Settings!$B$4,(D22-H22)/Settings!$B$3*C22*Settings!$B$4))</f>
        <v/>
      </c>
      <c r="J22">
        <f>IF(E22="",0,IF(E22="BUY",(H22-G22)/Settings!$B$3*F22*Settings!$B$4,(G22-H22)/Settings!$B$3*F22*Settings!$B$4))</f>
        <v/>
      </c>
      <c r="K22">
        <f>(Settings!$B$12*Settings!$B$4*(C22+F22))+(Settings!$B$13*(C22+F22))+(Settings!$B$14*(C22+F22))</f>
        <v/>
      </c>
      <c r="L22">
        <f>I22+J22-K22</f>
        <v/>
      </c>
      <c r="M22">
        <f>IF(L22&gt;0,"YES","NO")</f>
        <v/>
      </c>
    </row>
    <row r="23">
      <c r="A23" t="inlineStr">
        <is>
          <t>S3</t>
        </is>
      </c>
      <c r="B23">
        <f>IFERROR(INDEX(CurrentPositions!B2:B500,MATCH(1,(CurrentPositions!C2:C500="SECTION_BIG")*(CurrentPositions!J2:J500=A23),0)),"")</f>
        <v/>
      </c>
      <c r="C23">
        <f>IFERROR(INDEX(CurrentPositions!D2:D500,MATCH(1,(CurrentPositions!C2:C500="SECTION_BIG")*(CurrentPositions!J2:J500=A23),0)),0)</f>
        <v/>
      </c>
      <c r="D23">
        <f>IFERROR(INDEX(CurrentPositions!E2:E500,MATCH(1,(CurrentPositions!C2:C500="SECTION_BIG")*(CurrentPositions!J2:J500=A23),0)),0)</f>
        <v/>
      </c>
      <c r="E23">
        <f>IFERROR(INDEX(CurrentPositions!B2:B500,MATCH(1,(CurrentPositions!C2:C500="SECTION_SMALL")*(CurrentPositions!J2:J500=A23),0)),"")</f>
        <v/>
      </c>
      <c r="F23">
        <f>IFERROR(INDEX(CurrentPositions!D2:D500,MATCH(1,(CurrentPositions!C2:C500="SECTION_SMALL")*(CurrentPositions!J2:J500=A23),0)),0)</f>
        <v/>
      </c>
      <c r="G23">
        <f>IFERROR(INDEX(CurrentPositions!E2:E500,MATCH(1,(CurrentPositions!C2:C500="SECTION_SMALL")*(CurrentPositions!J2:J500=A23),0)),0)</f>
        <v/>
      </c>
      <c r="H23">
        <f>Scenario_DOWN!B4</f>
        <v/>
      </c>
      <c r="I23">
        <f>IF(B23="",0,IF(B23="BUY",(H23-D23)/Settings!$B$3*C23*Settings!$B$4,(D23-H23)/Settings!$B$3*C23*Settings!$B$4))</f>
        <v/>
      </c>
      <c r="J23">
        <f>IF(E23="",0,IF(E23="BUY",(H23-G23)/Settings!$B$3*F23*Settings!$B$4,(G23-H23)/Settings!$B$3*F23*Settings!$B$4))</f>
        <v/>
      </c>
      <c r="K23">
        <f>(Settings!$B$12*Settings!$B$4*(C23+F23))+(Settings!$B$13*(C23+F23))+(Settings!$B$14*(C23+F23))</f>
        <v/>
      </c>
      <c r="L23">
        <f>I23+J23-K23</f>
        <v/>
      </c>
      <c r="M23">
        <f>IF(L23&gt;0,"YES","NO")</f>
        <v/>
      </c>
    </row>
    <row r="24">
      <c r="A24" t="inlineStr">
        <is>
          <t>S4</t>
        </is>
      </c>
      <c r="B24">
        <f>IFERROR(INDEX(CurrentPositions!B2:B500,MATCH(1,(CurrentPositions!C2:C500="SECTION_BIG")*(CurrentPositions!J2:J500=A24),0)),"")</f>
        <v/>
      </c>
      <c r="C24">
        <f>IFERROR(INDEX(CurrentPositions!D2:D500,MATCH(1,(CurrentPositions!C2:C500="SECTION_BIG")*(CurrentPositions!J2:J500=A24),0)),0)</f>
        <v/>
      </c>
      <c r="D24">
        <f>IFERROR(INDEX(CurrentPositions!E2:E500,MATCH(1,(CurrentPositions!C2:C500="SECTION_BIG")*(CurrentPositions!J2:J500=A24),0)),0)</f>
        <v/>
      </c>
      <c r="E24">
        <f>IFERROR(INDEX(CurrentPositions!B2:B500,MATCH(1,(CurrentPositions!C2:C500="SECTION_SMALL")*(CurrentPositions!J2:J500=A24),0)),"")</f>
        <v/>
      </c>
      <c r="F24">
        <f>IFERROR(INDEX(CurrentPositions!D2:D500,MATCH(1,(CurrentPositions!C2:C500="SECTION_SMALL")*(CurrentPositions!J2:J500=A24),0)),0)</f>
        <v/>
      </c>
      <c r="G24">
        <f>IFERROR(INDEX(CurrentPositions!E2:E500,MATCH(1,(CurrentPositions!C2:C500="SECTION_SMALL")*(CurrentPositions!J2:J500=A24),0)),0)</f>
        <v/>
      </c>
      <c r="H24">
        <f>Scenario_DOWN!B4</f>
        <v/>
      </c>
      <c r="I24">
        <f>IF(B24="",0,IF(B24="BUY",(H24-D24)/Settings!$B$3*C24*Settings!$B$4,(D24-H24)/Settings!$B$3*C24*Settings!$B$4))</f>
        <v/>
      </c>
      <c r="J24">
        <f>IF(E24="",0,IF(E24="BUY",(H24-G24)/Settings!$B$3*F24*Settings!$B$4,(G24-H24)/Settings!$B$3*F24*Settings!$B$4))</f>
        <v/>
      </c>
      <c r="K24">
        <f>(Settings!$B$12*Settings!$B$4*(C24+F24))+(Settings!$B$13*(C24+F24))+(Settings!$B$14*(C24+F24))</f>
        <v/>
      </c>
      <c r="L24">
        <f>I24+J24-K24</f>
        <v/>
      </c>
      <c r="M24">
        <f>IF(L24&gt;0,"YES","NO")</f>
        <v/>
      </c>
    </row>
    <row r="30">
      <c r="A30" t="inlineStr">
        <is>
          <t>SelectedSectionID</t>
        </is>
      </c>
      <c r="B30">
        <f>IFERROR(INDEX(A21:A24,MATCH("YES",M21:M24,0)),"NONE")</f>
        <v/>
      </c>
    </row>
    <row r="31">
      <c r="A31" t="inlineStr">
        <is>
          <t>CycleProfit</t>
        </is>
      </c>
      <c r="B31">
        <f>IF(B30="NONE",0,XLOOKUP(B30,A21:A24,L21:L24,0))</f>
        <v/>
      </c>
    </row>
    <row r="32">
      <c r="A32" t="inlineStr">
        <is>
          <t>CanCloseSection</t>
        </is>
      </c>
      <c r="B32">
        <f>IF(B31&gt;0,"YES","NO")</f>
        <v/>
      </c>
    </row>
    <row r="33">
      <c r="A33" t="inlineStr">
        <is>
          <t>ReserveAdd</t>
        </is>
      </c>
      <c r="B33">
        <f>IF(B31&gt;0,B31*Settings!$B$9,0)</f>
        <v/>
      </c>
    </row>
    <row r="34">
      <c r="A34" t="inlineStr">
        <is>
          <t>RecoveryAdd</t>
        </is>
      </c>
      <c r="B34">
        <f>IF(B31&gt;0,B31*Settings!$B$10,0)</f>
        <v/>
      </c>
    </row>
    <row r="35">
      <c r="A35" t="inlineStr">
        <is>
          <t>NewGlobalReserve</t>
        </is>
      </c>
      <c r="B35">
        <f>Settings!$B$17+B33</f>
        <v/>
      </c>
    </row>
    <row r="36">
      <c r="A36" t="inlineStr">
        <is>
          <t>NewRecoveryFund</t>
        </is>
      </c>
      <c r="B36">
        <f>Settings!$B$18+B34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Scenario_UP!B220</f>
        <v/>
      </c>
    </row>
    <row r="3">
      <c r="A3" t="inlineStr">
        <is>
          <t>TailTicket</t>
        </is>
      </c>
      <c r="B3">
        <f>Scenario_UP!B221</f>
        <v/>
      </c>
    </row>
    <row r="4">
      <c r="A4" t="inlineStr">
        <is>
          <t>TailLot</t>
        </is>
      </c>
      <c r="B4">
        <f>Scenario_UP!B222</f>
        <v/>
      </c>
    </row>
    <row r="5">
      <c r="A5" t="inlineStr">
        <is>
          <t>TailLossPerLot</t>
        </is>
      </c>
      <c r="B5">
        <f>Scenario_UP!B224</f>
        <v/>
      </c>
    </row>
    <row r="6">
      <c r="A6" t="inlineStr">
        <is>
          <t>CanCloseSection</t>
        </is>
      </c>
      <c r="B6">
        <f>SectionCalculator_UP!B32</f>
        <v/>
      </c>
    </row>
    <row r="7">
      <c r="A7" t="inlineStr">
        <is>
          <t>RecoveryFundAfterCycle</t>
        </is>
      </c>
      <c r="B7">
        <f>SectionCalculator_UP!B36</f>
        <v/>
      </c>
    </row>
    <row r="8">
      <c r="A8" t="inlineStr">
        <is>
          <t>CloseLotRaw</t>
        </is>
      </c>
      <c r="B8">
        <f>IF(OR(B6&lt;&gt;"YES",B5=0),0,B7/B5)</f>
        <v/>
      </c>
    </row>
    <row r="9">
      <c r="A9" t="inlineStr">
        <is>
          <t>CloseLotRounded</t>
        </is>
      </c>
      <c r="B9">
        <f>FLOOR(B8,Settings!$B$7)</f>
        <v/>
      </c>
    </row>
    <row r="10">
      <c r="A10" t="inlineStr">
        <is>
          <t>CloseLotFinal</t>
        </is>
      </c>
      <c r="B10">
        <f>IF(B6="YES",MIN(B9,B4),0)</f>
        <v/>
      </c>
    </row>
    <row r="11">
      <c r="A11" t="inlineStr">
        <is>
          <t>CloseAllowed</t>
        </is>
      </c>
      <c r="B11">
        <f>IF(AND(B10&gt;=Settings!$B$6,B6="YES"),"YES","NO")</f>
        <v/>
      </c>
    </row>
    <row r="12">
      <c r="A12" t="inlineStr">
        <is>
          <t>TailCloseLoss</t>
        </is>
      </c>
      <c r="B12">
        <f>B10*B5</f>
        <v/>
      </c>
    </row>
    <row r="13">
      <c r="A13" t="inlineStr">
        <is>
          <t>RecoveryFundAfterClose</t>
        </is>
      </c>
      <c r="B13">
        <f>MAX(0,B7-B12)</f>
        <v/>
      </c>
    </row>
    <row r="14">
      <c r="A14" t="inlineStr">
        <is>
          <t>TailLotAfterClose</t>
        </is>
      </c>
      <c r="B14">
        <f>B4-B10</f>
        <v/>
      </c>
    </row>
    <row r="15">
      <c r="A15" t="inlineStr">
        <is>
          <t>NextBigLotAfterRecovery</t>
        </is>
      </c>
      <c r="B15">
        <f>FLOOR(B14*XLOOKUP(1,Settings!A21:A24,Settings!B21:B24),Settings!$B$7)</f>
        <v/>
      </c>
    </row>
    <row r="16">
      <c r="A16" t="inlineStr">
        <is>
          <t>NextSmallLotAfterRecovery</t>
        </is>
      </c>
      <c r="B16">
        <f>FLOOR(B14*XLOOKUP(1,Settings!A21:A24,Settings!C21:C24),Settings!$B$7)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Scenario_DOWN!B220</f>
        <v/>
      </c>
    </row>
    <row r="3">
      <c r="A3" t="inlineStr">
        <is>
          <t>TailTicket</t>
        </is>
      </c>
      <c r="B3">
        <f>Scenario_DOWN!B221</f>
        <v/>
      </c>
    </row>
    <row r="4">
      <c r="A4" t="inlineStr">
        <is>
          <t>TailLot</t>
        </is>
      </c>
      <c r="B4">
        <f>Scenario_DOWN!B222</f>
        <v/>
      </c>
    </row>
    <row r="5">
      <c r="A5" t="inlineStr">
        <is>
          <t>TailLossPerLot</t>
        </is>
      </c>
      <c r="B5">
        <f>Scenario_DOWN!B224</f>
        <v/>
      </c>
    </row>
    <row r="6">
      <c r="A6" t="inlineStr">
        <is>
          <t>CanCloseSection</t>
        </is>
      </c>
      <c r="B6">
        <f>SectionCalculator_DOWN!B32</f>
        <v/>
      </c>
    </row>
    <row r="7">
      <c r="A7" t="inlineStr">
        <is>
          <t>RecoveryFundAfterCycle</t>
        </is>
      </c>
      <c r="B7">
        <f>SectionCalculator_DOWN!B36</f>
        <v/>
      </c>
    </row>
    <row r="8">
      <c r="A8" t="inlineStr">
        <is>
          <t>CloseLotRaw</t>
        </is>
      </c>
      <c r="B8">
        <f>IF(OR(B6&lt;&gt;"YES",B5=0),0,B7/B5)</f>
        <v/>
      </c>
    </row>
    <row r="9">
      <c r="A9" t="inlineStr">
        <is>
          <t>CloseLotRounded</t>
        </is>
      </c>
      <c r="B9">
        <f>FLOOR(B8,Settings!$B$7)</f>
        <v/>
      </c>
    </row>
    <row r="10">
      <c r="A10" t="inlineStr">
        <is>
          <t>CloseLotFinal</t>
        </is>
      </c>
      <c r="B10">
        <f>IF(B6="YES",MIN(B9,B4),0)</f>
        <v/>
      </c>
    </row>
    <row r="11">
      <c r="A11" t="inlineStr">
        <is>
          <t>CloseAllowed</t>
        </is>
      </c>
      <c r="B11">
        <f>IF(AND(B10&gt;=Settings!$B$6,B6="YES"),"YES","NO")</f>
        <v/>
      </c>
    </row>
    <row r="12">
      <c r="A12" t="inlineStr">
        <is>
          <t>TailCloseLoss</t>
        </is>
      </c>
      <c r="B12">
        <f>B10*B5</f>
        <v/>
      </c>
    </row>
    <row r="13">
      <c r="A13" t="inlineStr">
        <is>
          <t>RecoveryFundAfterClose</t>
        </is>
      </c>
      <c r="B13">
        <f>MAX(0,B7-B12)</f>
        <v/>
      </c>
    </row>
    <row r="14">
      <c r="A14" t="inlineStr">
        <is>
          <t>TailLotAfterClose</t>
        </is>
      </c>
      <c r="B14">
        <f>B4-B10</f>
        <v/>
      </c>
    </row>
    <row r="15">
      <c r="A15" t="inlineStr">
        <is>
          <t>NextBigLotAfterRecovery</t>
        </is>
      </c>
      <c r="B15">
        <f>FLOOR(B14*XLOOKUP(1,Settings!A21:A24,Settings!B21:B24),Settings!$B$7)</f>
        <v/>
      </c>
    </row>
    <row r="16">
      <c r="A16" t="inlineStr">
        <is>
          <t>NextSmallLotAfterRecovery</t>
        </is>
      </c>
      <c r="B16">
        <f>FLOOR(B14*XLOOKUP(1,Settings!A21:A24,Settings!C21:C24),Settings!$B$7)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UP</t>
        </is>
      </c>
      <c r="C1" s="1" t="inlineStr">
        <is>
          <t>DOWN</t>
        </is>
      </c>
    </row>
    <row r="2">
      <c r="A2" t="inlineStr">
        <is>
          <t>ScenarioPrice</t>
        </is>
      </c>
      <c r="B2">
        <f>Scenario_UP!B4</f>
        <v/>
      </c>
      <c r="C2">
        <f>Scenario_DOWN!B4</f>
        <v/>
      </c>
    </row>
    <row r="3">
      <c r="A3" t="inlineStr">
        <is>
          <t>BasketFloating</t>
        </is>
      </c>
      <c r="B3">
        <f>SUM(Scenario_UP!H7:H206)</f>
        <v/>
      </c>
      <c r="C3">
        <f>SUM(Scenario_DOWN!H7:H206)</f>
        <v/>
      </c>
    </row>
    <row r="4">
      <c r="A4" t="inlineStr">
        <is>
          <t>GlobalReserveAfter</t>
        </is>
      </c>
      <c r="B4">
        <f>SectionCalculator_UP!B35</f>
        <v/>
      </c>
      <c r="C4">
        <f>SectionCalculator_DOWN!B35</f>
        <v/>
      </c>
    </row>
    <row r="5">
      <c r="A5" t="inlineStr">
        <is>
          <t>RecoveryFundAfterCycle</t>
        </is>
      </c>
      <c r="B5">
        <f>TailRecovery_UP!B7</f>
        <v/>
      </c>
      <c r="C5">
        <f>TailRecovery_DOWN!B7</f>
        <v/>
      </c>
    </row>
    <row r="6">
      <c r="A6" t="inlineStr">
        <is>
          <t>TailLotAfter</t>
        </is>
      </c>
      <c r="B6">
        <f>TailRecovery_UP!B14</f>
        <v/>
      </c>
      <c r="C6">
        <f>TailRecovery_DOWN!B14</f>
        <v/>
      </c>
    </row>
    <row r="7">
      <c r="A7" t="inlineStr">
        <is>
          <t>CloseLot</t>
        </is>
      </c>
      <c r="B7">
        <f>TailRecovery_UP!B10</f>
        <v/>
      </c>
      <c r="C7">
        <f>TailRecovery_DOWN!B10</f>
        <v/>
      </c>
    </row>
    <row r="8">
      <c r="A8" t="inlineStr">
        <is>
          <t>CanCloseSection</t>
        </is>
      </c>
      <c r="B8">
        <f>SectionCalculator_UP!B32</f>
        <v/>
      </c>
      <c r="C8">
        <f>SectionCalculator_DOWN!B32</f>
        <v/>
      </c>
    </row>
    <row r="9">
      <c r="A9" t="inlineStr">
        <is>
          <t>CanCloseTail</t>
        </is>
      </c>
      <c r="B9">
        <f>TailRecovery_UP!B11</f>
        <v/>
      </c>
      <c r="C9">
        <f>TailRecovery_DOWN!B11</f>
        <v/>
      </c>
    </row>
    <row r="10">
      <c r="A10" t="inlineStr">
        <is>
          <t>CanCloseBasket</t>
        </is>
      </c>
      <c r="B10">
        <f>IF(B3+B4&gt;=Settings!$B$11,"YES","NO")</f>
        <v/>
      </c>
      <c r="C10">
        <f>IF(C3+C4&gt;=Settings!$B$11,"YES","NO")</f>
        <v/>
      </c>
    </row>
    <row r="11">
      <c r="A11" t="inlineStr">
        <is>
          <t>NextBigLot</t>
        </is>
      </c>
      <c r="B11">
        <f>TailRecovery_UP!B15</f>
        <v/>
      </c>
      <c r="C11">
        <f>TailRecovery_DOWN!B15</f>
        <v/>
      </c>
    </row>
    <row r="12">
      <c r="A12" t="inlineStr">
        <is>
          <t>NextSmallLot</t>
        </is>
      </c>
      <c r="B12">
        <f>TailRecovery_UP!B16</f>
        <v/>
      </c>
      <c r="C12">
        <f>TailRecovery_DOWN!B16</f>
        <v/>
      </c>
    </row>
    <row r="13">
      <c r="A13" t="inlineStr">
        <is>
          <t>NextAction</t>
        </is>
      </c>
      <c r="B13">
        <f>IF(B10="YES","BASKET_CLOSE",IF(B8="NO","WAIT",IF(B9="YES","CLOSE_SECTION+CLOSE_TAIL","SAFE")))</f>
        <v/>
      </c>
      <c r="C13">
        <f>IF(C10="YES","BASKET_CLOSE",IF(C8="NO","WAIT",IF(C9="YES","CLOSE_SECTION+CLOSE_TAIL","SAFE")))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Rule</t>
        </is>
      </c>
      <c r="B1" s="1" t="inlineStr">
        <is>
          <t>UP</t>
        </is>
      </c>
      <c r="C1" s="1" t="inlineStr">
        <is>
          <t>DOWN</t>
        </is>
      </c>
    </row>
    <row r="2">
      <c r="A2" t="inlineStr">
        <is>
          <t>CycleProfit &gt; 0 before close section</t>
        </is>
      </c>
      <c r="B2">
        <f>IF(OR(SectionCalculator_UP!B31&gt;0,SectionCalculator_UP!B32="NO"),"OK","ERROR")</f>
        <v/>
      </c>
      <c r="C2">
        <f>IF(OR(SectionCalculator_DOWN!B31&gt;0,SectionCalculator_DOWN!B32="NO"),"OK","ERROR")</f>
        <v/>
      </c>
    </row>
    <row r="3">
      <c r="A3" t="inlineStr">
        <is>
          <t>CloseLot = 0 if CanCloseSection=NO</t>
        </is>
      </c>
      <c r="B3">
        <f>IF(OR(SectionCalculator_UP!B32="YES",TailRecovery_UP!B10=0),"OK","ERROR")</f>
        <v/>
      </c>
      <c r="C3">
        <f>IF(OR(SectionCalculator_DOWN!B32="YES",TailRecovery_DOWN!B10=0),"OK","ERROR")</f>
        <v/>
      </c>
    </row>
    <row r="4">
      <c r="A4" t="inlineStr">
        <is>
          <t>TailCloseLoss &lt;= RecoveryFundAfterCycle</t>
        </is>
      </c>
      <c r="B4">
        <f>IF(TailRecovery_UP!B12&lt;=TailRecovery_UP!B7,"OK","ERROR")</f>
        <v/>
      </c>
      <c r="C4">
        <f>IF(TailRecovery_DOWN!B12&lt;=TailRecovery_DOWN!B7,"OK","ERROR")</f>
        <v/>
      </c>
    </row>
    <row r="5">
      <c r="A5" t="inlineStr">
        <is>
          <t>LevelReached before open section</t>
        </is>
      </c>
      <c r="B5">
        <f>IF(OR(SectionCalculator_UP!B13="NO",SectionCalculator_UP!B12="YES"),"OK","ERROR")</f>
        <v/>
      </c>
      <c r="C5">
        <f>IF(OR(SectionCalculator_DOWN!B13="NO",SectionCalculator_DOWN!B12="YES"),"OK","ERROR")</f>
        <v/>
      </c>
    </row>
    <row r="6">
      <c r="A6" t="inlineStr">
        <is>
          <t>No opposite cascade active</t>
        </is>
      </c>
      <c r="B6">
        <f>IF(AND(SectionCalculator_UP!B2="SELL",COUNTIFS(CurrentPositions!B2:B500,"BUY",CurrentPositions!C2:C500,"SECTION_BIG")=0),"OK",IF(SectionCalculator_UP!B2&lt;&gt;"SELL","OK","ERROR"))</f>
        <v/>
      </c>
      <c r="C6">
        <f>IF(AND(SectionCalculator_DOWN!B2="BUY",COUNTIFS(CurrentPositions!B2:B500,"SELL",CurrentPositions!C2:C500,"SECTION_BIG")=0),"OK",IF(SectionCalculator_DOWN!B2&lt;&gt;"BUY","OK","ERROR"))</f>
        <v/>
      </c>
    </row>
    <row r="7">
      <c r="A7" t="inlineStr">
        <is>
          <t>CloseLot &lt; MinLot =&gt; do not close</t>
        </is>
      </c>
      <c r="B7">
        <f>IF(OR(TailRecovery_UP!B10&gt;=Settings!$B$6,TailRecovery_UP!B10=0),"OK","ERROR")</f>
        <v/>
      </c>
      <c r="C7">
        <f>IF(OR(TailRecovery_DOWN!B10&gt;=Settings!$B$6,TailRecovery_DOWN!B10=0),"OK","ERROR")</f>
        <v/>
      </c>
    </row>
    <row r="8">
      <c r="A8" t="inlineStr">
        <is>
          <t>RecoveryFundAfterClose &gt;= 0</t>
        </is>
      </c>
      <c r="B8">
        <f>IF(TailRecovery_UP!B13&gt;=0,"OK","ERROR")</f>
        <v/>
      </c>
      <c r="C8">
        <f>IF(TailRecovery_DOWN!B13&gt;=0,"OK","ERROR")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>
        <f>"NEXT ACTION UP:"&amp;CHAR(10)&amp;"CloseSection="&amp;BasketSummary!B8&amp;CHAR(10)&amp;"CloseTail="&amp;BasketSummary!B9&amp;CHAR(10)&amp;"CloseLot="&amp;TEXT(BasketSummary!B7,"0.00")&amp;CHAR(10)&amp;"TailAfter="&amp;TEXT(BasketSummary!B6,"0.00")&amp;CHAR(10)&amp;"NextSection Big/Small="&amp;TEXT(BasketSummary!B11,"0.00")&amp;"/"&amp;TEXT(BasketSummary!B12,"0.00")&amp;CHAR(10)&amp;"Action="&amp;BasketSummary!B13</f>
        <v/>
      </c>
    </row>
    <row r="2">
      <c r="A2">
        <f>"NEXT ACTION DOWN:"&amp;CHAR(10)&amp;"CloseSection="&amp;BasketSummary!C8&amp;CHAR(10)&amp;"CloseTail="&amp;BasketSummary!C9&amp;CHAR(10)&amp;"CloseLot="&amp;TEXT(BasketSummary!C7,"0.00")&amp;CHAR(10)&amp;"TailAfter="&amp;TEXT(BasketSummary!C6,"0.00")&amp;CHAR(10)&amp;"NextSection Big/Small="&amp;TEXT(BasketSummary!C11,"0.00")&amp;"/"&amp;TEXT(BasketSummary!C12,"0.00")&amp;CHAR(10)&amp;"Action="&amp;BasketSummary!C13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2026-05-09T21:40:35Z</dcterms:created>
  <dcterms:modified xsi:type="dcterms:W3CDTF">2026-05-09T21:40:35Z</dcterms:modified>
</cp:coreProperties>
</file>