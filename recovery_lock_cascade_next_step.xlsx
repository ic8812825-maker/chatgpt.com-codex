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MoveUpPoints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B2+B3*Settings!$B$3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MINIFS(H7:H206,B7:B206,"SELL",H7:H206,"&lt;0")</f>
        <v/>
      </c>
    </row>
    <row r="222">
      <c r="A222" t="inlineStr">
        <is>
          <t>TailTicket</t>
        </is>
      </c>
      <c r="B222">
        <f>IFERROR(MINIFS(A7:A206,B7:B206,"SELL",H7:H206,B221),"N/A")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MoveDownPoints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B2-B3*Settings!$B$3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MINIFS(H7:H206,B7:B206,"BUY",H7:H206,"&lt;0")</f>
        <v/>
      </c>
    </row>
    <row r="222">
      <c r="A222" t="inlineStr">
        <is>
          <t>TailTicket</t>
        </is>
      </c>
      <c r="B222">
        <f>IFERROR(MINIFS(A7:A206,B7:B206,"BUY",H7:H206,B221),"N/A")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IF(Scenario_UP!B4&gt;=IF(B4=1,Scenario_UP!E4,IF(B4=2,Scenario_UP!E5,IF(B4=3,Scenario_UP!E6,Scenario_UP!E7))),"YES","NO")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IF(AND(B7&gt;=Settings!$B$6,B8&gt;=Settings!$B$6,B8&lt;B7,B7&lt;=B3,B9&lt;Settings!$B$8,B10&lt;=Settings!$B$15,B11&lt;=Settings!$B$16,B12="YES",B13="YES"),"YES","NO")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IF(Scenario_DOWN!B4&lt;=IF(B4=1,Scenario_DOWN!E9,IF(B4=2,Scenario_DOWN!E10,IF(B4=3,Scenario_DOWN!E11,Scenario_DOWN!E12))),"YES","NO")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IF(AND(B7&gt;=Settings!$B$6,B8&gt;=Settings!$B$6,B8&lt;B7,B7&lt;=B3,B9&lt;Settings!$B$8,B10&lt;=Settings!$B$15,B11&lt;=Settings!$B$16,B12="YES",B13="YES"),"YES","NO")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IF(OR(SectionCalculator_UP!B14="NO",SectionCalculator_UP!B12="YES"),"OK","ERROR")</f>
        <v/>
      </c>
      <c r="C5">
        <f>IF(OR(SectionCalculator_DOWN!B14="NO",SectionCalculator_DOWN!B12="YES"),"OK","ERROR")</f>
        <v/>
      </c>
    </row>
    <row r="6">
      <c r="A6" t="inlineStr">
        <is>
          <t>No opposite cascade active</t>
        </is>
      </c>
      <c r="B6">
        <f>IF(SectionCalculator_UP!B13="YES","OK","ERROR")</f>
        <v/>
      </c>
      <c r="C6">
        <f>IF(SectionCalculator_DOWN!B13="YES","OK","ERROR")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"NEXT ACTION UP:"&amp;CHAR(10)&amp;BasketSummary!B13&amp;CHAR(10)&amp;"NEXT ACTION DOWN:"&amp;CHAR(10)&amp;BasketSummary!C13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2026-05-09T22:41:10Z</dcterms:created>
  <dcterms:modified xsi:type="dcterms:W3CDTF">2026-05-09T22:41:10Z</dcterms:modified>
</cp:coreProperties>
</file>