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DownTrend" sheetId="2" state="visible" r:id="rId2"/>
    <sheet name="UpTrend" sheetId="3" state="visible" r:id="rId3"/>
    <sheet name="Summary" sheetId="4" state="visible" r:id="rId4"/>
    <sheet name="Checks" sheetId="5" state="visible" r:id="rId5"/>
    <sheet name="Manual" sheetId="6" state="visible" r:id="rId6"/>
    <sheet name="MarketModel" sheetId="7" state="visible" r:id="rId7"/>
    <sheet name="AdaptiveEngine" sheetId="8" state="visible" r:id="rId8"/>
    <sheet name="MarginControl" sheetId="9" state="visible" r:id="rId9"/>
    <sheet name="MonteCarlo" sheetId="10" state="visible" r:id="rId10"/>
    <sheet name="EquityModel" sheetId="11" state="visible" r:id="rId11"/>
    <sheet name="RecoveryMap" sheetId="12" state="visible" r:id="rId12"/>
    <sheet name="StressTest" sheetId="13" state="visible" r:id="rId13"/>
    <sheet name="RiskDashboard" sheetId="14" state="visible" r:id="rId14"/>
  </sheets>
  <definedNames>
    <definedName name="LevelRange">Settings!$A$22:$A$200</definedName>
    <definedName name="BigPercentRange">Settings!$B$22:$B$200</definedName>
    <definedName name="SmallPercentRange">Settings!$C$22:$C$200</definedName>
    <definedName name="TargetSkewRange">Settings!$D$22:$D$200</definedName>
    <definedName name="ManualCloseRange">Settings!$E$22:$E$200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9CC2E5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'EquityModel'!$A$4:$A$10</f>
            </numRef>
          </cat>
          <val>
            <numRef>
              <f>'EquityModel'!$B$3:$B$10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'EquityModel'!$A$4:$A$10</f>
            </numRef>
          </cat>
          <val>
            <numRef>
              <f>'EquityModel'!$C$3:$C$10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Floating DD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'EquityModel'!$A$4:$A$10</f>
            </numRef>
          </cat>
          <val>
            <numRef>
              <f>'EquityModel'!$D$3:$D$10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Load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'MarginControl'!$A$4:$A$10</f>
            </numRef>
          </cat>
          <val>
            <numRef>
              <f>'MarginControl'!$M$3:$M$10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Skew Evolution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'AdaptiveEngine'!$A$4:$A$10</f>
            </numRef>
          </cat>
          <val>
            <numRef>
              <f>'AdaptiveEngine'!$D$3:$D$10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Compression Speed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'RecoveryMap'!$A$4:$A$10</f>
            </numRef>
          </cat>
          <val>
            <numRef>
              <f>'RecoveryMap'!$D$3:$D$10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Recovery Probability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'RiskDashboard'!$A$4:$A$10</f>
            </numRef>
          </cat>
          <val>
            <numRef>
              <f>'RiskDashboard'!$E$3:$E$10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ATR Regime Step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'MarketModel'!$A$4:$A$10</f>
            </numRef>
          </cat>
          <val>
            <numRef>
              <f>'MarketModel'!$P$3:$P$10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Score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'RiskDashboard'!$A$4:$A$10</f>
            </numRef>
          </cat>
          <val>
            <numRef>
              <f>'RiskDashboard'!$B$3:$B$10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Monte Carlo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'MonteCarlo'!$A$4:$A$10</f>
            </numRef>
          </cat>
          <val>
            <numRef>
              <f>'MonteCarlo'!$C$3:$C$10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BreakEven Map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'RecoveryMap'!$A$4:$A$10</f>
            </numRef>
          </cat>
          <val>
            <numRef>
              <f>'RecoveryMap'!$B$3:$B$10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12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36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48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60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</col>
      <colOff>0</colOff>
      <row>72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</col>
      <colOff>0</colOff>
      <row>84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96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3</col>
      <colOff>0</colOff>
      <row>108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StartLot</t>
        </is>
      </c>
      <c r="B2" t="n">
        <v>1</v>
      </c>
    </row>
    <row r="3">
      <c r="A3" s="1" t="inlineStr">
        <is>
          <t>PointStep</t>
        </is>
      </c>
      <c r="B3" t="n">
        <v>100</v>
      </c>
    </row>
    <row r="4">
      <c r="A4" s="1" t="inlineStr">
        <is>
          <t>MaxLevels</t>
        </is>
      </c>
      <c r="B4" t="n">
        <v>5</v>
      </c>
    </row>
    <row r="5">
      <c r="A5" s="1" t="inlineStr">
        <is>
          <t>LotStep</t>
        </is>
      </c>
      <c r="B5" t="n">
        <v>0.01</v>
      </c>
    </row>
    <row r="6">
      <c r="A6" s="1" t="inlineStr">
        <is>
          <t>RoundMode</t>
        </is>
      </c>
      <c r="B6" t="inlineStr">
        <is>
          <t>Nearest</t>
        </is>
      </c>
    </row>
    <row r="7">
      <c r="A7" s="1" t="inlineStr">
        <is>
          <t>TargetSkewMin%</t>
        </is>
      </c>
      <c r="B7" t="n">
        <v>5</v>
      </c>
    </row>
    <row r="8">
      <c r="A8" s="1" t="inlineStr">
        <is>
          <t>TargetSkewMax%</t>
        </is>
      </c>
      <c r="B8" t="n">
        <v>25</v>
      </c>
    </row>
    <row r="9">
      <c r="A9" s="1" t="inlineStr">
        <is>
          <t>UseRounding</t>
        </is>
      </c>
      <c r="B9" t="b">
        <v>1</v>
      </c>
    </row>
    <row r="10">
      <c r="A10" s="1" t="inlineStr">
        <is>
          <t>Direction</t>
        </is>
      </c>
      <c r="B10" t="inlineStr">
        <is>
          <t>DOWN</t>
        </is>
      </c>
    </row>
    <row r="11">
      <c r="A11" s="1" t="inlineStr">
        <is>
          <t>BigRoundMode_DOWN</t>
        </is>
      </c>
      <c r="B11" t="inlineStr">
        <is>
          <t>DOWN</t>
        </is>
      </c>
    </row>
    <row r="12">
      <c r="A12" s="1" t="inlineStr">
        <is>
          <t>SmallRoundMode_DOWN</t>
        </is>
      </c>
      <c r="B12" t="inlineStr">
        <is>
          <t>UP</t>
        </is>
      </c>
    </row>
    <row r="13">
      <c r="A13" s="1" t="inlineStr">
        <is>
          <t>CloseRoundMode_DOWN</t>
        </is>
      </c>
      <c r="B13" t="inlineStr">
        <is>
          <t>SAFE</t>
        </is>
      </c>
    </row>
    <row r="14">
      <c r="A14" s="1" t="inlineStr">
        <is>
          <t>BigRoundMode_UP</t>
        </is>
      </c>
      <c r="B14" t="inlineStr">
        <is>
          <t>DOWN</t>
        </is>
      </c>
    </row>
    <row r="15">
      <c r="A15" s="1" t="inlineStr">
        <is>
          <t>SmallRoundMode_UP</t>
        </is>
      </c>
      <c r="B15" t="inlineStr">
        <is>
          <t>UP</t>
        </is>
      </c>
    </row>
    <row r="16">
      <c r="A16" s="1" t="inlineStr">
        <is>
          <t>CloseRoundMode_UP</t>
        </is>
      </c>
      <c r="B16" t="inlineStr">
        <is>
          <t>SAFE</t>
        </is>
      </c>
    </row>
    <row r="17">
      <c r="A17" s="1" t="inlineStr">
        <is>
          <t>EnableRiskSafeRounding</t>
        </is>
      </c>
      <c r="B17" t="b">
        <v>1</v>
      </c>
    </row>
    <row r="18">
      <c r="A18" s="1" t="inlineStr">
        <is>
          <t>EnableInputValidation</t>
        </is>
      </c>
      <c r="B18" t="b">
        <v>1</v>
      </c>
    </row>
    <row r="21">
      <c r="A21" s="1" t="inlineStr">
        <is>
          <t>Level</t>
        </is>
      </c>
      <c r="B21" s="1" t="inlineStr">
        <is>
          <t>Big%</t>
        </is>
      </c>
      <c r="C21" s="1" t="inlineStr">
        <is>
          <t>Small%</t>
        </is>
      </c>
      <c r="D21" s="1" t="inlineStr">
        <is>
          <t>TargetSkew%</t>
        </is>
      </c>
      <c r="E21" s="1" t="inlineStr">
        <is>
          <t>ManualClose%</t>
        </is>
      </c>
    </row>
    <row r="22">
      <c r="A22" t="n">
        <v>1</v>
      </c>
      <c r="B22" t="n">
        <v>90</v>
      </c>
      <c r="C22" t="n">
        <v>30</v>
      </c>
      <c r="D22" t="n">
        <v>0</v>
      </c>
    </row>
    <row r="23">
      <c r="A23" t="n">
        <v>2</v>
      </c>
      <c r="B23" t="n">
        <v>30</v>
      </c>
      <c r="C23" t="n">
        <v>15</v>
      </c>
      <c r="D23" t="n">
        <v>15</v>
      </c>
    </row>
    <row r="24">
      <c r="A24" t="n">
        <v>3</v>
      </c>
      <c r="B24" t="n">
        <v>20</v>
      </c>
      <c r="C24" t="n">
        <v>15</v>
      </c>
      <c r="D24" t="n">
        <v>10</v>
      </c>
    </row>
    <row r="25">
      <c r="A25" t="n">
        <v>4</v>
      </c>
      <c r="B25" t="n">
        <v>10</v>
      </c>
      <c r="C25" t="n">
        <v>10</v>
      </c>
      <c r="D25" t="n">
        <v>10</v>
      </c>
    </row>
    <row r="26">
      <c r="A26" t="n">
        <v>5</v>
      </c>
      <c r="B26" t="n">
        <v>5</v>
      </c>
      <c r="C26" t="n">
        <v>5</v>
      </c>
      <c r="D2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PriceStep</t>
        </is>
      </c>
      <c r="C1" s="1" t="inlineStr">
        <is>
          <t>Big %</t>
        </is>
      </c>
      <c r="D1" s="1" t="inlineStr">
        <is>
          <t>Big Lot</t>
        </is>
      </c>
      <c r="E1" s="1" t="inlineStr">
        <is>
          <t>Small %</t>
        </is>
      </c>
      <c r="F1" s="1" t="inlineStr">
        <is>
          <t>Small Lot</t>
        </is>
      </c>
      <c r="G1" s="1" t="inlineStr">
        <is>
          <t>Start Before %</t>
        </is>
      </c>
      <c r="H1" s="1" t="inlineStr">
        <is>
          <t>Before Close %</t>
        </is>
      </c>
      <c r="I1" s="1" t="inlineStr">
        <is>
          <t>Opposite After Add %</t>
        </is>
      </c>
      <c r="J1" s="1" t="inlineStr">
        <is>
          <t>Target Skew %</t>
        </is>
      </c>
      <c r="K1" s="1" t="inlineStr">
        <is>
          <t>Auto Close %</t>
        </is>
      </c>
      <c r="L1" s="1" t="inlineStr">
        <is>
          <t>Manual Close %</t>
        </is>
      </c>
      <c r="M1" s="1" t="inlineStr">
        <is>
          <t>Final Close %</t>
        </is>
      </c>
      <c r="N1" s="1" t="inlineStr">
        <is>
          <t>Start After %</t>
        </is>
      </c>
      <c r="O1" s="1" t="inlineStr">
        <is>
          <t>Sum Big %</t>
        </is>
      </c>
      <c r="P1" s="1" t="inlineStr">
        <is>
          <t>Sum Small %</t>
        </is>
      </c>
      <c r="Q1" s="1" t="inlineStr">
        <is>
          <t>Total Main %</t>
        </is>
      </c>
      <c r="R1" s="1" t="inlineStr">
        <is>
          <t>Total Opposite %</t>
        </is>
      </c>
      <c r="S1" s="1" t="inlineStr">
        <is>
          <t>Skew %</t>
        </is>
      </c>
      <c r="T1" s="1" t="inlineStr">
        <is>
          <t>Status</t>
        </is>
      </c>
      <c r="U1" s="1" t="inlineStr">
        <is>
          <t>Comment</t>
        </is>
      </c>
      <c r="V1" s="1" t="inlineStr">
        <is>
          <t>Big Raw Lot</t>
        </is>
      </c>
      <c r="W1" s="1" t="inlineStr">
        <is>
          <t>Big Rounded</t>
        </is>
      </c>
      <c r="X1" s="1" t="inlineStr">
        <is>
          <t>Small Raw Lot</t>
        </is>
      </c>
      <c r="Y1" s="1" t="inlineStr">
        <is>
          <t>Small Rounded</t>
        </is>
      </c>
      <c r="Z1" s="1" t="inlineStr">
        <is>
          <t>Close Raw Lot</t>
        </is>
      </c>
      <c r="AA1" s="1" t="inlineStr">
        <is>
          <t>Close Rounded</t>
        </is>
      </c>
      <c r="AB1" s="1" t="inlineStr">
        <is>
          <t>Safe Rounding Status</t>
        </is>
      </c>
      <c r="AC1" s="1" t="inlineStr">
        <is>
          <t>Rounding Comment</t>
        </is>
      </c>
    </row>
    <row r="2">
      <c r="A2" t="n">
        <v>0</v>
      </c>
      <c r="B2" t="n">
        <v>0</v>
      </c>
      <c r="C2" t="n">
        <v>0</v>
      </c>
      <c r="D2">
        <f>W2</f>
        <v/>
      </c>
      <c r="E2" t="n">
        <v>0</v>
      </c>
      <c r="F2">
        <f>Y2</f>
        <v/>
      </c>
      <c r="G2" t="n">
        <v>100</v>
      </c>
      <c r="H2" t="n">
        <v>100</v>
      </c>
      <c r="I2" t="n">
        <v>100</v>
      </c>
      <c r="J2" t="n">
        <v>0</v>
      </c>
      <c r="K2" t="n">
        <v>0</v>
      </c>
      <c r="L2" t="inlineStr"/>
      <c r="M2" t="n">
        <v>0</v>
      </c>
      <c r="N2" t="n">
        <v>100</v>
      </c>
      <c r="O2" t="n">
        <v>0</v>
      </c>
      <c r="P2" t="n">
        <v>0</v>
      </c>
      <c r="Q2">
        <f>N2+O2</f>
        <v/>
      </c>
      <c r="R2">
        <f>100+P2</f>
        <v/>
      </c>
      <c r="S2">
        <f>R2-Q2</f>
        <v/>
      </c>
      <c r="T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Direction",IF(OR(C2&lt;0,E2&lt;0,J2&lt;0,AND(LEN(L2)&gt;0,L2&lt;0)),"ERROR: Negative input",IF(C2&lt;E2,"ERROR: Big BUY must be &gt;= Small SELL",IF(AND(LEN(L2)&gt;0,L2&gt;G2),"ERROR: ManualClose exceeds remaining Start position",IF(OR(N2&lt;0,Q2&lt;0,R2&lt;0),"ERROR: Negative totals",IF(Q2&gt;R2,"ERROR: Rounding broke protection balance",IF(S2&gt;Settings!$B$8,"WARNING: Skew exceeds recommended limit","OK")))))))))))</f>
        <v/>
      </c>
      <c r="U2">
        <f>IF(LEFT(T2,5)="ERROR","Check input/risk","")</f>
        <v/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>
        <f>IF(LEFT(T2,5)="ERROR","ERROR",IF(AND(Settings!$B$17,ABS(AA2-Z2)&gt;1E-9),"FIXED",IF(ABS(S2)&lt;=Settings!$B$7,"SAFE","WARNING")))</f>
        <v/>
      </c>
      <c r="AC2">
        <f>IF(AB2="FIXED","Close adjusted by SAFE mode",IF(AB2="SAFE","BUY/SELL balance preserved",IF(AB2="WARNING","Near protection boundary","Protection broken")))</f>
        <v/>
      </c>
    </row>
    <row r="3">
      <c r="A3" t="n">
        <v>1</v>
      </c>
      <c r="B3">
        <f>A3*Settings!$B$3</f>
        <v/>
      </c>
      <c r="C3">
        <f>IF(A3&lt;=Settings!$B$4,IFERROR(XLOOKUP(A3,LevelRange,BigPercentRange),0),0)</f>
        <v/>
      </c>
      <c r="D3">
        <f>W3</f>
        <v/>
      </c>
      <c r="E3">
        <f>IF(A3&lt;=Settings!$B$4,IFERROR(XLOOKUP(A3,LevelRange,SmallPercentRange),0),0)</f>
        <v/>
      </c>
      <c r="F3">
        <f>Y3</f>
        <v/>
      </c>
      <c r="G3" t="n">
        <v>100</v>
      </c>
      <c r="H3">
        <f>G3+SUM($C$3:C3)</f>
        <v/>
      </c>
      <c r="I3">
        <f>100+SUM($E$3:E3)</f>
        <v/>
      </c>
      <c r="J3">
        <f>IF(A3&lt;=Settings!$B$4,IFERROR(XLOOKUP(A3,LevelRange,TargetSkewRange),0),0)</f>
        <v/>
      </c>
      <c r="K3">
        <f>MIN(G3,MAX(0,H3-I3+J3))</f>
        <v/>
      </c>
      <c r="L3">
        <f>IF(A3&lt;=Settings!$B$4,IFERROR(XLOOKUP(A3,LevelRange,ManualCloseRange),""),"")</f>
        <v/>
      </c>
      <c r="M3">
        <f>MIN(G3,AA3/Settings!$B$2*100)</f>
        <v/>
      </c>
      <c r="N3">
        <f>G3-M3</f>
        <v/>
      </c>
      <c r="O3">
        <f>SUM($C$3:C3)</f>
        <v/>
      </c>
      <c r="P3">
        <f>SUM($E$3:E3)</f>
        <v/>
      </c>
      <c r="Q3">
        <f>N3+O3</f>
        <v/>
      </c>
      <c r="R3">
        <f>100+P3</f>
        <v/>
      </c>
      <c r="S3">
        <f>R3-Q3</f>
        <v/>
      </c>
      <c r="T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Direction",IF(OR(C3&lt;0,E3&lt;0,J3&lt;0,AND(LEN(L3)&gt;0,L3&lt;0)),"ERROR: Negative input",IF(C3&lt;E3,"ERROR: Big BUY must be &gt;= Small SELL",IF(AND(LEN(L3)&gt;0,L3&gt;G3),"ERROR: ManualClose exceeds remaining Start position",IF(OR(N3&lt;0,Q3&lt;0,R3&lt;0),"ERROR: Negative totals",IF(Q3&gt;R3,"ERROR: Rounding broke protection balance",IF(S3&gt;Settings!$B$8,"WARNING: Skew exceeds recommended limit","OK")))))))))))</f>
        <v/>
      </c>
      <c r="U3">
        <f>IF(LEFT(T3,5)="ERROR","Check input/risk","")</f>
        <v/>
      </c>
      <c r="V3">
        <f>Settings!$B$2*C3/100</f>
        <v/>
      </c>
      <c r="W3">
        <f>IF(Settings!$B$9,FLOOR(V3,Settings!$B$5),V3)</f>
        <v/>
      </c>
      <c r="X3">
        <f>Settings!$B$2*E3/100</f>
        <v/>
      </c>
      <c r="Y3">
        <f>IF(Settings!$B$9,CEILING(X3,Settings!$B$5),X3)</f>
        <v/>
      </c>
      <c r="Z3">
        <f>Settings!$B$2*M3/100</f>
        <v/>
      </c>
      <c r="AA3">
        <f>IF(Settings!$B$17,MIN(Settings!$B$2*G3/100,IF(Settings!$B$9,CEILING(MAX(0,V3+Settings!$B$2*G3/100-X3-Settings!$B$2*J3/100),Settings!$B$5),MAX(0,V3+Settings!$B$2*G3/100-X3-Settings!$B$2*J3/100))),IF(Settings!$B$9,MROUND(Z3,Settings!$B$5),Z3))</f>
        <v/>
      </c>
      <c r="AB3">
        <f>IF(LEFT(T3,5)="ERROR","ERROR",IF(AND(Settings!$B$17,ABS(AA3-Z3)&gt;1E-9),"FIXED",IF(ABS(S3)&lt;=Settings!$B$7,"SAFE","WARNING")))</f>
        <v/>
      </c>
      <c r="AC3">
        <f>IF(AB3="FIXED","Close adjusted by SAFE mode",IF(AB3="SAFE","BUY/SELL balance preserved",IF(AB3="WARNING","Near protection boundary","Protection broken")))</f>
        <v/>
      </c>
    </row>
    <row r="4">
      <c r="A4" t="n">
        <v>2</v>
      </c>
      <c r="B4">
        <f>A4*Settings!$B$3</f>
        <v/>
      </c>
      <c r="C4">
        <f>IF(A4&lt;=Settings!$B$4,IFERROR(XLOOKUP(A4,LevelRange,BigPercentRange),0),0)</f>
        <v/>
      </c>
      <c r="D4">
        <f>W4</f>
        <v/>
      </c>
      <c r="E4">
        <f>IF(A4&lt;=Settings!$B$4,IFERROR(XLOOKUP(A4,LevelRange,SmallPercentRange),0),0)</f>
        <v/>
      </c>
      <c r="F4">
        <f>Y4</f>
        <v/>
      </c>
      <c r="G4">
        <f>N3</f>
        <v/>
      </c>
      <c r="H4">
        <f>G4+SUM($C$3:C4)</f>
        <v/>
      </c>
      <c r="I4">
        <f>100+SUM($E$3:E4)</f>
        <v/>
      </c>
      <c r="J4">
        <f>IF(A4&lt;=Settings!$B$4,IFERROR(XLOOKUP(A4,LevelRange,TargetSkewRange),0),0)</f>
        <v/>
      </c>
      <c r="K4">
        <f>MIN(G4,MAX(0,H4-I4+J4))</f>
        <v/>
      </c>
      <c r="L4">
        <f>IF(A4&lt;=Settings!$B$4,IFERROR(XLOOKUP(A4,LevelRange,ManualCloseRange),""),"")</f>
        <v/>
      </c>
      <c r="M4">
        <f>MIN(G4,AA4/Settings!$B$2*100)</f>
        <v/>
      </c>
      <c r="N4">
        <f>G4-M4</f>
        <v/>
      </c>
      <c r="O4">
        <f>SUM($C$3:C4)</f>
        <v/>
      </c>
      <c r="P4">
        <f>SUM($E$3:E4)</f>
        <v/>
      </c>
      <c r="Q4">
        <f>N4+O4</f>
        <v/>
      </c>
      <c r="R4">
        <f>100+P4</f>
        <v/>
      </c>
      <c r="S4">
        <f>R4-Q4</f>
        <v/>
      </c>
      <c r="T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Direction",IF(OR(C4&lt;0,E4&lt;0,J4&lt;0,AND(LEN(L4)&gt;0,L4&lt;0)),"ERROR: Negative input",IF(C4&lt;E4,"ERROR: Big BUY must be &gt;= Small SELL",IF(AND(LEN(L4)&gt;0,L4&gt;G4),"ERROR: ManualClose exceeds remaining Start position",IF(OR(N4&lt;0,Q4&lt;0,R4&lt;0),"ERROR: Negative totals",IF(Q4&gt;R4,"ERROR: Rounding broke protection balance",IF(S4&gt;Settings!$B$8,"WARNING: Skew exceeds recommended limit","OK")))))))))))</f>
        <v/>
      </c>
      <c r="U4">
        <f>IF(LEFT(T4,5)="ERROR","Check input/risk","")</f>
        <v/>
      </c>
      <c r="V4">
        <f>Settings!$B$2*C4/100</f>
        <v/>
      </c>
      <c r="W4">
        <f>IF(Settings!$B$9,FLOOR(V4,Settings!$B$5),V4)</f>
        <v/>
      </c>
      <c r="X4">
        <f>Settings!$B$2*E4/100</f>
        <v/>
      </c>
      <c r="Y4">
        <f>IF(Settings!$B$9,CEILING(X4,Settings!$B$5),X4)</f>
        <v/>
      </c>
      <c r="Z4">
        <f>Settings!$B$2*M4/100</f>
        <v/>
      </c>
      <c r="AA4">
        <f>IF(Settings!$B$17,MIN(Settings!$B$2*G4/100,IF(Settings!$B$9,CEILING(MAX(0,V4+Settings!$B$2*G4/100-X4-Settings!$B$2*J4/100),Settings!$B$5),MAX(0,V4+Settings!$B$2*G4/100-X4-Settings!$B$2*J4/100))),IF(Settings!$B$9,MROUND(Z4,Settings!$B$5),Z4))</f>
        <v/>
      </c>
      <c r="AB4">
        <f>IF(LEFT(T4,5)="ERROR","ERROR",IF(AND(Settings!$B$17,ABS(AA4-Z4)&gt;1E-9),"FIXED",IF(ABS(S4)&lt;=Settings!$B$7,"SAFE","WARNING")))</f>
        <v/>
      </c>
      <c r="AC4">
        <f>IF(AB4="FIXED","Close adjusted by SAFE mode",IF(AB4="SAFE","BUY/SELL balance preserved",IF(AB4="WARNING","Near protection boundary","Protection broken")))</f>
        <v/>
      </c>
    </row>
    <row r="5">
      <c r="A5" t="n">
        <v>3</v>
      </c>
      <c r="B5">
        <f>A5*Settings!$B$3</f>
        <v/>
      </c>
      <c r="C5">
        <f>IF(A5&lt;=Settings!$B$4,IFERROR(XLOOKUP(A5,LevelRange,BigPercentRange),0),0)</f>
        <v/>
      </c>
      <c r="D5">
        <f>W5</f>
        <v/>
      </c>
      <c r="E5">
        <f>IF(A5&lt;=Settings!$B$4,IFERROR(XLOOKUP(A5,LevelRange,SmallPercentRange),0),0)</f>
        <v/>
      </c>
      <c r="F5">
        <f>Y5</f>
        <v/>
      </c>
      <c r="G5">
        <f>N4</f>
        <v/>
      </c>
      <c r="H5">
        <f>G5+SUM($C$3:C5)</f>
        <v/>
      </c>
      <c r="I5">
        <f>100+SUM($E$3:E5)</f>
        <v/>
      </c>
      <c r="J5">
        <f>IF(A5&lt;=Settings!$B$4,IFERROR(XLOOKUP(A5,LevelRange,TargetSkewRange),0),0)</f>
        <v/>
      </c>
      <c r="K5">
        <f>MIN(G5,MAX(0,H5-I5+J5))</f>
        <v/>
      </c>
      <c r="L5">
        <f>IF(A5&lt;=Settings!$B$4,IFERROR(XLOOKUP(A5,LevelRange,ManualCloseRange),""),"")</f>
        <v/>
      </c>
      <c r="M5">
        <f>MIN(G5,AA5/Settings!$B$2*100)</f>
        <v/>
      </c>
      <c r="N5">
        <f>G5-M5</f>
        <v/>
      </c>
      <c r="O5">
        <f>SUM($C$3:C5)</f>
        <v/>
      </c>
      <c r="P5">
        <f>SUM($E$3:E5)</f>
        <v/>
      </c>
      <c r="Q5">
        <f>N5+O5</f>
        <v/>
      </c>
      <c r="R5">
        <f>100+P5</f>
        <v/>
      </c>
      <c r="S5">
        <f>R5-Q5</f>
        <v/>
      </c>
      <c r="T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Direction",IF(OR(C5&lt;0,E5&lt;0,J5&lt;0,AND(LEN(L5)&gt;0,L5&lt;0)),"ERROR: Negative input",IF(C5&lt;E5,"ERROR: Big BUY must be &gt;= Small SELL",IF(AND(LEN(L5)&gt;0,L5&gt;G5),"ERROR: ManualClose exceeds remaining Start position",IF(OR(N5&lt;0,Q5&lt;0,R5&lt;0),"ERROR: Negative totals",IF(Q5&gt;R5,"ERROR: Rounding broke protection balance",IF(S5&gt;Settings!$B$8,"WARNING: Skew exceeds recommended limit","OK")))))))))))</f>
        <v/>
      </c>
      <c r="U5">
        <f>IF(LEFT(T5,5)="ERROR","Check input/risk","")</f>
        <v/>
      </c>
      <c r="V5">
        <f>Settings!$B$2*C5/100</f>
        <v/>
      </c>
      <c r="W5">
        <f>IF(Settings!$B$9,FLOOR(V5,Settings!$B$5),V5)</f>
        <v/>
      </c>
      <c r="X5">
        <f>Settings!$B$2*E5/100</f>
        <v/>
      </c>
      <c r="Y5">
        <f>IF(Settings!$B$9,CEILING(X5,Settings!$B$5),X5)</f>
        <v/>
      </c>
      <c r="Z5">
        <f>Settings!$B$2*M5/100</f>
        <v/>
      </c>
      <c r="AA5">
        <f>IF(Settings!$B$17,MIN(Settings!$B$2*G5/100,IF(Settings!$B$9,CEILING(MAX(0,V5+Settings!$B$2*G5/100-X5-Settings!$B$2*J5/100),Settings!$B$5),MAX(0,V5+Settings!$B$2*G5/100-X5-Settings!$B$2*J5/100))),IF(Settings!$B$9,MROUND(Z5,Settings!$B$5),Z5))</f>
        <v/>
      </c>
      <c r="AB5">
        <f>IF(LEFT(T5,5)="ERROR","ERROR",IF(AND(Settings!$B$17,ABS(AA5-Z5)&gt;1E-9),"FIXED",IF(ABS(S5)&lt;=Settings!$B$7,"SAFE","WARNING")))</f>
        <v/>
      </c>
      <c r="AC5">
        <f>IF(AB5="FIXED","Close adjusted by SAFE mode",IF(AB5="SAFE","BUY/SELL balance preserved",IF(AB5="WARNING","Near protection boundary","Protection broken")))</f>
        <v/>
      </c>
    </row>
    <row r="6">
      <c r="A6" t="n">
        <v>4</v>
      </c>
      <c r="B6">
        <f>A6*Settings!$B$3</f>
        <v/>
      </c>
      <c r="C6">
        <f>IF(A6&lt;=Settings!$B$4,IFERROR(XLOOKUP(A6,LevelRange,BigPercentRange),0),0)</f>
        <v/>
      </c>
      <c r="D6">
        <f>W6</f>
        <v/>
      </c>
      <c r="E6">
        <f>IF(A6&lt;=Settings!$B$4,IFERROR(XLOOKUP(A6,LevelRange,SmallPercentRange),0),0)</f>
        <v/>
      </c>
      <c r="F6">
        <f>Y6</f>
        <v/>
      </c>
      <c r="G6">
        <f>N5</f>
        <v/>
      </c>
      <c r="H6">
        <f>G6+SUM($C$3:C6)</f>
        <v/>
      </c>
      <c r="I6">
        <f>100+SUM($E$3:E6)</f>
        <v/>
      </c>
      <c r="J6">
        <f>IF(A6&lt;=Settings!$B$4,IFERROR(XLOOKUP(A6,LevelRange,TargetSkewRange),0),0)</f>
        <v/>
      </c>
      <c r="K6">
        <f>MIN(G6,MAX(0,H6-I6+J6))</f>
        <v/>
      </c>
      <c r="L6">
        <f>IF(A6&lt;=Settings!$B$4,IFERROR(XLOOKUP(A6,LevelRange,ManualCloseRange),""),"")</f>
        <v/>
      </c>
      <c r="M6">
        <f>MIN(G6,AA6/Settings!$B$2*100)</f>
        <v/>
      </c>
      <c r="N6">
        <f>G6-M6</f>
        <v/>
      </c>
      <c r="O6">
        <f>SUM($C$3:C6)</f>
        <v/>
      </c>
      <c r="P6">
        <f>SUM($E$3:E6)</f>
        <v/>
      </c>
      <c r="Q6">
        <f>N6+O6</f>
        <v/>
      </c>
      <c r="R6">
        <f>100+P6</f>
        <v/>
      </c>
      <c r="S6">
        <f>R6-Q6</f>
        <v/>
      </c>
      <c r="T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Direction",IF(OR(C6&lt;0,E6&lt;0,J6&lt;0,AND(LEN(L6)&gt;0,L6&lt;0)),"ERROR: Negative input",IF(C6&lt;E6,"ERROR: Big BUY must be &gt;= Small SELL",IF(AND(LEN(L6)&gt;0,L6&gt;G6),"ERROR: ManualClose exceeds remaining Start position",IF(OR(N6&lt;0,Q6&lt;0,R6&lt;0),"ERROR: Negative totals",IF(Q6&gt;R6,"ERROR: Rounding broke protection balance",IF(S6&gt;Settings!$B$8,"WARNING: Skew exceeds recommended limit","OK")))))))))))</f>
        <v/>
      </c>
      <c r="U6">
        <f>IF(LEFT(T6,5)="ERROR","Check input/risk","")</f>
        <v/>
      </c>
      <c r="V6">
        <f>Settings!$B$2*C6/100</f>
        <v/>
      </c>
      <c r="W6">
        <f>IF(Settings!$B$9,FLOOR(V6,Settings!$B$5),V6)</f>
        <v/>
      </c>
      <c r="X6">
        <f>Settings!$B$2*E6/100</f>
        <v/>
      </c>
      <c r="Y6">
        <f>IF(Settings!$B$9,CEILING(X6,Settings!$B$5),X6)</f>
        <v/>
      </c>
      <c r="Z6">
        <f>Settings!$B$2*M6/100</f>
        <v/>
      </c>
      <c r="AA6">
        <f>IF(Settings!$B$17,MIN(Settings!$B$2*G6/100,IF(Settings!$B$9,CEILING(MAX(0,V6+Settings!$B$2*G6/100-X6-Settings!$B$2*J6/100),Settings!$B$5),MAX(0,V6+Settings!$B$2*G6/100-X6-Settings!$B$2*J6/100))),IF(Settings!$B$9,MROUND(Z6,Settings!$B$5),Z6))</f>
        <v/>
      </c>
      <c r="AB6">
        <f>IF(LEFT(T6,5)="ERROR","ERROR",IF(AND(Settings!$B$17,ABS(AA6-Z6)&gt;1E-9),"FIXED",IF(ABS(S6)&lt;=Settings!$B$7,"SAFE","WARNING")))</f>
        <v/>
      </c>
      <c r="AC6">
        <f>IF(AB6="FIXED","Close adjusted by SAFE mode",IF(AB6="SAFE","BUY/SELL balance preserved",IF(AB6="WARNING","Near protection boundary","Protection broken")))</f>
        <v/>
      </c>
    </row>
    <row r="7">
      <c r="A7" t="n">
        <v>5</v>
      </c>
      <c r="B7">
        <f>A7*Settings!$B$3</f>
        <v/>
      </c>
      <c r="C7">
        <f>IF(A7&lt;=Settings!$B$4,IFERROR(XLOOKUP(A7,LevelRange,BigPercentRange),0),0)</f>
        <v/>
      </c>
      <c r="D7">
        <f>W7</f>
        <v/>
      </c>
      <c r="E7">
        <f>IF(A7&lt;=Settings!$B$4,IFERROR(XLOOKUP(A7,LevelRange,SmallPercentRange),0),0)</f>
        <v/>
      </c>
      <c r="F7">
        <f>Y7</f>
        <v/>
      </c>
      <c r="G7">
        <f>N6</f>
        <v/>
      </c>
      <c r="H7">
        <f>G7+SUM($C$3:C7)</f>
        <v/>
      </c>
      <c r="I7">
        <f>100+SUM($E$3:E7)</f>
        <v/>
      </c>
      <c r="J7">
        <f>IF(A7&lt;=Settings!$B$4,IFERROR(XLOOKUP(A7,LevelRange,TargetSkewRange),0),0)</f>
        <v/>
      </c>
      <c r="K7">
        <f>MIN(G7,MAX(0,H7-I7+J7))</f>
        <v/>
      </c>
      <c r="L7">
        <f>IF(A7&lt;=Settings!$B$4,IFERROR(XLOOKUP(A7,LevelRange,ManualCloseRange),""),"")</f>
        <v/>
      </c>
      <c r="M7">
        <f>MIN(G7,AA7/Settings!$B$2*100)</f>
        <v/>
      </c>
      <c r="N7">
        <f>G7-M7</f>
        <v/>
      </c>
      <c r="O7">
        <f>SUM($C$3:C7)</f>
        <v/>
      </c>
      <c r="P7">
        <f>SUM($E$3:E7)</f>
        <v/>
      </c>
      <c r="Q7">
        <f>N7+O7</f>
        <v/>
      </c>
      <c r="R7">
        <f>100+P7</f>
        <v/>
      </c>
      <c r="S7">
        <f>R7-Q7</f>
        <v/>
      </c>
      <c r="T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Direction",IF(OR(C7&lt;0,E7&lt;0,J7&lt;0,AND(LEN(L7)&gt;0,L7&lt;0)),"ERROR: Negative input",IF(C7&lt;E7,"ERROR: Big BUY must be &gt;= Small SELL",IF(AND(LEN(L7)&gt;0,L7&gt;G7),"ERROR: ManualClose exceeds remaining Start position",IF(OR(N7&lt;0,Q7&lt;0,R7&lt;0),"ERROR: Negative totals",IF(Q7&gt;R7,"ERROR: Rounding broke protection balance",IF(S7&gt;Settings!$B$8,"WARNING: Skew exceeds recommended limit","OK")))))))))))</f>
        <v/>
      </c>
      <c r="U7">
        <f>IF(LEFT(T7,5)="ERROR","Check input/risk","")</f>
        <v/>
      </c>
      <c r="V7">
        <f>Settings!$B$2*C7/100</f>
        <v/>
      </c>
      <c r="W7">
        <f>IF(Settings!$B$9,FLOOR(V7,Settings!$B$5),V7)</f>
        <v/>
      </c>
      <c r="X7">
        <f>Settings!$B$2*E7/100</f>
        <v/>
      </c>
      <c r="Y7">
        <f>IF(Settings!$B$9,CEILING(X7,Settings!$B$5),X7)</f>
        <v/>
      </c>
      <c r="Z7">
        <f>Settings!$B$2*M7/100</f>
        <v/>
      </c>
      <c r="AA7">
        <f>IF(Settings!$B$17,MIN(Settings!$B$2*G7/100,IF(Settings!$B$9,CEILING(MAX(0,V7+Settings!$B$2*G7/100-X7-Settings!$B$2*J7/100),Settings!$B$5),MAX(0,V7+Settings!$B$2*G7/100-X7-Settings!$B$2*J7/100))),IF(Settings!$B$9,MROUND(Z7,Settings!$B$5),Z7))</f>
        <v/>
      </c>
      <c r="AB7">
        <f>IF(LEFT(T7,5)="ERROR","ERROR",IF(AND(Settings!$B$17,ABS(AA7-Z7)&gt;1E-9),"FIXED",IF(ABS(S7)&lt;=Settings!$B$7,"SAFE","WARNING")))</f>
        <v/>
      </c>
      <c r="AC7">
        <f>IF(AB7="FIXED","Close adjusted by SAFE mode",IF(AB7="SAFE","BUY/SELL balance preserved",IF(AB7="WARNING","Near protection boundary","Protection broken")))</f>
        <v/>
      </c>
    </row>
    <row r="8">
      <c r="A8" t="n">
        <v>6</v>
      </c>
      <c r="B8">
        <f>A8*Settings!$B$3</f>
        <v/>
      </c>
      <c r="C8">
        <f>IF(A8&lt;=Settings!$B$4,IFERROR(XLOOKUP(A8,LevelRange,BigPercentRange),0),0)</f>
        <v/>
      </c>
      <c r="D8">
        <f>W8</f>
        <v/>
      </c>
      <c r="E8">
        <f>IF(A8&lt;=Settings!$B$4,IFERROR(XLOOKUP(A8,LevelRange,SmallPercentRange),0),0)</f>
        <v/>
      </c>
      <c r="F8">
        <f>Y8</f>
        <v/>
      </c>
      <c r="G8">
        <f>N7</f>
        <v/>
      </c>
      <c r="H8">
        <f>G8+SUM($C$3:C8)</f>
        <v/>
      </c>
      <c r="I8">
        <f>100+SUM($E$3:E8)</f>
        <v/>
      </c>
      <c r="J8">
        <f>IF(A8&lt;=Settings!$B$4,IFERROR(XLOOKUP(A8,LevelRange,TargetSkewRange),0),0)</f>
        <v/>
      </c>
      <c r="K8">
        <f>MIN(G8,MAX(0,H8-I8+J8))</f>
        <v/>
      </c>
      <c r="L8">
        <f>IF(A8&lt;=Settings!$B$4,IFERROR(XLOOKUP(A8,LevelRange,ManualCloseRange),""),"")</f>
        <v/>
      </c>
      <c r="M8">
        <f>MIN(G8,AA8/Settings!$B$2*100)</f>
        <v/>
      </c>
      <c r="N8">
        <f>G8-M8</f>
        <v/>
      </c>
      <c r="O8">
        <f>SUM($C$3:C8)</f>
        <v/>
      </c>
      <c r="P8">
        <f>SUM($E$3:E8)</f>
        <v/>
      </c>
      <c r="Q8">
        <f>N8+O8</f>
        <v/>
      </c>
      <c r="R8">
        <f>100+P8</f>
        <v/>
      </c>
      <c r="S8">
        <f>R8-Q8</f>
        <v/>
      </c>
      <c r="T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Direction",IF(OR(C8&lt;0,E8&lt;0,J8&lt;0,AND(LEN(L8)&gt;0,L8&lt;0)),"ERROR: Negative input",IF(C8&lt;E8,"ERROR: Big BUY must be &gt;= Small SELL",IF(AND(LEN(L8)&gt;0,L8&gt;G8),"ERROR: ManualClose exceeds remaining Start position",IF(OR(N8&lt;0,Q8&lt;0,R8&lt;0),"ERROR: Negative totals",IF(Q8&gt;R8,"ERROR: Rounding broke protection balance",IF(S8&gt;Settings!$B$8,"WARNING: Skew exceeds recommended limit","OK")))))))))))</f>
        <v/>
      </c>
      <c r="U8">
        <f>IF(LEFT(T8,5)="ERROR","Check input/risk","")</f>
        <v/>
      </c>
      <c r="V8">
        <f>Settings!$B$2*C8/100</f>
        <v/>
      </c>
      <c r="W8">
        <f>IF(Settings!$B$9,FLOOR(V8,Settings!$B$5),V8)</f>
        <v/>
      </c>
      <c r="X8">
        <f>Settings!$B$2*E8/100</f>
        <v/>
      </c>
      <c r="Y8">
        <f>IF(Settings!$B$9,CEILING(X8,Settings!$B$5),X8)</f>
        <v/>
      </c>
      <c r="Z8">
        <f>Settings!$B$2*M8/100</f>
        <v/>
      </c>
      <c r="AA8">
        <f>IF(Settings!$B$17,MIN(Settings!$B$2*G8/100,IF(Settings!$B$9,CEILING(MAX(0,V8+Settings!$B$2*G8/100-X8-Settings!$B$2*J8/100),Settings!$B$5),MAX(0,V8+Settings!$B$2*G8/100-X8-Settings!$B$2*J8/100))),IF(Settings!$B$9,MROUND(Z8,Settings!$B$5),Z8))</f>
        <v/>
      </c>
      <c r="AB8">
        <f>IF(LEFT(T8,5)="ERROR","ERROR",IF(AND(Settings!$B$17,ABS(AA8-Z8)&gt;1E-9),"FIXED",IF(ABS(S8)&lt;=Settings!$B$7,"SAFE","WARNING")))</f>
        <v/>
      </c>
      <c r="AC8">
        <f>IF(AB8="FIXED","Close adjusted by SAFE mode",IF(AB8="SAFE","BUY/SELL balance preserved",IF(AB8="WARNING","Near protection boundary","Protection broken")))</f>
        <v/>
      </c>
    </row>
    <row r="9">
      <c r="A9" t="n">
        <v>7</v>
      </c>
      <c r="B9">
        <f>A9*Settings!$B$3</f>
        <v/>
      </c>
      <c r="C9">
        <f>IF(A9&lt;=Settings!$B$4,IFERROR(XLOOKUP(A9,LevelRange,BigPercentRange),0),0)</f>
        <v/>
      </c>
      <c r="D9">
        <f>W9</f>
        <v/>
      </c>
      <c r="E9">
        <f>IF(A9&lt;=Settings!$B$4,IFERROR(XLOOKUP(A9,LevelRange,SmallPercentRange),0),0)</f>
        <v/>
      </c>
      <c r="F9">
        <f>Y9</f>
        <v/>
      </c>
      <c r="G9">
        <f>N8</f>
        <v/>
      </c>
      <c r="H9">
        <f>G9+SUM($C$3:C9)</f>
        <v/>
      </c>
      <c r="I9">
        <f>100+SUM($E$3:E9)</f>
        <v/>
      </c>
      <c r="J9">
        <f>IF(A9&lt;=Settings!$B$4,IFERROR(XLOOKUP(A9,LevelRange,TargetSkewRange),0),0)</f>
        <v/>
      </c>
      <c r="K9">
        <f>MIN(G9,MAX(0,H9-I9+J9))</f>
        <v/>
      </c>
      <c r="L9">
        <f>IF(A9&lt;=Settings!$B$4,IFERROR(XLOOKUP(A9,LevelRange,ManualCloseRange),""),"")</f>
        <v/>
      </c>
      <c r="M9">
        <f>MIN(G9,AA9/Settings!$B$2*100)</f>
        <v/>
      </c>
      <c r="N9">
        <f>G9-M9</f>
        <v/>
      </c>
      <c r="O9">
        <f>SUM($C$3:C9)</f>
        <v/>
      </c>
      <c r="P9">
        <f>SUM($E$3:E9)</f>
        <v/>
      </c>
      <c r="Q9">
        <f>N9+O9</f>
        <v/>
      </c>
      <c r="R9">
        <f>100+P9</f>
        <v/>
      </c>
      <c r="S9">
        <f>R9-Q9</f>
        <v/>
      </c>
      <c r="T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Direction",IF(OR(C9&lt;0,E9&lt;0,J9&lt;0,AND(LEN(L9)&gt;0,L9&lt;0)),"ERROR: Negative input",IF(C9&lt;E9,"ERROR: Big BUY must be &gt;= Small SELL",IF(AND(LEN(L9)&gt;0,L9&gt;G9),"ERROR: ManualClose exceeds remaining Start position",IF(OR(N9&lt;0,Q9&lt;0,R9&lt;0),"ERROR: Negative totals",IF(Q9&gt;R9,"ERROR: Rounding broke protection balance",IF(S9&gt;Settings!$B$8,"WARNING: Skew exceeds recommended limit","OK")))))))))))</f>
        <v/>
      </c>
      <c r="U9">
        <f>IF(LEFT(T9,5)="ERROR","Check input/risk","")</f>
        <v/>
      </c>
      <c r="V9">
        <f>Settings!$B$2*C9/100</f>
        <v/>
      </c>
      <c r="W9">
        <f>IF(Settings!$B$9,FLOOR(V9,Settings!$B$5),V9)</f>
        <v/>
      </c>
      <c r="X9">
        <f>Settings!$B$2*E9/100</f>
        <v/>
      </c>
      <c r="Y9">
        <f>IF(Settings!$B$9,CEILING(X9,Settings!$B$5),X9)</f>
        <v/>
      </c>
      <c r="Z9">
        <f>Settings!$B$2*M9/100</f>
        <v/>
      </c>
      <c r="AA9">
        <f>IF(Settings!$B$17,MIN(Settings!$B$2*G9/100,IF(Settings!$B$9,CEILING(MAX(0,V9+Settings!$B$2*G9/100-X9-Settings!$B$2*J9/100),Settings!$B$5),MAX(0,V9+Settings!$B$2*G9/100-X9-Settings!$B$2*J9/100))),IF(Settings!$B$9,MROUND(Z9,Settings!$B$5),Z9))</f>
        <v/>
      </c>
      <c r="AB9">
        <f>IF(LEFT(T9,5)="ERROR","ERROR",IF(AND(Settings!$B$17,ABS(AA9-Z9)&gt;1E-9),"FIXED",IF(ABS(S9)&lt;=Settings!$B$7,"SAFE","WARNING")))</f>
        <v/>
      </c>
      <c r="AC9">
        <f>IF(AB9="FIXED","Close adjusted by SAFE mode",IF(AB9="SAFE","BUY/SELL balance preserved",IF(AB9="WARNING","Near protection boundary","Protection broken")))</f>
        <v/>
      </c>
    </row>
    <row r="10">
      <c r="A10" t="n">
        <v>8</v>
      </c>
      <c r="B10">
        <f>A10*Settings!$B$3</f>
        <v/>
      </c>
      <c r="C10">
        <f>IF(A10&lt;=Settings!$B$4,IFERROR(XLOOKUP(A10,LevelRange,BigPercentRange),0),0)</f>
        <v/>
      </c>
      <c r="D10">
        <f>W10</f>
        <v/>
      </c>
      <c r="E10">
        <f>IF(A10&lt;=Settings!$B$4,IFERROR(XLOOKUP(A10,LevelRange,SmallPercentRange),0),0)</f>
        <v/>
      </c>
      <c r="F10">
        <f>Y10</f>
        <v/>
      </c>
      <c r="G10">
        <f>N9</f>
        <v/>
      </c>
      <c r="H10">
        <f>G10+SUM($C$3:C10)</f>
        <v/>
      </c>
      <c r="I10">
        <f>100+SUM($E$3:E10)</f>
        <v/>
      </c>
      <c r="J10">
        <f>IF(A10&lt;=Settings!$B$4,IFERROR(XLOOKUP(A10,LevelRange,TargetSkewRange),0),0)</f>
        <v/>
      </c>
      <c r="K10">
        <f>MIN(G10,MAX(0,H10-I10+J10))</f>
        <v/>
      </c>
      <c r="L10">
        <f>IF(A10&lt;=Settings!$B$4,IFERROR(XLOOKUP(A10,LevelRange,ManualCloseRange),""),"")</f>
        <v/>
      </c>
      <c r="M10">
        <f>MIN(G10,AA10/Settings!$B$2*100)</f>
        <v/>
      </c>
      <c r="N10">
        <f>G10-M10</f>
        <v/>
      </c>
      <c r="O10">
        <f>SUM($C$3:C10)</f>
        <v/>
      </c>
      <c r="P10">
        <f>SUM($E$3:E10)</f>
        <v/>
      </c>
      <c r="Q10">
        <f>N10+O10</f>
        <v/>
      </c>
      <c r="R10">
        <f>100+P10</f>
        <v/>
      </c>
      <c r="S10">
        <f>R10-Q10</f>
        <v/>
      </c>
      <c r="T1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Direction",IF(OR(C10&lt;0,E10&lt;0,J10&lt;0,AND(LEN(L10)&gt;0,L10&lt;0)),"ERROR: Negative input",IF(C10&lt;E10,"ERROR: Big BUY must be &gt;= Small SELL",IF(AND(LEN(L10)&gt;0,L10&gt;G10),"ERROR: ManualClose exceeds remaining Start position",IF(OR(N10&lt;0,Q10&lt;0,R10&lt;0),"ERROR: Negative totals",IF(Q10&gt;R10,"ERROR: Rounding broke protection balance",IF(S10&gt;Settings!$B$8,"WARNING: Skew exceeds recommended limit","OK")))))))))))</f>
        <v/>
      </c>
      <c r="U10">
        <f>IF(LEFT(T10,5)="ERROR","Check input/risk","")</f>
        <v/>
      </c>
      <c r="V10">
        <f>Settings!$B$2*C10/100</f>
        <v/>
      </c>
      <c r="W10">
        <f>IF(Settings!$B$9,FLOOR(V10,Settings!$B$5),V10)</f>
        <v/>
      </c>
      <c r="X10">
        <f>Settings!$B$2*E10/100</f>
        <v/>
      </c>
      <c r="Y10">
        <f>IF(Settings!$B$9,CEILING(X10,Settings!$B$5),X10)</f>
        <v/>
      </c>
      <c r="Z10">
        <f>Settings!$B$2*M10/100</f>
        <v/>
      </c>
      <c r="AA10">
        <f>IF(Settings!$B$17,MIN(Settings!$B$2*G10/100,IF(Settings!$B$9,CEILING(MAX(0,V10+Settings!$B$2*G10/100-X10-Settings!$B$2*J10/100),Settings!$B$5),MAX(0,V10+Settings!$B$2*G10/100-X10-Settings!$B$2*J10/100))),IF(Settings!$B$9,MROUND(Z10,Settings!$B$5),Z10))</f>
        <v/>
      </c>
      <c r="AB10">
        <f>IF(LEFT(T10,5)="ERROR","ERROR",IF(AND(Settings!$B$17,ABS(AA10-Z10)&gt;1E-9),"FIXED",IF(ABS(S10)&lt;=Settings!$B$7,"SAFE","WARNING")))</f>
        <v/>
      </c>
      <c r="AC10">
        <f>IF(AB10="FIXED","Close adjusted by SAFE mode",IF(AB10="SAFE","BUY/SELL balance preserved",IF(AB10="WARNING","Near protection boundary","Protection broken")))</f>
        <v/>
      </c>
    </row>
    <row r="11">
      <c r="A11" t="n">
        <v>9</v>
      </c>
      <c r="B11">
        <f>A11*Settings!$B$3</f>
        <v/>
      </c>
      <c r="C11">
        <f>IF(A11&lt;=Settings!$B$4,IFERROR(XLOOKUP(A11,LevelRange,BigPercentRange),0),0)</f>
        <v/>
      </c>
      <c r="D11">
        <f>W11</f>
        <v/>
      </c>
      <c r="E11">
        <f>IF(A11&lt;=Settings!$B$4,IFERROR(XLOOKUP(A11,LevelRange,SmallPercentRange),0),0)</f>
        <v/>
      </c>
      <c r="F11">
        <f>Y11</f>
        <v/>
      </c>
      <c r="G11">
        <f>N10</f>
        <v/>
      </c>
      <c r="H11">
        <f>G11+SUM($C$3:C11)</f>
        <v/>
      </c>
      <c r="I11">
        <f>100+SUM($E$3:E11)</f>
        <v/>
      </c>
      <c r="J11">
        <f>IF(A11&lt;=Settings!$B$4,IFERROR(XLOOKUP(A11,LevelRange,TargetSkewRange),0),0)</f>
        <v/>
      </c>
      <c r="K11">
        <f>MIN(G11,MAX(0,H11-I11+J11))</f>
        <v/>
      </c>
      <c r="L11">
        <f>IF(A11&lt;=Settings!$B$4,IFERROR(XLOOKUP(A11,LevelRange,ManualCloseRange),""),"")</f>
        <v/>
      </c>
      <c r="M11">
        <f>MIN(G11,AA11/Settings!$B$2*100)</f>
        <v/>
      </c>
      <c r="N11">
        <f>G11-M11</f>
        <v/>
      </c>
      <c r="O11">
        <f>SUM($C$3:C11)</f>
        <v/>
      </c>
      <c r="P11">
        <f>SUM($E$3:E11)</f>
        <v/>
      </c>
      <c r="Q11">
        <f>N11+O11</f>
        <v/>
      </c>
      <c r="R11">
        <f>100+P11</f>
        <v/>
      </c>
      <c r="S11">
        <f>R11-Q11</f>
        <v/>
      </c>
      <c r="T1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Direction",IF(OR(C11&lt;0,E11&lt;0,J11&lt;0,AND(LEN(L11)&gt;0,L11&lt;0)),"ERROR: Negative input",IF(C11&lt;E11,"ERROR: Big BUY must be &gt;= Small SELL",IF(AND(LEN(L11)&gt;0,L11&gt;G11),"ERROR: ManualClose exceeds remaining Start position",IF(OR(N11&lt;0,Q11&lt;0,R11&lt;0),"ERROR: Negative totals",IF(Q11&gt;R11,"ERROR: Rounding broke protection balance",IF(S11&gt;Settings!$B$8,"WARNING: Skew exceeds recommended limit","OK")))))))))))</f>
        <v/>
      </c>
      <c r="U11">
        <f>IF(LEFT(T11,5)="ERROR","Check input/risk","")</f>
        <v/>
      </c>
      <c r="V11">
        <f>Settings!$B$2*C11/100</f>
        <v/>
      </c>
      <c r="W11">
        <f>IF(Settings!$B$9,FLOOR(V11,Settings!$B$5),V11)</f>
        <v/>
      </c>
      <c r="X11">
        <f>Settings!$B$2*E11/100</f>
        <v/>
      </c>
      <c r="Y11">
        <f>IF(Settings!$B$9,CEILING(X11,Settings!$B$5),X11)</f>
        <v/>
      </c>
      <c r="Z11">
        <f>Settings!$B$2*M11/100</f>
        <v/>
      </c>
      <c r="AA11">
        <f>IF(Settings!$B$17,MIN(Settings!$B$2*G11/100,IF(Settings!$B$9,CEILING(MAX(0,V11+Settings!$B$2*G11/100-X11-Settings!$B$2*J11/100),Settings!$B$5),MAX(0,V11+Settings!$B$2*G11/100-X11-Settings!$B$2*J11/100))),IF(Settings!$B$9,MROUND(Z11,Settings!$B$5),Z11))</f>
        <v/>
      </c>
      <c r="AB11">
        <f>IF(LEFT(T11,5)="ERROR","ERROR",IF(AND(Settings!$B$17,ABS(AA11-Z11)&gt;1E-9),"FIXED",IF(ABS(S11)&lt;=Settings!$B$7,"SAFE","WARNING")))</f>
        <v/>
      </c>
      <c r="AC11">
        <f>IF(AB11="FIXED","Close adjusted by SAFE mode",IF(AB11="SAFE","BUY/SELL balance preserved",IF(AB11="WARNING","Near protection boundary","Protection broken")))</f>
        <v/>
      </c>
    </row>
    <row r="12">
      <c r="A12" t="n">
        <v>10</v>
      </c>
      <c r="B12">
        <f>A12*Settings!$B$3</f>
        <v/>
      </c>
      <c r="C12">
        <f>IF(A12&lt;=Settings!$B$4,IFERROR(XLOOKUP(A12,LevelRange,BigPercentRange),0),0)</f>
        <v/>
      </c>
      <c r="D12">
        <f>W12</f>
        <v/>
      </c>
      <c r="E12">
        <f>IF(A12&lt;=Settings!$B$4,IFERROR(XLOOKUP(A12,LevelRange,SmallPercentRange),0),0)</f>
        <v/>
      </c>
      <c r="F12">
        <f>Y12</f>
        <v/>
      </c>
      <c r="G12">
        <f>N11</f>
        <v/>
      </c>
      <c r="H12">
        <f>G12+SUM($C$3:C12)</f>
        <v/>
      </c>
      <c r="I12">
        <f>100+SUM($E$3:E12)</f>
        <v/>
      </c>
      <c r="J12">
        <f>IF(A12&lt;=Settings!$B$4,IFERROR(XLOOKUP(A12,LevelRange,TargetSkewRange),0),0)</f>
        <v/>
      </c>
      <c r="K12">
        <f>MIN(G12,MAX(0,H12-I12+J12))</f>
        <v/>
      </c>
      <c r="L12">
        <f>IF(A12&lt;=Settings!$B$4,IFERROR(XLOOKUP(A12,LevelRange,ManualCloseRange),""),"")</f>
        <v/>
      </c>
      <c r="M12">
        <f>MIN(G12,AA12/Settings!$B$2*100)</f>
        <v/>
      </c>
      <c r="N12">
        <f>G12-M12</f>
        <v/>
      </c>
      <c r="O12">
        <f>SUM($C$3:C12)</f>
        <v/>
      </c>
      <c r="P12">
        <f>SUM($E$3:E12)</f>
        <v/>
      </c>
      <c r="Q12">
        <f>N12+O12</f>
        <v/>
      </c>
      <c r="R12">
        <f>100+P12</f>
        <v/>
      </c>
      <c r="S12">
        <f>R12-Q12</f>
        <v/>
      </c>
      <c r="T1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Direction",IF(OR(C12&lt;0,E12&lt;0,J12&lt;0,AND(LEN(L12)&gt;0,L12&lt;0)),"ERROR: Negative input",IF(C12&lt;E12,"ERROR: Big BUY must be &gt;= Small SELL",IF(AND(LEN(L12)&gt;0,L12&gt;G12),"ERROR: ManualClose exceeds remaining Start position",IF(OR(N12&lt;0,Q12&lt;0,R12&lt;0),"ERROR: Negative totals",IF(Q12&gt;R12,"ERROR: Rounding broke protection balance",IF(S12&gt;Settings!$B$8,"WARNING: Skew exceeds recommended limit","OK")))))))))))</f>
        <v/>
      </c>
      <c r="U12">
        <f>IF(LEFT(T12,5)="ERROR","Check input/risk","")</f>
        <v/>
      </c>
      <c r="V12">
        <f>Settings!$B$2*C12/100</f>
        <v/>
      </c>
      <c r="W12">
        <f>IF(Settings!$B$9,FLOOR(V12,Settings!$B$5),V12)</f>
        <v/>
      </c>
      <c r="X12">
        <f>Settings!$B$2*E12/100</f>
        <v/>
      </c>
      <c r="Y12">
        <f>IF(Settings!$B$9,CEILING(X12,Settings!$B$5),X12)</f>
        <v/>
      </c>
      <c r="Z12">
        <f>Settings!$B$2*M12/100</f>
        <v/>
      </c>
      <c r="AA12">
        <f>IF(Settings!$B$17,MIN(Settings!$B$2*G12/100,IF(Settings!$B$9,CEILING(MAX(0,V12+Settings!$B$2*G12/100-X12-Settings!$B$2*J12/100),Settings!$B$5),MAX(0,V12+Settings!$B$2*G12/100-X12-Settings!$B$2*J12/100))),IF(Settings!$B$9,MROUND(Z12,Settings!$B$5),Z12))</f>
        <v/>
      </c>
      <c r="AB12">
        <f>IF(LEFT(T12,5)="ERROR","ERROR",IF(AND(Settings!$B$17,ABS(AA12-Z12)&gt;1E-9),"FIXED",IF(ABS(S12)&lt;=Settings!$B$7,"SAFE","WARNING")))</f>
        <v/>
      </c>
      <c r="AC12">
        <f>IF(AB12="FIXED","Close adjusted by SAFE mode",IF(AB12="SAFE","BUY/SELL balance preserved",IF(AB12="WARNING","Near protection boundary","Protection broken")))</f>
        <v/>
      </c>
    </row>
    <row r="13">
      <c r="A13" t="n">
        <v>11</v>
      </c>
      <c r="B13">
        <f>A13*Settings!$B$3</f>
        <v/>
      </c>
      <c r="C13">
        <f>IF(A13&lt;=Settings!$B$4,IFERROR(XLOOKUP(A13,LevelRange,BigPercentRange),0),0)</f>
        <v/>
      </c>
      <c r="D13">
        <f>W13</f>
        <v/>
      </c>
      <c r="E13">
        <f>IF(A13&lt;=Settings!$B$4,IFERROR(XLOOKUP(A13,LevelRange,SmallPercentRange),0),0)</f>
        <v/>
      </c>
      <c r="F13">
        <f>Y13</f>
        <v/>
      </c>
      <c r="G13">
        <f>N12</f>
        <v/>
      </c>
      <c r="H13">
        <f>G13+SUM($C$3:C13)</f>
        <v/>
      </c>
      <c r="I13">
        <f>100+SUM($E$3:E13)</f>
        <v/>
      </c>
      <c r="J13">
        <f>IF(A13&lt;=Settings!$B$4,IFERROR(XLOOKUP(A13,LevelRange,TargetSkewRange),0),0)</f>
        <v/>
      </c>
      <c r="K13">
        <f>MIN(G13,MAX(0,H13-I13+J13))</f>
        <v/>
      </c>
      <c r="L13">
        <f>IF(A13&lt;=Settings!$B$4,IFERROR(XLOOKUP(A13,LevelRange,ManualCloseRange),""),"")</f>
        <v/>
      </c>
      <c r="M13">
        <f>MIN(G13,AA13/Settings!$B$2*100)</f>
        <v/>
      </c>
      <c r="N13">
        <f>G13-M13</f>
        <v/>
      </c>
      <c r="O13">
        <f>SUM($C$3:C13)</f>
        <v/>
      </c>
      <c r="P13">
        <f>SUM($E$3:E13)</f>
        <v/>
      </c>
      <c r="Q13">
        <f>N13+O13</f>
        <v/>
      </c>
      <c r="R13">
        <f>100+P13</f>
        <v/>
      </c>
      <c r="S13">
        <f>R13-Q13</f>
        <v/>
      </c>
      <c r="T1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Direction",IF(OR(C13&lt;0,E13&lt;0,J13&lt;0,AND(LEN(L13)&gt;0,L13&lt;0)),"ERROR: Negative input",IF(C13&lt;E13,"ERROR: Big BUY must be &gt;= Small SELL",IF(AND(LEN(L13)&gt;0,L13&gt;G13),"ERROR: ManualClose exceeds remaining Start position",IF(OR(N13&lt;0,Q13&lt;0,R13&lt;0),"ERROR: Negative totals",IF(Q13&gt;R13,"ERROR: Rounding broke protection balance",IF(S13&gt;Settings!$B$8,"WARNING: Skew exceeds recommended limit","OK")))))))))))</f>
        <v/>
      </c>
      <c r="U13">
        <f>IF(LEFT(T13,5)="ERROR","Check input/risk","")</f>
        <v/>
      </c>
      <c r="V13">
        <f>Settings!$B$2*C13/100</f>
        <v/>
      </c>
      <c r="W13">
        <f>IF(Settings!$B$9,FLOOR(V13,Settings!$B$5),V13)</f>
        <v/>
      </c>
      <c r="X13">
        <f>Settings!$B$2*E13/100</f>
        <v/>
      </c>
      <c r="Y13">
        <f>IF(Settings!$B$9,CEILING(X13,Settings!$B$5),X13)</f>
        <v/>
      </c>
      <c r="Z13">
        <f>Settings!$B$2*M13/100</f>
        <v/>
      </c>
      <c r="AA13">
        <f>IF(Settings!$B$17,MIN(Settings!$B$2*G13/100,IF(Settings!$B$9,CEILING(MAX(0,V13+Settings!$B$2*G13/100-X13-Settings!$B$2*J13/100),Settings!$B$5),MAX(0,V13+Settings!$B$2*G13/100-X13-Settings!$B$2*J13/100))),IF(Settings!$B$9,MROUND(Z13,Settings!$B$5),Z13))</f>
        <v/>
      </c>
      <c r="AB13">
        <f>IF(LEFT(T13,5)="ERROR","ERROR",IF(AND(Settings!$B$17,ABS(AA13-Z13)&gt;1E-9),"FIXED",IF(ABS(S13)&lt;=Settings!$B$7,"SAFE","WARNING")))</f>
        <v/>
      </c>
      <c r="AC13">
        <f>IF(AB13="FIXED","Close adjusted by SAFE mode",IF(AB13="SAFE","BUY/SELL balance preserved",IF(AB13="WARNING","Near protection boundary","Protection broken")))</f>
        <v/>
      </c>
    </row>
    <row r="14">
      <c r="A14" t="n">
        <v>12</v>
      </c>
      <c r="B14">
        <f>A14*Settings!$B$3</f>
        <v/>
      </c>
      <c r="C14">
        <f>IF(A14&lt;=Settings!$B$4,IFERROR(XLOOKUP(A14,LevelRange,BigPercentRange),0),0)</f>
        <v/>
      </c>
      <c r="D14">
        <f>W14</f>
        <v/>
      </c>
      <c r="E14">
        <f>IF(A14&lt;=Settings!$B$4,IFERROR(XLOOKUP(A14,LevelRange,SmallPercentRange),0),0)</f>
        <v/>
      </c>
      <c r="F14">
        <f>Y14</f>
        <v/>
      </c>
      <c r="G14">
        <f>N13</f>
        <v/>
      </c>
      <c r="H14">
        <f>G14+SUM($C$3:C14)</f>
        <v/>
      </c>
      <c r="I14">
        <f>100+SUM($E$3:E14)</f>
        <v/>
      </c>
      <c r="J14">
        <f>IF(A14&lt;=Settings!$B$4,IFERROR(XLOOKUP(A14,LevelRange,TargetSkewRange),0),0)</f>
        <v/>
      </c>
      <c r="K14">
        <f>MIN(G14,MAX(0,H14-I14+J14))</f>
        <v/>
      </c>
      <c r="L14">
        <f>IF(A14&lt;=Settings!$B$4,IFERROR(XLOOKUP(A14,LevelRange,ManualCloseRange),""),"")</f>
        <v/>
      </c>
      <c r="M14">
        <f>MIN(G14,AA14/Settings!$B$2*100)</f>
        <v/>
      </c>
      <c r="N14">
        <f>G14-M14</f>
        <v/>
      </c>
      <c r="O14">
        <f>SUM($C$3:C14)</f>
        <v/>
      </c>
      <c r="P14">
        <f>SUM($E$3:E14)</f>
        <v/>
      </c>
      <c r="Q14">
        <f>N14+O14</f>
        <v/>
      </c>
      <c r="R14">
        <f>100+P14</f>
        <v/>
      </c>
      <c r="S14">
        <f>R14-Q14</f>
        <v/>
      </c>
      <c r="T1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Direction",IF(OR(C14&lt;0,E14&lt;0,J14&lt;0,AND(LEN(L14)&gt;0,L14&lt;0)),"ERROR: Negative input",IF(C14&lt;E14,"ERROR: Big BUY must be &gt;= Small SELL",IF(AND(LEN(L14)&gt;0,L14&gt;G14),"ERROR: ManualClose exceeds remaining Start position",IF(OR(N14&lt;0,Q14&lt;0,R14&lt;0),"ERROR: Negative totals",IF(Q14&gt;R14,"ERROR: Rounding broke protection balance",IF(S14&gt;Settings!$B$8,"WARNING: Skew exceeds recommended limit","OK")))))))))))</f>
        <v/>
      </c>
      <c r="U14">
        <f>IF(LEFT(T14,5)="ERROR","Check input/risk","")</f>
        <v/>
      </c>
      <c r="V14">
        <f>Settings!$B$2*C14/100</f>
        <v/>
      </c>
      <c r="W14">
        <f>IF(Settings!$B$9,FLOOR(V14,Settings!$B$5),V14)</f>
        <v/>
      </c>
      <c r="X14">
        <f>Settings!$B$2*E14/100</f>
        <v/>
      </c>
      <c r="Y14">
        <f>IF(Settings!$B$9,CEILING(X14,Settings!$B$5),X14)</f>
        <v/>
      </c>
      <c r="Z14">
        <f>Settings!$B$2*M14/100</f>
        <v/>
      </c>
      <c r="AA14">
        <f>IF(Settings!$B$17,MIN(Settings!$B$2*G14/100,IF(Settings!$B$9,CEILING(MAX(0,V14+Settings!$B$2*G14/100-X14-Settings!$B$2*J14/100),Settings!$B$5),MAX(0,V14+Settings!$B$2*G14/100-X14-Settings!$B$2*J14/100))),IF(Settings!$B$9,MROUND(Z14,Settings!$B$5),Z14))</f>
        <v/>
      </c>
      <c r="AB14">
        <f>IF(LEFT(T14,5)="ERROR","ERROR",IF(AND(Settings!$B$17,ABS(AA14-Z14)&gt;1E-9),"FIXED",IF(ABS(S14)&lt;=Settings!$B$7,"SAFE","WARNING")))</f>
        <v/>
      </c>
      <c r="AC14">
        <f>IF(AB14="FIXED","Close adjusted by SAFE mode",IF(AB14="SAFE","BUY/SELL balance preserved",IF(AB14="WARNING","Near protection boundary","Protection broken")))</f>
        <v/>
      </c>
    </row>
    <row r="15">
      <c r="A15" t="n">
        <v>13</v>
      </c>
      <c r="B15">
        <f>A15*Settings!$B$3</f>
        <v/>
      </c>
      <c r="C15">
        <f>IF(A15&lt;=Settings!$B$4,IFERROR(XLOOKUP(A15,LevelRange,BigPercentRange),0),0)</f>
        <v/>
      </c>
      <c r="D15">
        <f>W15</f>
        <v/>
      </c>
      <c r="E15">
        <f>IF(A15&lt;=Settings!$B$4,IFERROR(XLOOKUP(A15,LevelRange,SmallPercentRange),0),0)</f>
        <v/>
      </c>
      <c r="F15">
        <f>Y15</f>
        <v/>
      </c>
      <c r="G15">
        <f>N14</f>
        <v/>
      </c>
      <c r="H15">
        <f>G15+SUM($C$3:C15)</f>
        <v/>
      </c>
      <c r="I15">
        <f>100+SUM($E$3:E15)</f>
        <v/>
      </c>
      <c r="J15">
        <f>IF(A15&lt;=Settings!$B$4,IFERROR(XLOOKUP(A15,LevelRange,TargetSkewRange),0),0)</f>
        <v/>
      </c>
      <c r="K15">
        <f>MIN(G15,MAX(0,H15-I15+J15))</f>
        <v/>
      </c>
      <c r="L15">
        <f>IF(A15&lt;=Settings!$B$4,IFERROR(XLOOKUP(A15,LevelRange,ManualCloseRange),""),"")</f>
        <v/>
      </c>
      <c r="M15">
        <f>MIN(G15,AA15/Settings!$B$2*100)</f>
        <v/>
      </c>
      <c r="N15">
        <f>G15-M15</f>
        <v/>
      </c>
      <c r="O15">
        <f>SUM($C$3:C15)</f>
        <v/>
      </c>
      <c r="P15">
        <f>SUM($E$3:E15)</f>
        <v/>
      </c>
      <c r="Q15">
        <f>N15+O15</f>
        <v/>
      </c>
      <c r="R15">
        <f>100+P15</f>
        <v/>
      </c>
      <c r="S15">
        <f>R15-Q15</f>
        <v/>
      </c>
      <c r="T1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Direction",IF(OR(C15&lt;0,E15&lt;0,J15&lt;0,AND(LEN(L15)&gt;0,L15&lt;0)),"ERROR: Negative input",IF(C15&lt;E15,"ERROR: Big BUY must be &gt;= Small SELL",IF(AND(LEN(L15)&gt;0,L15&gt;G15),"ERROR: ManualClose exceeds remaining Start position",IF(OR(N15&lt;0,Q15&lt;0,R15&lt;0),"ERROR: Negative totals",IF(Q15&gt;R15,"ERROR: Rounding broke protection balance",IF(S15&gt;Settings!$B$8,"WARNING: Skew exceeds recommended limit","OK")))))))))))</f>
        <v/>
      </c>
      <c r="U15">
        <f>IF(LEFT(T15,5)="ERROR","Check input/risk","")</f>
        <v/>
      </c>
      <c r="V15">
        <f>Settings!$B$2*C15/100</f>
        <v/>
      </c>
      <c r="W15">
        <f>IF(Settings!$B$9,FLOOR(V15,Settings!$B$5),V15)</f>
        <v/>
      </c>
      <c r="X15">
        <f>Settings!$B$2*E15/100</f>
        <v/>
      </c>
      <c r="Y15">
        <f>IF(Settings!$B$9,CEILING(X15,Settings!$B$5),X15)</f>
        <v/>
      </c>
      <c r="Z15">
        <f>Settings!$B$2*M15/100</f>
        <v/>
      </c>
      <c r="AA15">
        <f>IF(Settings!$B$17,MIN(Settings!$B$2*G15/100,IF(Settings!$B$9,CEILING(MAX(0,V15+Settings!$B$2*G15/100-X15-Settings!$B$2*J15/100),Settings!$B$5),MAX(0,V15+Settings!$B$2*G15/100-X15-Settings!$B$2*J15/100))),IF(Settings!$B$9,MROUND(Z15,Settings!$B$5),Z15))</f>
        <v/>
      </c>
      <c r="AB15">
        <f>IF(LEFT(T15,5)="ERROR","ERROR",IF(AND(Settings!$B$17,ABS(AA15-Z15)&gt;1E-9),"FIXED",IF(ABS(S15)&lt;=Settings!$B$7,"SAFE","WARNING")))</f>
        <v/>
      </c>
      <c r="AC15">
        <f>IF(AB15="FIXED","Close adjusted by SAFE mode",IF(AB15="SAFE","BUY/SELL balance preserved",IF(AB15="WARNING","Near protection boundary","Protection broken")))</f>
        <v/>
      </c>
    </row>
    <row r="16">
      <c r="A16" t="n">
        <v>14</v>
      </c>
      <c r="B16">
        <f>A16*Settings!$B$3</f>
        <v/>
      </c>
      <c r="C16">
        <f>IF(A16&lt;=Settings!$B$4,IFERROR(XLOOKUP(A16,LevelRange,BigPercentRange),0),0)</f>
        <v/>
      </c>
      <c r="D16">
        <f>W16</f>
        <v/>
      </c>
      <c r="E16">
        <f>IF(A16&lt;=Settings!$B$4,IFERROR(XLOOKUP(A16,LevelRange,SmallPercentRange),0),0)</f>
        <v/>
      </c>
      <c r="F16">
        <f>Y16</f>
        <v/>
      </c>
      <c r="G16">
        <f>N15</f>
        <v/>
      </c>
      <c r="H16">
        <f>G16+SUM($C$3:C16)</f>
        <v/>
      </c>
      <c r="I16">
        <f>100+SUM($E$3:E16)</f>
        <v/>
      </c>
      <c r="J16">
        <f>IF(A16&lt;=Settings!$B$4,IFERROR(XLOOKUP(A16,LevelRange,TargetSkewRange),0),0)</f>
        <v/>
      </c>
      <c r="K16">
        <f>MIN(G16,MAX(0,H16-I16+J16))</f>
        <v/>
      </c>
      <c r="L16">
        <f>IF(A16&lt;=Settings!$B$4,IFERROR(XLOOKUP(A16,LevelRange,ManualCloseRange),""),"")</f>
        <v/>
      </c>
      <c r="M16">
        <f>MIN(G16,AA16/Settings!$B$2*100)</f>
        <v/>
      </c>
      <c r="N16">
        <f>G16-M16</f>
        <v/>
      </c>
      <c r="O16">
        <f>SUM($C$3:C16)</f>
        <v/>
      </c>
      <c r="P16">
        <f>SUM($E$3:E16)</f>
        <v/>
      </c>
      <c r="Q16">
        <f>N16+O16</f>
        <v/>
      </c>
      <c r="R16">
        <f>100+P16</f>
        <v/>
      </c>
      <c r="S16">
        <f>R16-Q16</f>
        <v/>
      </c>
      <c r="T1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Direction",IF(OR(C16&lt;0,E16&lt;0,J16&lt;0,AND(LEN(L16)&gt;0,L16&lt;0)),"ERROR: Negative input",IF(C16&lt;E16,"ERROR: Big BUY must be &gt;= Small SELL",IF(AND(LEN(L16)&gt;0,L16&gt;G16),"ERROR: ManualClose exceeds remaining Start position",IF(OR(N16&lt;0,Q16&lt;0,R16&lt;0),"ERROR: Negative totals",IF(Q16&gt;R16,"ERROR: Rounding broke protection balance",IF(S16&gt;Settings!$B$8,"WARNING: Skew exceeds recommended limit","OK")))))))))))</f>
        <v/>
      </c>
      <c r="U16">
        <f>IF(LEFT(T16,5)="ERROR","Check input/risk","")</f>
        <v/>
      </c>
      <c r="V16">
        <f>Settings!$B$2*C16/100</f>
        <v/>
      </c>
      <c r="W16">
        <f>IF(Settings!$B$9,FLOOR(V16,Settings!$B$5),V16)</f>
        <v/>
      </c>
      <c r="X16">
        <f>Settings!$B$2*E16/100</f>
        <v/>
      </c>
      <c r="Y16">
        <f>IF(Settings!$B$9,CEILING(X16,Settings!$B$5),X16)</f>
        <v/>
      </c>
      <c r="Z16">
        <f>Settings!$B$2*M16/100</f>
        <v/>
      </c>
      <c r="AA16">
        <f>IF(Settings!$B$17,MIN(Settings!$B$2*G16/100,IF(Settings!$B$9,CEILING(MAX(0,V16+Settings!$B$2*G16/100-X16-Settings!$B$2*J16/100),Settings!$B$5),MAX(0,V16+Settings!$B$2*G16/100-X16-Settings!$B$2*J16/100))),IF(Settings!$B$9,MROUND(Z16,Settings!$B$5),Z16))</f>
        <v/>
      </c>
      <c r="AB16">
        <f>IF(LEFT(T16,5)="ERROR","ERROR",IF(AND(Settings!$B$17,ABS(AA16-Z16)&gt;1E-9),"FIXED",IF(ABS(S16)&lt;=Settings!$B$7,"SAFE","WARNING")))</f>
        <v/>
      </c>
      <c r="AC16">
        <f>IF(AB16="FIXED","Close adjusted by SAFE mode",IF(AB16="SAFE","BUY/SELL balance preserved",IF(AB16="WARNING","Near protection boundary","Protection broken")))</f>
        <v/>
      </c>
    </row>
    <row r="17">
      <c r="A17" t="n">
        <v>15</v>
      </c>
      <c r="B17">
        <f>A17*Settings!$B$3</f>
        <v/>
      </c>
      <c r="C17">
        <f>IF(A17&lt;=Settings!$B$4,IFERROR(XLOOKUP(A17,LevelRange,BigPercentRange),0),0)</f>
        <v/>
      </c>
      <c r="D17">
        <f>W17</f>
        <v/>
      </c>
      <c r="E17">
        <f>IF(A17&lt;=Settings!$B$4,IFERROR(XLOOKUP(A17,LevelRange,SmallPercentRange),0),0)</f>
        <v/>
      </c>
      <c r="F17">
        <f>Y17</f>
        <v/>
      </c>
      <c r="G17">
        <f>N16</f>
        <v/>
      </c>
      <c r="H17">
        <f>G17+SUM($C$3:C17)</f>
        <v/>
      </c>
      <c r="I17">
        <f>100+SUM($E$3:E17)</f>
        <v/>
      </c>
      <c r="J17">
        <f>IF(A17&lt;=Settings!$B$4,IFERROR(XLOOKUP(A17,LevelRange,TargetSkewRange),0),0)</f>
        <v/>
      </c>
      <c r="K17">
        <f>MIN(G17,MAX(0,H17-I17+J17))</f>
        <v/>
      </c>
      <c r="L17">
        <f>IF(A17&lt;=Settings!$B$4,IFERROR(XLOOKUP(A17,LevelRange,ManualCloseRange),""),"")</f>
        <v/>
      </c>
      <c r="M17">
        <f>MIN(G17,AA17/Settings!$B$2*100)</f>
        <v/>
      </c>
      <c r="N17">
        <f>G17-M17</f>
        <v/>
      </c>
      <c r="O17">
        <f>SUM($C$3:C17)</f>
        <v/>
      </c>
      <c r="P17">
        <f>SUM($E$3:E17)</f>
        <v/>
      </c>
      <c r="Q17">
        <f>N17+O17</f>
        <v/>
      </c>
      <c r="R17">
        <f>100+P17</f>
        <v/>
      </c>
      <c r="S17">
        <f>R17-Q17</f>
        <v/>
      </c>
      <c r="T1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Direction",IF(OR(C17&lt;0,E17&lt;0,J17&lt;0,AND(LEN(L17)&gt;0,L17&lt;0)),"ERROR: Negative input",IF(C17&lt;E17,"ERROR: Big BUY must be &gt;= Small SELL",IF(AND(LEN(L17)&gt;0,L17&gt;G17),"ERROR: ManualClose exceeds remaining Start position",IF(OR(N17&lt;0,Q17&lt;0,R17&lt;0),"ERROR: Negative totals",IF(Q17&gt;R17,"ERROR: Rounding broke protection balance",IF(S17&gt;Settings!$B$8,"WARNING: Skew exceeds recommended limit","OK")))))))))))</f>
        <v/>
      </c>
      <c r="U17">
        <f>IF(LEFT(T17,5)="ERROR","Check input/risk","")</f>
        <v/>
      </c>
      <c r="V17">
        <f>Settings!$B$2*C17/100</f>
        <v/>
      </c>
      <c r="W17">
        <f>IF(Settings!$B$9,FLOOR(V17,Settings!$B$5),V17)</f>
        <v/>
      </c>
      <c r="X17">
        <f>Settings!$B$2*E17/100</f>
        <v/>
      </c>
      <c r="Y17">
        <f>IF(Settings!$B$9,CEILING(X17,Settings!$B$5),X17)</f>
        <v/>
      </c>
      <c r="Z17">
        <f>Settings!$B$2*M17/100</f>
        <v/>
      </c>
      <c r="AA17">
        <f>IF(Settings!$B$17,MIN(Settings!$B$2*G17/100,IF(Settings!$B$9,CEILING(MAX(0,V17+Settings!$B$2*G17/100-X17-Settings!$B$2*J17/100),Settings!$B$5),MAX(0,V17+Settings!$B$2*G17/100-X17-Settings!$B$2*J17/100))),IF(Settings!$B$9,MROUND(Z17,Settings!$B$5),Z17))</f>
        <v/>
      </c>
      <c r="AB17">
        <f>IF(LEFT(T17,5)="ERROR","ERROR",IF(AND(Settings!$B$17,ABS(AA17-Z17)&gt;1E-9),"FIXED",IF(ABS(S17)&lt;=Settings!$B$7,"SAFE","WARNING")))</f>
        <v/>
      </c>
      <c r="AC17">
        <f>IF(AB17="FIXED","Close adjusted by SAFE mode",IF(AB17="SAFE","BUY/SELL balance preserved",IF(AB17="WARNING","Near protection boundary","Protection broken")))</f>
        <v/>
      </c>
    </row>
    <row r="18">
      <c r="A18" t="n">
        <v>16</v>
      </c>
      <c r="B18">
        <f>A18*Settings!$B$3</f>
        <v/>
      </c>
      <c r="C18">
        <f>IF(A18&lt;=Settings!$B$4,IFERROR(XLOOKUP(A18,LevelRange,BigPercentRange),0),0)</f>
        <v/>
      </c>
      <c r="D18">
        <f>W18</f>
        <v/>
      </c>
      <c r="E18">
        <f>IF(A18&lt;=Settings!$B$4,IFERROR(XLOOKUP(A18,LevelRange,SmallPercentRange),0),0)</f>
        <v/>
      </c>
      <c r="F18">
        <f>Y18</f>
        <v/>
      </c>
      <c r="G18">
        <f>N17</f>
        <v/>
      </c>
      <c r="H18">
        <f>G18+SUM($C$3:C18)</f>
        <v/>
      </c>
      <c r="I18">
        <f>100+SUM($E$3:E18)</f>
        <v/>
      </c>
      <c r="J18">
        <f>IF(A18&lt;=Settings!$B$4,IFERROR(XLOOKUP(A18,LevelRange,TargetSkewRange),0),0)</f>
        <v/>
      </c>
      <c r="K18">
        <f>MIN(G18,MAX(0,H18-I18+J18))</f>
        <v/>
      </c>
      <c r="L18">
        <f>IF(A18&lt;=Settings!$B$4,IFERROR(XLOOKUP(A18,LevelRange,ManualCloseRange),""),"")</f>
        <v/>
      </c>
      <c r="M18">
        <f>MIN(G18,AA18/Settings!$B$2*100)</f>
        <v/>
      </c>
      <c r="N18">
        <f>G18-M18</f>
        <v/>
      </c>
      <c r="O18">
        <f>SUM($C$3:C18)</f>
        <v/>
      </c>
      <c r="P18">
        <f>SUM($E$3:E18)</f>
        <v/>
      </c>
      <c r="Q18">
        <f>N18+O18</f>
        <v/>
      </c>
      <c r="R18">
        <f>100+P18</f>
        <v/>
      </c>
      <c r="S18">
        <f>R18-Q18</f>
        <v/>
      </c>
      <c r="T1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Direction",IF(OR(C18&lt;0,E18&lt;0,J18&lt;0,AND(LEN(L18)&gt;0,L18&lt;0)),"ERROR: Negative input",IF(C18&lt;E18,"ERROR: Big BUY must be &gt;= Small SELL",IF(AND(LEN(L18)&gt;0,L18&gt;G18),"ERROR: ManualClose exceeds remaining Start position",IF(OR(N18&lt;0,Q18&lt;0,R18&lt;0),"ERROR: Negative totals",IF(Q18&gt;R18,"ERROR: Rounding broke protection balance",IF(S18&gt;Settings!$B$8,"WARNING: Skew exceeds recommended limit","OK")))))))))))</f>
        <v/>
      </c>
      <c r="U18">
        <f>IF(LEFT(T18,5)="ERROR","Check input/risk","")</f>
        <v/>
      </c>
      <c r="V18">
        <f>Settings!$B$2*C18/100</f>
        <v/>
      </c>
      <c r="W18">
        <f>IF(Settings!$B$9,FLOOR(V18,Settings!$B$5),V18)</f>
        <v/>
      </c>
      <c r="X18">
        <f>Settings!$B$2*E18/100</f>
        <v/>
      </c>
      <c r="Y18">
        <f>IF(Settings!$B$9,CEILING(X18,Settings!$B$5),X18)</f>
        <v/>
      </c>
      <c r="Z18">
        <f>Settings!$B$2*M18/100</f>
        <v/>
      </c>
      <c r="AA18">
        <f>IF(Settings!$B$17,MIN(Settings!$B$2*G18/100,IF(Settings!$B$9,CEILING(MAX(0,V18+Settings!$B$2*G18/100-X18-Settings!$B$2*J18/100),Settings!$B$5),MAX(0,V18+Settings!$B$2*G18/100-X18-Settings!$B$2*J18/100))),IF(Settings!$B$9,MROUND(Z18,Settings!$B$5),Z18))</f>
        <v/>
      </c>
      <c r="AB18">
        <f>IF(LEFT(T18,5)="ERROR","ERROR",IF(AND(Settings!$B$17,ABS(AA18-Z18)&gt;1E-9),"FIXED",IF(ABS(S18)&lt;=Settings!$B$7,"SAFE","WARNING")))</f>
        <v/>
      </c>
      <c r="AC18">
        <f>IF(AB18="FIXED","Close adjusted by SAFE mode",IF(AB18="SAFE","BUY/SELL balance preserved",IF(AB18="WARNING","Near protection boundary","Protection broken")))</f>
        <v/>
      </c>
    </row>
    <row r="19">
      <c r="A19" t="n">
        <v>17</v>
      </c>
      <c r="B19">
        <f>A19*Settings!$B$3</f>
        <v/>
      </c>
      <c r="C19">
        <f>IF(A19&lt;=Settings!$B$4,IFERROR(XLOOKUP(A19,LevelRange,BigPercentRange),0),0)</f>
        <v/>
      </c>
      <c r="D19">
        <f>W19</f>
        <v/>
      </c>
      <c r="E19">
        <f>IF(A19&lt;=Settings!$B$4,IFERROR(XLOOKUP(A19,LevelRange,SmallPercentRange),0),0)</f>
        <v/>
      </c>
      <c r="F19">
        <f>Y19</f>
        <v/>
      </c>
      <c r="G19">
        <f>N18</f>
        <v/>
      </c>
      <c r="H19">
        <f>G19+SUM($C$3:C19)</f>
        <v/>
      </c>
      <c r="I19">
        <f>100+SUM($E$3:E19)</f>
        <v/>
      </c>
      <c r="J19">
        <f>IF(A19&lt;=Settings!$B$4,IFERROR(XLOOKUP(A19,LevelRange,TargetSkewRange),0),0)</f>
        <v/>
      </c>
      <c r="K19">
        <f>MIN(G19,MAX(0,H19-I19+J19))</f>
        <v/>
      </c>
      <c r="L19">
        <f>IF(A19&lt;=Settings!$B$4,IFERROR(XLOOKUP(A19,LevelRange,ManualCloseRange),""),"")</f>
        <v/>
      </c>
      <c r="M19">
        <f>MIN(G19,AA19/Settings!$B$2*100)</f>
        <v/>
      </c>
      <c r="N19">
        <f>G19-M19</f>
        <v/>
      </c>
      <c r="O19">
        <f>SUM($C$3:C19)</f>
        <v/>
      </c>
      <c r="P19">
        <f>SUM($E$3:E19)</f>
        <v/>
      </c>
      <c r="Q19">
        <f>N19+O19</f>
        <v/>
      </c>
      <c r="R19">
        <f>100+P19</f>
        <v/>
      </c>
      <c r="S19">
        <f>R19-Q19</f>
        <v/>
      </c>
      <c r="T1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Direction",IF(OR(C19&lt;0,E19&lt;0,J19&lt;0,AND(LEN(L19)&gt;0,L19&lt;0)),"ERROR: Negative input",IF(C19&lt;E19,"ERROR: Big BUY must be &gt;= Small SELL",IF(AND(LEN(L19)&gt;0,L19&gt;G19),"ERROR: ManualClose exceeds remaining Start position",IF(OR(N19&lt;0,Q19&lt;0,R19&lt;0),"ERROR: Negative totals",IF(Q19&gt;R19,"ERROR: Rounding broke protection balance",IF(S19&gt;Settings!$B$8,"WARNING: Skew exceeds recommended limit","OK")))))))))))</f>
        <v/>
      </c>
      <c r="U19">
        <f>IF(LEFT(T19,5)="ERROR","Check input/risk","")</f>
        <v/>
      </c>
      <c r="V19">
        <f>Settings!$B$2*C19/100</f>
        <v/>
      </c>
      <c r="W19">
        <f>IF(Settings!$B$9,FLOOR(V19,Settings!$B$5),V19)</f>
        <v/>
      </c>
      <c r="X19">
        <f>Settings!$B$2*E19/100</f>
        <v/>
      </c>
      <c r="Y19">
        <f>IF(Settings!$B$9,CEILING(X19,Settings!$B$5),X19)</f>
        <v/>
      </c>
      <c r="Z19">
        <f>Settings!$B$2*M19/100</f>
        <v/>
      </c>
      <c r="AA19">
        <f>IF(Settings!$B$17,MIN(Settings!$B$2*G19/100,IF(Settings!$B$9,CEILING(MAX(0,V19+Settings!$B$2*G19/100-X19-Settings!$B$2*J19/100),Settings!$B$5),MAX(0,V19+Settings!$B$2*G19/100-X19-Settings!$B$2*J19/100))),IF(Settings!$B$9,MROUND(Z19,Settings!$B$5),Z19))</f>
        <v/>
      </c>
      <c r="AB19">
        <f>IF(LEFT(T19,5)="ERROR","ERROR",IF(AND(Settings!$B$17,ABS(AA19-Z19)&gt;1E-9),"FIXED",IF(ABS(S19)&lt;=Settings!$B$7,"SAFE","WARNING")))</f>
        <v/>
      </c>
      <c r="AC19">
        <f>IF(AB19="FIXED","Close adjusted by SAFE mode",IF(AB19="SAFE","BUY/SELL balance preserved",IF(AB19="WARNING","Near protection boundary","Protection broken")))</f>
        <v/>
      </c>
    </row>
    <row r="20">
      <c r="A20" t="n">
        <v>18</v>
      </c>
      <c r="B20">
        <f>A20*Settings!$B$3</f>
        <v/>
      </c>
      <c r="C20">
        <f>IF(A20&lt;=Settings!$B$4,IFERROR(XLOOKUP(A20,LevelRange,BigPercentRange),0),0)</f>
        <v/>
      </c>
      <c r="D20">
        <f>W20</f>
        <v/>
      </c>
      <c r="E20">
        <f>IF(A20&lt;=Settings!$B$4,IFERROR(XLOOKUP(A20,LevelRange,SmallPercentRange),0),0)</f>
        <v/>
      </c>
      <c r="F20">
        <f>Y20</f>
        <v/>
      </c>
      <c r="G20">
        <f>N19</f>
        <v/>
      </c>
      <c r="H20">
        <f>G20+SUM($C$3:C20)</f>
        <v/>
      </c>
      <c r="I20">
        <f>100+SUM($E$3:E20)</f>
        <v/>
      </c>
      <c r="J20">
        <f>IF(A20&lt;=Settings!$B$4,IFERROR(XLOOKUP(A20,LevelRange,TargetSkewRange),0),0)</f>
        <v/>
      </c>
      <c r="K20">
        <f>MIN(G20,MAX(0,H20-I20+J20))</f>
        <v/>
      </c>
      <c r="L20">
        <f>IF(A20&lt;=Settings!$B$4,IFERROR(XLOOKUP(A20,LevelRange,ManualCloseRange),""),"")</f>
        <v/>
      </c>
      <c r="M20">
        <f>MIN(G20,AA20/Settings!$B$2*100)</f>
        <v/>
      </c>
      <c r="N20">
        <f>G20-M20</f>
        <v/>
      </c>
      <c r="O20">
        <f>SUM($C$3:C20)</f>
        <v/>
      </c>
      <c r="P20">
        <f>SUM($E$3:E20)</f>
        <v/>
      </c>
      <c r="Q20">
        <f>N20+O20</f>
        <v/>
      </c>
      <c r="R20">
        <f>100+P20</f>
        <v/>
      </c>
      <c r="S20">
        <f>R20-Q20</f>
        <v/>
      </c>
      <c r="T2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Direction",IF(OR(C20&lt;0,E20&lt;0,J20&lt;0,AND(LEN(L20)&gt;0,L20&lt;0)),"ERROR: Negative input",IF(C20&lt;E20,"ERROR: Big BUY must be &gt;= Small SELL",IF(AND(LEN(L20)&gt;0,L20&gt;G20),"ERROR: ManualClose exceeds remaining Start position",IF(OR(N20&lt;0,Q20&lt;0,R20&lt;0),"ERROR: Negative totals",IF(Q20&gt;R20,"ERROR: Rounding broke protection balance",IF(S20&gt;Settings!$B$8,"WARNING: Skew exceeds recommended limit","OK")))))))))))</f>
        <v/>
      </c>
      <c r="U20">
        <f>IF(LEFT(T20,5)="ERROR","Check input/risk","")</f>
        <v/>
      </c>
      <c r="V20">
        <f>Settings!$B$2*C20/100</f>
        <v/>
      </c>
      <c r="W20">
        <f>IF(Settings!$B$9,FLOOR(V20,Settings!$B$5),V20)</f>
        <v/>
      </c>
      <c r="X20">
        <f>Settings!$B$2*E20/100</f>
        <v/>
      </c>
      <c r="Y20">
        <f>IF(Settings!$B$9,CEILING(X20,Settings!$B$5),X20)</f>
        <v/>
      </c>
      <c r="Z20">
        <f>Settings!$B$2*M20/100</f>
        <v/>
      </c>
      <c r="AA20">
        <f>IF(Settings!$B$17,MIN(Settings!$B$2*G20/100,IF(Settings!$B$9,CEILING(MAX(0,V20+Settings!$B$2*G20/100-X20-Settings!$B$2*J20/100),Settings!$B$5),MAX(0,V20+Settings!$B$2*G20/100-X20-Settings!$B$2*J20/100))),IF(Settings!$B$9,MROUND(Z20,Settings!$B$5),Z20))</f>
        <v/>
      </c>
      <c r="AB20">
        <f>IF(LEFT(T20,5)="ERROR","ERROR",IF(AND(Settings!$B$17,ABS(AA20-Z20)&gt;1E-9),"FIXED",IF(ABS(S20)&lt;=Settings!$B$7,"SAFE","WARNING")))</f>
        <v/>
      </c>
      <c r="AC20">
        <f>IF(AB20="FIXED","Close adjusted by SAFE mode",IF(AB20="SAFE","BUY/SELL balance preserved",IF(AB20="WARNING","Near protection boundary","Protection broken")))</f>
        <v/>
      </c>
    </row>
    <row r="21">
      <c r="A21" t="n">
        <v>19</v>
      </c>
      <c r="B21">
        <f>A21*Settings!$B$3</f>
        <v/>
      </c>
      <c r="C21">
        <f>IF(A21&lt;=Settings!$B$4,IFERROR(XLOOKUP(A21,LevelRange,BigPercentRange),0),0)</f>
        <v/>
      </c>
      <c r="D21">
        <f>W21</f>
        <v/>
      </c>
      <c r="E21">
        <f>IF(A21&lt;=Settings!$B$4,IFERROR(XLOOKUP(A21,LevelRange,SmallPercentRange),0),0)</f>
        <v/>
      </c>
      <c r="F21">
        <f>Y21</f>
        <v/>
      </c>
      <c r="G21">
        <f>N20</f>
        <v/>
      </c>
      <c r="H21">
        <f>G21+SUM($C$3:C21)</f>
        <v/>
      </c>
      <c r="I21">
        <f>100+SUM($E$3:E21)</f>
        <v/>
      </c>
      <c r="J21">
        <f>IF(A21&lt;=Settings!$B$4,IFERROR(XLOOKUP(A21,LevelRange,TargetSkewRange),0),0)</f>
        <v/>
      </c>
      <c r="K21">
        <f>MIN(G21,MAX(0,H21-I21+J21))</f>
        <v/>
      </c>
      <c r="L21">
        <f>IF(A21&lt;=Settings!$B$4,IFERROR(XLOOKUP(A21,LevelRange,ManualCloseRange),""),"")</f>
        <v/>
      </c>
      <c r="M21">
        <f>MIN(G21,AA21/Settings!$B$2*100)</f>
        <v/>
      </c>
      <c r="N21">
        <f>G21-M21</f>
        <v/>
      </c>
      <c r="O21">
        <f>SUM($C$3:C21)</f>
        <v/>
      </c>
      <c r="P21">
        <f>SUM($E$3:E21)</f>
        <v/>
      </c>
      <c r="Q21">
        <f>N21+O21</f>
        <v/>
      </c>
      <c r="R21">
        <f>100+P21</f>
        <v/>
      </c>
      <c r="S21">
        <f>R21-Q21</f>
        <v/>
      </c>
      <c r="T2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Direction",IF(OR(C21&lt;0,E21&lt;0,J21&lt;0,AND(LEN(L21)&gt;0,L21&lt;0)),"ERROR: Negative input",IF(C21&lt;E21,"ERROR: Big BUY must be &gt;= Small SELL",IF(AND(LEN(L21)&gt;0,L21&gt;G21),"ERROR: ManualClose exceeds remaining Start position",IF(OR(N21&lt;0,Q21&lt;0,R21&lt;0),"ERROR: Negative totals",IF(Q21&gt;R21,"ERROR: Rounding broke protection balance",IF(S21&gt;Settings!$B$8,"WARNING: Skew exceeds recommended limit","OK")))))))))))</f>
        <v/>
      </c>
      <c r="U21">
        <f>IF(LEFT(T21,5)="ERROR","Check input/risk","")</f>
        <v/>
      </c>
      <c r="V21">
        <f>Settings!$B$2*C21/100</f>
        <v/>
      </c>
      <c r="W21">
        <f>IF(Settings!$B$9,FLOOR(V21,Settings!$B$5),V21)</f>
        <v/>
      </c>
      <c r="X21">
        <f>Settings!$B$2*E21/100</f>
        <v/>
      </c>
      <c r="Y21">
        <f>IF(Settings!$B$9,CEILING(X21,Settings!$B$5),X21)</f>
        <v/>
      </c>
      <c r="Z21">
        <f>Settings!$B$2*M21/100</f>
        <v/>
      </c>
      <c r="AA21">
        <f>IF(Settings!$B$17,MIN(Settings!$B$2*G21/100,IF(Settings!$B$9,CEILING(MAX(0,V21+Settings!$B$2*G21/100-X21-Settings!$B$2*J21/100),Settings!$B$5),MAX(0,V21+Settings!$B$2*G21/100-X21-Settings!$B$2*J21/100))),IF(Settings!$B$9,MROUND(Z21,Settings!$B$5),Z21))</f>
        <v/>
      </c>
      <c r="AB21">
        <f>IF(LEFT(T21,5)="ERROR","ERROR",IF(AND(Settings!$B$17,ABS(AA21-Z21)&gt;1E-9),"FIXED",IF(ABS(S21)&lt;=Settings!$B$7,"SAFE","WARNING")))</f>
        <v/>
      </c>
      <c r="AC21">
        <f>IF(AB21="FIXED","Close adjusted by SAFE mode",IF(AB21="SAFE","BUY/SELL balance preserved",IF(AB21="WARNING","Near protection boundary","Protection broken")))</f>
        <v/>
      </c>
    </row>
    <row r="22">
      <c r="A22" t="n">
        <v>20</v>
      </c>
      <c r="B22">
        <f>A22*Settings!$B$3</f>
        <v/>
      </c>
      <c r="C22">
        <f>IF(A22&lt;=Settings!$B$4,IFERROR(XLOOKUP(A22,LevelRange,BigPercentRange),0),0)</f>
        <v/>
      </c>
      <c r="D22">
        <f>W22</f>
        <v/>
      </c>
      <c r="E22">
        <f>IF(A22&lt;=Settings!$B$4,IFERROR(XLOOKUP(A22,LevelRange,SmallPercentRange),0),0)</f>
        <v/>
      </c>
      <c r="F22">
        <f>Y22</f>
        <v/>
      </c>
      <c r="G22">
        <f>N21</f>
        <v/>
      </c>
      <c r="H22">
        <f>G22+SUM($C$3:C22)</f>
        <v/>
      </c>
      <c r="I22">
        <f>100+SUM($E$3:E22)</f>
        <v/>
      </c>
      <c r="J22">
        <f>IF(A22&lt;=Settings!$B$4,IFERROR(XLOOKUP(A22,LevelRange,TargetSkewRange),0),0)</f>
        <v/>
      </c>
      <c r="K22">
        <f>MIN(G22,MAX(0,H22-I22+J22))</f>
        <v/>
      </c>
      <c r="L22">
        <f>IF(A22&lt;=Settings!$B$4,IFERROR(XLOOKUP(A22,LevelRange,ManualCloseRange),""),"")</f>
        <v/>
      </c>
      <c r="M22">
        <f>MIN(G22,AA22/Settings!$B$2*100)</f>
        <v/>
      </c>
      <c r="N22">
        <f>G22-M22</f>
        <v/>
      </c>
      <c r="O22">
        <f>SUM($C$3:C22)</f>
        <v/>
      </c>
      <c r="P22">
        <f>SUM($E$3:E22)</f>
        <v/>
      </c>
      <c r="Q22">
        <f>N22+O22</f>
        <v/>
      </c>
      <c r="R22">
        <f>100+P22</f>
        <v/>
      </c>
      <c r="S22">
        <f>R22-Q22</f>
        <v/>
      </c>
      <c r="T2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Direction",IF(OR(C22&lt;0,E22&lt;0,J22&lt;0,AND(LEN(L22)&gt;0,L22&lt;0)),"ERROR: Negative input",IF(C22&lt;E22,"ERROR: Big BUY must be &gt;= Small SELL",IF(AND(LEN(L22)&gt;0,L22&gt;G22),"ERROR: ManualClose exceeds remaining Start position",IF(OR(N22&lt;0,Q22&lt;0,R22&lt;0),"ERROR: Negative totals",IF(Q22&gt;R22,"ERROR: Rounding broke protection balance",IF(S22&gt;Settings!$B$8,"WARNING: Skew exceeds recommended limit","OK")))))))))))</f>
        <v/>
      </c>
      <c r="U22">
        <f>IF(LEFT(T22,5)="ERROR","Check input/risk","")</f>
        <v/>
      </c>
      <c r="V22">
        <f>Settings!$B$2*C22/100</f>
        <v/>
      </c>
      <c r="W22">
        <f>IF(Settings!$B$9,FLOOR(V22,Settings!$B$5),V22)</f>
        <v/>
      </c>
      <c r="X22">
        <f>Settings!$B$2*E22/100</f>
        <v/>
      </c>
      <c r="Y22">
        <f>IF(Settings!$B$9,CEILING(X22,Settings!$B$5),X22)</f>
        <v/>
      </c>
      <c r="Z22">
        <f>Settings!$B$2*M22/100</f>
        <v/>
      </c>
      <c r="AA22">
        <f>IF(Settings!$B$17,MIN(Settings!$B$2*G22/100,IF(Settings!$B$9,CEILING(MAX(0,V22+Settings!$B$2*G22/100-X22-Settings!$B$2*J22/100),Settings!$B$5),MAX(0,V22+Settings!$B$2*G22/100-X22-Settings!$B$2*J22/100))),IF(Settings!$B$9,MROUND(Z22,Settings!$B$5),Z22))</f>
        <v/>
      </c>
      <c r="AB22">
        <f>IF(LEFT(T22,5)="ERROR","ERROR",IF(AND(Settings!$B$17,ABS(AA22-Z22)&gt;1E-9),"FIXED",IF(ABS(S22)&lt;=Settings!$B$7,"SAFE","WARNING")))</f>
        <v/>
      </c>
      <c r="AC22">
        <f>IF(AB22="FIXED","Close adjusted by SAFE mode",IF(AB22="SAFE","BUY/SELL balance preserved",IF(AB22="WARNING","Near protection boundary","Protection broken")))</f>
        <v/>
      </c>
    </row>
    <row r="23">
      <c r="A23" t="n">
        <v>21</v>
      </c>
      <c r="B23">
        <f>A23*Settings!$B$3</f>
        <v/>
      </c>
      <c r="C23">
        <f>IF(A23&lt;=Settings!$B$4,IFERROR(XLOOKUP(A23,LevelRange,BigPercentRange),0),0)</f>
        <v/>
      </c>
      <c r="D23">
        <f>W23</f>
        <v/>
      </c>
      <c r="E23">
        <f>IF(A23&lt;=Settings!$B$4,IFERROR(XLOOKUP(A23,LevelRange,SmallPercentRange),0),0)</f>
        <v/>
      </c>
      <c r="F23">
        <f>Y23</f>
        <v/>
      </c>
      <c r="G23">
        <f>N22</f>
        <v/>
      </c>
      <c r="H23">
        <f>G23+SUM($C$3:C23)</f>
        <v/>
      </c>
      <c r="I23">
        <f>100+SUM($E$3:E23)</f>
        <v/>
      </c>
      <c r="J23">
        <f>IF(A23&lt;=Settings!$B$4,IFERROR(XLOOKUP(A23,LevelRange,TargetSkewRange),0),0)</f>
        <v/>
      </c>
      <c r="K23">
        <f>MIN(G23,MAX(0,H23-I23+J23))</f>
        <v/>
      </c>
      <c r="L23">
        <f>IF(A23&lt;=Settings!$B$4,IFERROR(XLOOKUP(A23,LevelRange,ManualCloseRange),""),"")</f>
        <v/>
      </c>
      <c r="M23">
        <f>MIN(G23,AA23/Settings!$B$2*100)</f>
        <v/>
      </c>
      <c r="N23">
        <f>G23-M23</f>
        <v/>
      </c>
      <c r="O23">
        <f>SUM($C$3:C23)</f>
        <v/>
      </c>
      <c r="P23">
        <f>SUM($E$3:E23)</f>
        <v/>
      </c>
      <c r="Q23">
        <f>N23+O23</f>
        <v/>
      </c>
      <c r="R23">
        <f>100+P23</f>
        <v/>
      </c>
      <c r="S23">
        <f>R23-Q23</f>
        <v/>
      </c>
      <c r="T2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Direction",IF(OR(C23&lt;0,E23&lt;0,J23&lt;0,AND(LEN(L23)&gt;0,L23&lt;0)),"ERROR: Negative input",IF(C23&lt;E23,"ERROR: Big BUY must be &gt;= Small SELL",IF(AND(LEN(L23)&gt;0,L23&gt;G23),"ERROR: ManualClose exceeds remaining Start position",IF(OR(N23&lt;0,Q23&lt;0,R23&lt;0),"ERROR: Negative totals",IF(Q23&gt;R23,"ERROR: Rounding broke protection balance",IF(S23&gt;Settings!$B$8,"WARNING: Skew exceeds recommended limit","OK")))))))))))</f>
        <v/>
      </c>
      <c r="U23">
        <f>IF(LEFT(T23,5)="ERROR","Check input/risk","")</f>
        <v/>
      </c>
      <c r="V23">
        <f>Settings!$B$2*C23/100</f>
        <v/>
      </c>
      <c r="W23">
        <f>IF(Settings!$B$9,FLOOR(V23,Settings!$B$5),V23)</f>
        <v/>
      </c>
      <c r="X23">
        <f>Settings!$B$2*E23/100</f>
        <v/>
      </c>
      <c r="Y23">
        <f>IF(Settings!$B$9,CEILING(X23,Settings!$B$5),X23)</f>
        <v/>
      </c>
      <c r="Z23">
        <f>Settings!$B$2*M23/100</f>
        <v/>
      </c>
      <c r="AA23">
        <f>IF(Settings!$B$17,MIN(Settings!$B$2*G23/100,IF(Settings!$B$9,CEILING(MAX(0,V23+Settings!$B$2*G23/100-X23-Settings!$B$2*J23/100),Settings!$B$5),MAX(0,V23+Settings!$B$2*G23/100-X23-Settings!$B$2*J23/100))),IF(Settings!$B$9,MROUND(Z23,Settings!$B$5),Z23))</f>
        <v/>
      </c>
      <c r="AB23">
        <f>IF(LEFT(T23,5)="ERROR","ERROR",IF(AND(Settings!$B$17,ABS(AA23-Z23)&gt;1E-9),"FIXED",IF(ABS(S23)&lt;=Settings!$B$7,"SAFE","WARNING")))</f>
        <v/>
      </c>
      <c r="AC23">
        <f>IF(AB23="FIXED","Close adjusted by SAFE mode",IF(AB23="SAFE","BUY/SELL balance preserved",IF(AB23="WARNING","Near protection boundary","Protection broken")))</f>
        <v/>
      </c>
    </row>
    <row r="24">
      <c r="A24" t="n">
        <v>22</v>
      </c>
      <c r="B24">
        <f>A24*Settings!$B$3</f>
        <v/>
      </c>
      <c r="C24">
        <f>IF(A24&lt;=Settings!$B$4,IFERROR(XLOOKUP(A24,LevelRange,BigPercentRange),0),0)</f>
        <v/>
      </c>
      <c r="D24">
        <f>W24</f>
        <v/>
      </c>
      <c r="E24">
        <f>IF(A24&lt;=Settings!$B$4,IFERROR(XLOOKUP(A24,LevelRange,SmallPercentRange),0),0)</f>
        <v/>
      </c>
      <c r="F24">
        <f>Y24</f>
        <v/>
      </c>
      <c r="G24">
        <f>N23</f>
        <v/>
      </c>
      <c r="H24">
        <f>G24+SUM($C$3:C24)</f>
        <v/>
      </c>
      <c r="I24">
        <f>100+SUM($E$3:E24)</f>
        <v/>
      </c>
      <c r="J24">
        <f>IF(A24&lt;=Settings!$B$4,IFERROR(XLOOKUP(A24,LevelRange,TargetSkewRange),0),0)</f>
        <v/>
      </c>
      <c r="K24">
        <f>MIN(G24,MAX(0,H24-I24+J24))</f>
        <v/>
      </c>
      <c r="L24">
        <f>IF(A24&lt;=Settings!$B$4,IFERROR(XLOOKUP(A24,LevelRange,ManualCloseRange),""),"")</f>
        <v/>
      </c>
      <c r="M24">
        <f>MIN(G24,AA24/Settings!$B$2*100)</f>
        <v/>
      </c>
      <c r="N24">
        <f>G24-M24</f>
        <v/>
      </c>
      <c r="O24">
        <f>SUM($C$3:C24)</f>
        <v/>
      </c>
      <c r="P24">
        <f>SUM($E$3:E24)</f>
        <v/>
      </c>
      <c r="Q24">
        <f>N24+O24</f>
        <v/>
      </c>
      <c r="R24">
        <f>100+P24</f>
        <v/>
      </c>
      <c r="S24">
        <f>R24-Q24</f>
        <v/>
      </c>
      <c r="T2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Direction",IF(OR(C24&lt;0,E24&lt;0,J24&lt;0,AND(LEN(L24)&gt;0,L24&lt;0)),"ERROR: Negative input",IF(C24&lt;E24,"ERROR: Big BUY must be &gt;= Small SELL",IF(AND(LEN(L24)&gt;0,L24&gt;G24),"ERROR: ManualClose exceeds remaining Start position",IF(OR(N24&lt;0,Q24&lt;0,R24&lt;0),"ERROR: Negative totals",IF(Q24&gt;R24,"ERROR: Rounding broke protection balance",IF(S24&gt;Settings!$B$8,"WARNING: Skew exceeds recommended limit","OK")))))))))))</f>
        <v/>
      </c>
      <c r="U24">
        <f>IF(LEFT(T24,5)="ERROR","Check input/risk","")</f>
        <v/>
      </c>
      <c r="V24">
        <f>Settings!$B$2*C24/100</f>
        <v/>
      </c>
      <c r="W24">
        <f>IF(Settings!$B$9,FLOOR(V24,Settings!$B$5),V24)</f>
        <v/>
      </c>
      <c r="X24">
        <f>Settings!$B$2*E24/100</f>
        <v/>
      </c>
      <c r="Y24">
        <f>IF(Settings!$B$9,CEILING(X24,Settings!$B$5),X24)</f>
        <v/>
      </c>
      <c r="Z24">
        <f>Settings!$B$2*M24/100</f>
        <v/>
      </c>
      <c r="AA24">
        <f>IF(Settings!$B$17,MIN(Settings!$B$2*G24/100,IF(Settings!$B$9,CEILING(MAX(0,V24+Settings!$B$2*G24/100-X24-Settings!$B$2*J24/100),Settings!$B$5),MAX(0,V24+Settings!$B$2*G24/100-X24-Settings!$B$2*J24/100))),IF(Settings!$B$9,MROUND(Z24,Settings!$B$5),Z24))</f>
        <v/>
      </c>
      <c r="AB24">
        <f>IF(LEFT(T24,5)="ERROR","ERROR",IF(AND(Settings!$B$17,ABS(AA24-Z24)&gt;1E-9),"FIXED",IF(ABS(S24)&lt;=Settings!$B$7,"SAFE","WARNING")))</f>
        <v/>
      </c>
      <c r="AC24">
        <f>IF(AB24="FIXED","Close adjusted by SAFE mode",IF(AB24="SAFE","BUY/SELL balance preserved",IF(AB24="WARNING","Near protection boundary","Protection broken")))</f>
        <v/>
      </c>
    </row>
    <row r="25">
      <c r="A25" t="n">
        <v>23</v>
      </c>
      <c r="B25">
        <f>A25*Settings!$B$3</f>
        <v/>
      </c>
      <c r="C25">
        <f>IF(A25&lt;=Settings!$B$4,IFERROR(XLOOKUP(A25,LevelRange,BigPercentRange),0),0)</f>
        <v/>
      </c>
      <c r="D25">
        <f>W25</f>
        <v/>
      </c>
      <c r="E25">
        <f>IF(A25&lt;=Settings!$B$4,IFERROR(XLOOKUP(A25,LevelRange,SmallPercentRange),0),0)</f>
        <v/>
      </c>
      <c r="F25">
        <f>Y25</f>
        <v/>
      </c>
      <c r="G25">
        <f>N24</f>
        <v/>
      </c>
      <c r="H25">
        <f>G25+SUM($C$3:C25)</f>
        <v/>
      </c>
      <c r="I25">
        <f>100+SUM($E$3:E25)</f>
        <v/>
      </c>
      <c r="J25">
        <f>IF(A25&lt;=Settings!$B$4,IFERROR(XLOOKUP(A25,LevelRange,TargetSkewRange),0),0)</f>
        <v/>
      </c>
      <c r="K25">
        <f>MIN(G25,MAX(0,H25-I25+J25))</f>
        <v/>
      </c>
      <c r="L25">
        <f>IF(A25&lt;=Settings!$B$4,IFERROR(XLOOKUP(A25,LevelRange,ManualCloseRange),""),"")</f>
        <v/>
      </c>
      <c r="M25">
        <f>MIN(G25,AA25/Settings!$B$2*100)</f>
        <v/>
      </c>
      <c r="N25">
        <f>G25-M25</f>
        <v/>
      </c>
      <c r="O25">
        <f>SUM($C$3:C25)</f>
        <v/>
      </c>
      <c r="P25">
        <f>SUM($E$3:E25)</f>
        <v/>
      </c>
      <c r="Q25">
        <f>N25+O25</f>
        <v/>
      </c>
      <c r="R25">
        <f>100+P25</f>
        <v/>
      </c>
      <c r="S25">
        <f>R25-Q25</f>
        <v/>
      </c>
      <c r="T2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Direction",IF(OR(C25&lt;0,E25&lt;0,J25&lt;0,AND(LEN(L25)&gt;0,L25&lt;0)),"ERROR: Negative input",IF(C25&lt;E25,"ERROR: Big BUY must be &gt;= Small SELL",IF(AND(LEN(L25)&gt;0,L25&gt;G25),"ERROR: ManualClose exceeds remaining Start position",IF(OR(N25&lt;0,Q25&lt;0,R25&lt;0),"ERROR: Negative totals",IF(Q25&gt;R25,"ERROR: Rounding broke protection balance",IF(S25&gt;Settings!$B$8,"WARNING: Skew exceeds recommended limit","OK")))))))))))</f>
        <v/>
      </c>
      <c r="U25">
        <f>IF(LEFT(T25,5)="ERROR","Check input/risk","")</f>
        <v/>
      </c>
      <c r="V25">
        <f>Settings!$B$2*C25/100</f>
        <v/>
      </c>
      <c r="W25">
        <f>IF(Settings!$B$9,FLOOR(V25,Settings!$B$5),V25)</f>
        <v/>
      </c>
      <c r="X25">
        <f>Settings!$B$2*E25/100</f>
        <v/>
      </c>
      <c r="Y25">
        <f>IF(Settings!$B$9,CEILING(X25,Settings!$B$5),X25)</f>
        <v/>
      </c>
      <c r="Z25">
        <f>Settings!$B$2*M25/100</f>
        <v/>
      </c>
      <c r="AA25">
        <f>IF(Settings!$B$17,MIN(Settings!$B$2*G25/100,IF(Settings!$B$9,CEILING(MAX(0,V25+Settings!$B$2*G25/100-X25-Settings!$B$2*J25/100),Settings!$B$5),MAX(0,V25+Settings!$B$2*G25/100-X25-Settings!$B$2*J25/100))),IF(Settings!$B$9,MROUND(Z25,Settings!$B$5),Z25))</f>
        <v/>
      </c>
      <c r="AB25">
        <f>IF(LEFT(T25,5)="ERROR","ERROR",IF(AND(Settings!$B$17,ABS(AA25-Z25)&gt;1E-9),"FIXED",IF(ABS(S25)&lt;=Settings!$B$7,"SAFE","WARNING")))</f>
        <v/>
      </c>
      <c r="AC25">
        <f>IF(AB25="FIXED","Close adjusted by SAFE mode",IF(AB25="SAFE","BUY/SELL balance preserved",IF(AB25="WARNING","Near protection boundary","Protection broken")))</f>
        <v/>
      </c>
    </row>
    <row r="26">
      <c r="A26" t="n">
        <v>24</v>
      </c>
      <c r="B26">
        <f>A26*Settings!$B$3</f>
        <v/>
      </c>
      <c r="C26">
        <f>IF(A26&lt;=Settings!$B$4,IFERROR(XLOOKUP(A26,LevelRange,BigPercentRange),0),0)</f>
        <v/>
      </c>
      <c r="D26">
        <f>W26</f>
        <v/>
      </c>
      <c r="E26">
        <f>IF(A26&lt;=Settings!$B$4,IFERROR(XLOOKUP(A26,LevelRange,SmallPercentRange),0),0)</f>
        <v/>
      </c>
      <c r="F26">
        <f>Y26</f>
        <v/>
      </c>
      <c r="G26">
        <f>N25</f>
        <v/>
      </c>
      <c r="H26">
        <f>G26+SUM($C$3:C26)</f>
        <v/>
      </c>
      <c r="I26">
        <f>100+SUM($E$3:E26)</f>
        <v/>
      </c>
      <c r="J26">
        <f>IF(A26&lt;=Settings!$B$4,IFERROR(XLOOKUP(A26,LevelRange,TargetSkewRange),0),0)</f>
        <v/>
      </c>
      <c r="K26">
        <f>MIN(G26,MAX(0,H26-I26+J26))</f>
        <v/>
      </c>
      <c r="L26">
        <f>IF(A26&lt;=Settings!$B$4,IFERROR(XLOOKUP(A26,LevelRange,ManualCloseRange),""),"")</f>
        <v/>
      </c>
      <c r="M26">
        <f>MIN(G26,AA26/Settings!$B$2*100)</f>
        <v/>
      </c>
      <c r="N26">
        <f>G26-M26</f>
        <v/>
      </c>
      <c r="O26">
        <f>SUM($C$3:C26)</f>
        <v/>
      </c>
      <c r="P26">
        <f>SUM($E$3:E26)</f>
        <v/>
      </c>
      <c r="Q26">
        <f>N26+O26</f>
        <v/>
      </c>
      <c r="R26">
        <f>100+P26</f>
        <v/>
      </c>
      <c r="S26">
        <f>R26-Q26</f>
        <v/>
      </c>
      <c r="T2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Direction",IF(OR(C26&lt;0,E26&lt;0,J26&lt;0,AND(LEN(L26)&gt;0,L26&lt;0)),"ERROR: Negative input",IF(C26&lt;E26,"ERROR: Big BUY must be &gt;= Small SELL",IF(AND(LEN(L26)&gt;0,L26&gt;G26),"ERROR: ManualClose exceeds remaining Start position",IF(OR(N26&lt;0,Q26&lt;0,R26&lt;0),"ERROR: Negative totals",IF(Q26&gt;R26,"ERROR: Rounding broke protection balance",IF(S26&gt;Settings!$B$8,"WARNING: Skew exceeds recommended limit","OK")))))))))))</f>
        <v/>
      </c>
      <c r="U26">
        <f>IF(LEFT(T26,5)="ERROR","Check input/risk","")</f>
        <v/>
      </c>
      <c r="V26">
        <f>Settings!$B$2*C26/100</f>
        <v/>
      </c>
      <c r="W26">
        <f>IF(Settings!$B$9,FLOOR(V26,Settings!$B$5),V26)</f>
        <v/>
      </c>
      <c r="X26">
        <f>Settings!$B$2*E26/100</f>
        <v/>
      </c>
      <c r="Y26">
        <f>IF(Settings!$B$9,CEILING(X26,Settings!$B$5),X26)</f>
        <v/>
      </c>
      <c r="Z26">
        <f>Settings!$B$2*M26/100</f>
        <v/>
      </c>
      <c r="AA26">
        <f>IF(Settings!$B$17,MIN(Settings!$B$2*G26/100,IF(Settings!$B$9,CEILING(MAX(0,V26+Settings!$B$2*G26/100-X26-Settings!$B$2*J26/100),Settings!$B$5),MAX(0,V26+Settings!$B$2*G26/100-X26-Settings!$B$2*J26/100))),IF(Settings!$B$9,MROUND(Z26,Settings!$B$5),Z26))</f>
        <v/>
      </c>
      <c r="AB26">
        <f>IF(LEFT(T26,5)="ERROR","ERROR",IF(AND(Settings!$B$17,ABS(AA26-Z26)&gt;1E-9),"FIXED",IF(ABS(S26)&lt;=Settings!$B$7,"SAFE","WARNING")))</f>
        <v/>
      </c>
      <c r="AC26">
        <f>IF(AB26="FIXED","Close adjusted by SAFE mode",IF(AB26="SAFE","BUY/SELL balance preserved",IF(AB26="WARNING","Near protection boundary","Protection broken")))</f>
        <v/>
      </c>
    </row>
    <row r="27">
      <c r="A27" t="n">
        <v>25</v>
      </c>
      <c r="B27">
        <f>A27*Settings!$B$3</f>
        <v/>
      </c>
      <c r="C27">
        <f>IF(A27&lt;=Settings!$B$4,IFERROR(XLOOKUP(A27,LevelRange,BigPercentRange),0),0)</f>
        <v/>
      </c>
      <c r="D27">
        <f>W27</f>
        <v/>
      </c>
      <c r="E27">
        <f>IF(A27&lt;=Settings!$B$4,IFERROR(XLOOKUP(A27,LevelRange,SmallPercentRange),0),0)</f>
        <v/>
      </c>
      <c r="F27">
        <f>Y27</f>
        <v/>
      </c>
      <c r="G27">
        <f>N26</f>
        <v/>
      </c>
      <c r="H27">
        <f>G27+SUM($C$3:C27)</f>
        <v/>
      </c>
      <c r="I27">
        <f>100+SUM($E$3:E27)</f>
        <v/>
      </c>
      <c r="J27">
        <f>IF(A27&lt;=Settings!$B$4,IFERROR(XLOOKUP(A27,LevelRange,TargetSkewRange),0),0)</f>
        <v/>
      </c>
      <c r="K27">
        <f>MIN(G27,MAX(0,H27-I27+J27))</f>
        <v/>
      </c>
      <c r="L27">
        <f>IF(A27&lt;=Settings!$B$4,IFERROR(XLOOKUP(A27,LevelRange,ManualCloseRange),""),"")</f>
        <v/>
      </c>
      <c r="M27">
        <f>MIN(G27,AA27/Settings!$B$2*100)</f>
        <v/>
      </c>
      <c r="N27">
        <f>G27-M27</f>
        <v/>
      </c>
      <c r="O27">
        <f>SUM($C$3:C27)</f>
        <v/>
      </c>
      <c r="P27">
        <f>SUM($E$3:E27)</f>
        <v/>
      </c>
      <c r="Q27">
        <f>N27+O27</f>
        <v/>
      </c>
      <c r="R27">
        <f>100+P27</f>
        <v/>
      </c>
      <c r="S27">
        <f>R27-Q27</f>
        <v/>
      </c>
      <c r="T2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Direction",IF(OR(C27&lt;0,E27&lt;0,J27&lt;0,AND(LEN(L27)&gt;0,L27&lt;0)),"ERROR: Negative input",IF(C27&lt;E27,"ERROR: Big BUY must be &gt;= Small SELL",IF(AND(LEN(L27)&gt;0,L27&gt;G27),"ERROR: ManualClose exceeds remaining Start position",IF(OR(N27&lt;0,Q27&lt;0,R27&lt;0),"ERROR: Negative totals",IF(Q27&gt;R27,"ERROR: Rounding broke protection balance",IF(S27&gt;Settings!$B$8,"WARNING: Skew exceeds recommended limit","OK")))))))))))</f>
        <v/>
      </c>
      <c r="U27">
        <f>IF(LEFT(T27,5)="ERROR","Check input/risk","")</f>
        <v/>
      </c>
      <c r="V27">
        <f>Settings!$B$2*C27/100</f>
        <v/>
      </c>
      <c r="W27">
        <f>IF(Settings!$B$9,FLOOR(V27,Settings!$B$5),V27)</f>
        <v/>
      </c>
      <c r="X27">
        <f>Settings!$B$2*E27/100</f>
        <v/>
      </c>
      <c r="Y27">
        <f>IF(Settings!$B$9,CEILING(X27,Settings!$B$5),X27)</f>
        <v/>
      </c>
      <c r="Z27">
        <f>Settings!$B$2*M27/100</f>
        <v/>
      </c>
      <c r="AA27">
        <f>IF(Settings!$B$17,MIN(Settings!$B$2*G27/100,IF(Settings!$B$9,CEILING(MAX(0,V27+Settings!$B$2*G27/100-X27-Settings!$B$2*J27/100),Settings!$B$5),MAX(0,V27+Settings!$B$2*G27/100-X27-Settings!$B$2*J27/100))),IF(Settings!$B$9,MROUND(Z27,Settings!$B$5),Z27))</f>
        <v/>
      </c>
      <c r="AB27">
        <f>IF(LEFT(T27,5)="ERROR","ERROR",IF(AND(Settings!$B$17,ABS(AA27-Z27)&gt;1E-9),"FIXED",IF(ABS(S27)&lt;=Settings!$B$7,"SAFE","WARNING")))</f>
        <v/>
      </c>
      <c r="AC27">
        <f>IF(AB27="FIXED","Close adjusted by SAFE mode",IF(AB27="SAFE","BUY/SELL balance preserved",IF(AB27="WARNING","Near protection boundary","Protection broken")))</f>
        <v/>
      </c>
    </row>
    <row r="28">
      <c r="A28" t="n">
        <v>26</v>
      </c>
      <c r="B28">
        <f>A28*Settings!$B$3</f>
        <v/>
      </c>
      <c r="C28">
        <f>IF(A28&lt;=Settings!$B$4,IFERROR(XLOOKUP(A28,LevelRange,BigPercentRange),0),0)</f>
        <v/>
      </c>
      <c r="D28">
        <f>W28</f>
        <v/>
      </c>
      <c r="E28">
        <f>IF(A28&lt;=Settings!$B$4,IFERROR(XLOOKUP(A28,LevelRange,SmallPercentRange),0),0)</f>
        <v/>
      </c>
      <c r="F28">
        <f>Y28</f>
        <v/>
      </c>
      <c r="G28">
        <f>N27</f>
        <v/>
      </c>
      <c r="H28">
        <f>G28+SUM($C$3:C28)</f>
        <v/>
      </c>
      <c r="I28">
        <f>100+SUM($E$3:E28)</f>
        <v/>
      </c>
      <c r="J28">
        <f>IF(A28&lt;=Settings!$B$4,IFERROR(XLOOKUP(A28,LevelRange,TargetSkewRange),0),0)</f>
        <v/>
      </c>
      <c r="K28">
        <f>MIN(G28,MAX(0,H28-I28+J28))</f>
        <v/>
      </c>
      <c r="L28">
        <f>IF(A28&lt;=Settings!$B$4,IFERROR(XLOOKUP(A28,LevelRange,ManualCloseRange),""),"")</f>
        <v/>
      </c>
      <c r="M28">
        <f>MIN(G28,AA28/Settings!$B$2*100)</f>
        <v/>
      </c>
      <c r="N28">
        <f>G28-M28</f>
        <v/>
      </c>
      <c r="O28">
        <f>SUM($C$3:C28)</f>
        <v/>
      </c>
      <c r="P28">
        <f>SUM($E$3:E28)</f>
        <v/>
      </c>
      <c r="Q28">
        <f>N28+O28</f>
        <v/>
      </c>
      <c r="R28">
        <f>100+P28</f>
        <v/>
      </c>
      <c r="S28">
        <f>R28-Q28</f>
        <v/>
      </c>
      <c r="T2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Direction",IF(OR(C28&lt;0,E28&lt;0,J28&lt;0,AND(LEN(L28)&gt;0,L28&lt;0)),"ERROR: Negative input",IF(C28&lt;E28,"ERROR: Big BUY must be &gt;= Small SELL",IF(AND(LEN(L28)&gt;0,L28&gt;G28),"ERROR: ManualClose exceeds remaining Start position",IF(OR(N28&lt;0,Q28&lt;0,R28&lt;0),"ERROR: Negative totals",IF(Q28&gt;R28,"ERROR: Rounding broke protection balance",IF(S28&gt;Settings!$B$8,"WARNING: Skew exceeds recommended limit","OK")))))))))))</f>
        <v/>
      </c>
      <c r="U28">
        <f>IF(LEFT(T28,5)="ERROR","Check input/risk","")</f>
        <v/>
      </c>
      <c r="V28">
        <f>Settings!$B$2*C28/100</f>
        <v/>
      </c>
      <c r="W28">
        <f>IF(Settings!$B$9,FLOOR(V28,Settings!$B$5),V28)</f>
        <v/>
      </c>
      <c r="X28">
        <f>Settings!$B$2*E28/100</f>
        <v/>
      </c>
      <c r="Y28">
        <f>IF(Settings!$B$9,CEILING(X28,Settings!$B$5),X28)</f>
        <v/>
      </c>
      <c r="Z28">
        <f>Settings!$B$2*M28/100</f>
        <v/>
      </c>
      <c r="AA28">
        <f>IF(Settings!$B$17,MIN(Settings!$B$2*G28/100,IF(Settings!$B$9,CEILING(MAX(0,V28+Settings!$B$2*G28/100-X28-Settings!$B$2*J28/100),Settings!$B$5),MAX(0,V28+Settings!$B$2*G28/100-X28-Settings!$B$2*J28/100))),IF(Settings!$B$9,MROUND(Z28,Settings!$B$5),Z28))</f>
        <v/>
      </c>
      <c r="AB28">
        <f>IF(LEFT(T28,5)="ERROR","ERROR",IF(AND(Settings!$B$17,ABS(AA28-Z28)&gt;1E-9),"FIXED",IF(ABS(S28)&lt;=Settings!$B$7,"SAFE","WARNING")))</f>
        <v/>
      </c>
      <c r="AC28">
        <f>IF(AB28="FIXED","Close adjusted by SAFE mode",IF(AB28="SAFE","BUY/SELL balance preserved",IF(AB28="WARNING","Near protection boundary","Protection broken")))</f>
        <v/>
      </c>
    </row>
    <row r="29">
      <c r="A29" t="n">
        <v>27</v>
      </c>
      <c r="B29">
        <f>A29*Settings!$B$3</f>
        <v/>
      </c>
      <c r="C29">
        <f>IF(A29&lt;=Settings!$B$4,IFERROR(XLOOKUP(A29,LevelRange,BigPercentRange),0),0)</f>
        <v/>
      </c>
      <c r="D29">
        <f>W29</f>
        <v/>
      </c>
      <c r="E29">
        <f>IF(A29&lt;=Settings!$B$4,IFERROR(XLOOKUP(A29,LevelRange,SmallPercentRange),0),0)</f>
        <v/>
      </c>
      <c r="F29">
        <f>Y29</f>
        <v/>
      </c>
      <c r="G29">
        <f>N28</f>
        <v/>
      </c>
      <c r="H29">
        <f>G29+SUM($C$3:C29)</f>
        <v/>
      </c>
      <c r="I29">
        <f>100+SUM($E$3:E29)</f>
        <v/>
      </c>
      <c r="J29">
        <f>IF(A29&lt;=Settings!$B$4,IFERROR(XLOOKUP(A29,LevelRange,TargetSkewRange),0),0)</f>
        <v/>
      </c>
      <c r="K29">
        <f>MIN(G29,MAX(0,H29-I29+J29))</f>
        <v/>
      </c>
      <c r="L29">
        <f>IF(A29&lt;=Settings!$B$4,IFERROR(XLOOKUP(A29,LevelRange,ManualCloseRange),""),"")</f>
        <v/>
      </c>
      <c r="M29">
        <f>MIN(G29,AA29/Settings!$B$2*100)</f>
        <v/>
      </c>
      <c r="N29">
        <f>G29-M29</f>
        <v/>
      </c>
      <c r="O29">
        <f>SUM($C$3:C29)</f>
        <v/>
      </c>
      <c r="P29">
        <f>SUM($E$3:E29)</f>
        <v/>
      </c>
      <c r="Q29">
        <f>N29+O29</f>
        <v/>
      </c>
      <c r="R29">
        <f>100+P29</f>
        <v/>
      </c>
      <c r="S29">
        <f>R29-Q29</f>
        <v/>
      </c>
      <c r="T2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Direction",IF(OR(C29&lt;0,E29&lt;0,J29&lt;0,AND(LEN(L29)&gt;0,L29&lt;0)),"ERROR: Negative input",IF(C29&lt;E29,"ERROR: Big BUY must be &gt;= Small SELL",IF(AND(LEN(L29)&gt;0,L29&gt;G29),"ERROR: ManualClose exceeds remaining Start position",IF(OR(N29&lt;0,Q29&lt;0,R29&lt;0),"ERROR: Negative totals",IF(Q29&gt;R29,"ERROR: Rounding broke protection balance",IF(S29&gt;Settings!$B$8,"WARNING: Skew exceeds recommended limit","OK")))))))))))</f>
        <v/>
      </c>
      <c r="U29">
        <f>IF(LEFT(T29,5)="ERROR","Check input/risk","")</f>
        <v/>
      </c>
      <c r="V29">
        <f>Settings!$B$2*C29/100</f>
        <v/>
      </c>
      <c r="W29">
        <f>IF(Settings!$B$9,FLOOR(V29,Settings!$B$5),V29)</f>
        <v/>
      </c>
      <c r="X29">
        <f>Settings!$B$2*E29/100</f>
        <v/>
      </c>
      <c r="Y29">
        <f>IF(Settings!$B$9,CEILING(X29,Settings!$B$5),X29)</f>
        <v/>
      </c>
      <c r="Z29">
        <f>Settings!$B$2*M29/100</f>
        <v/>
      </c>
      <c r="AA29">
        <f>IF(Settings!$B$17,MIN(Settings!$B$2*G29/100,IF(Settings!$B$9,CEILING(MAX(0,V29+Settings!$B$2*G29/100-X29-Settings!$B$2*J29/100),Settings!$B$5),MAX(0,V29+Settings!$B$2*G29/100-X29-Settings!$B$2*J29/100))),IF(Settings!$B$9,MROUND(Z29,Settings!$B$5),Z29))</f>
        <v/>
      </c>
      <c r="AB29">
        <f>IF(LEFT(T29,5)="ERROR","ERROR",IF(AND(Settings!$B$17,ABS(AA29-Z29)&gt;1E-9),"FIXED",IF(ABS(S29)&lt;=Settings!$B$7,"SAFE","WARNING")))</f>
        <v/>
      </c>
      <c r="AC29">
        <f>IF(AB29="FIXED","Close adjusted by SAFE mode",IF(AB29="SAFE","BUY/SELL balance preserved",IF(AB29="WARNING","Near protection boundary","Protection broken")))</f>
        <v/>
      </c>
    </row>
    <row r="30">
      <c r="A30" t="n">
        <v>28</v>
      </c>
      <c r="B30">
        <f>A30*Settings!$B$3</f>
        <v/>
      </c>
      <c r="C30">
        <f>IF(A30&lt;=Settings!$B$4,IFERROR(XLOOKUP(A30,LevelRange,BigPercentRange),0),0)</f>
        <v/>
      </c>
      <c r="D30">
        <f>W30</f>
        <v/>
      </c>
      <c r="E30">
        <f>IF(A30&lt;=Settings!$B$4,IFERROR(XLOOKUP(A30,LevelRange,SmallPercentRange),0),0)</f>
        <v/>
      </c>
      <c r="F30">
        <f>Y30</f>
        <v/>
      </c>
      <c r="G30">
        <f>N29</f>
        <v/>
      </c>
      <c r="H30">
        <f>G30+SUM($C$3:C30)</f>
        <v/>
      </c>
      <c r="I30">
        <f>100+SUM($E$3:E30)</f>
        <v/>
      </c>
      <c r="J30">
        <f>IF(A30&lt;=Settings!$B$4,IFERROR(XLOOKUP(A30,LevelRange,TargetSkewRange),0),0)</f>
        <v/>
      </c>
      <c r="K30">
        <f>MIN(G30,MAX(0,H30-I30+J30))</f>
        <v/>
      </c>
      <c r="L30">
        <f>IF(A30&lt;=Settings!$B$4,IFERROR(XLOOKUP(A30,LevelRange,ManualCloseRange),""),"")</f>
        <v/>
      </c>
      <c r="M30">
        <f>MIN(G30,AA30/Settings!$B$2*100)</f>
        <v/>
      </c>
      <c r="N30">
        <f>G30-M30</f>
        <v/>
      </c>
      <c r="O30">
        <f>SUM($C$3:C30)</f>
        <v/>
      </c>
      <c r="P30">
        <f>SUM($E$3:E30)</f>
        <v/>
      </c>
      <c r="Q30">
        <f>N30+O30</f>
        <v/>
      </c>
      <c r="R30">
        <f>100+P30</f>
        <v/>
      </c>
      <c r="S30">
        <f>R30-Q30</f>
        <v/>
      </c>
      <c r="T3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Direction",IF(OR(C30&lt;0,E30&lt;0,J30&lt;0,AND(LEN(L30)&gt;0,L30&lt;0)),"ERROR: Negative input",IF(C30&lt;E30,"ERROR: Big BUY must be &gt;= Small SELL",IF(AND(LEN(L30)&gt;0,L30&gt;G30),"ERROR: ManualClose exceeds remaining Start position",IF(OR(N30&lt;0,Q30&lt;0,R30&lt;0),"ERROR: Negative totals",IF(Q30&gt;R30,"ERROR: Rounding broke protection balance",IF(S30&gt;Settings!$B$8,"WARNING: Skew exceeds recommended limit","OK")))))))))))</f>
        <v/>
      </c>
      <c r="U30">
        <f>IF(LEFT(T30,5)="ERROR","Check input/risk","")</f>
        <v/>
      </c>
      <c r="V30">
        <f>Settings!$B$2*C30/100</f>
        <v/>
      </c>
      <c r="W30">
        <f>IF(Settings!$B$9,FLOOR(V30,Settings!$B$5),V30)</f>
        <v/>
      </c>
      <c r="X30">
        <f>Settings!$B$2*E30/100</f>
        <v/>
      </c>
      <c r="Y30">
        <f>IF(Settings!$B$9,CEILING(X30,Settings!$B$5),X30)</f>
        <v/>
      </c>
      <c r="Z30">
        <f>Settings!$B$2*M30/100</f>
        <v/>
      </c>
      <c r="AA30">
        <f>IF(Settings!$B$17,MIN(Settings!$B$2*G30/100,IF(Settings!$B$9,CEILING(MAX(0,V30+Settings!$B$2*G30/100-X30-Settings!$B$2*J30/100),Settings!$B$5),MAX(0,V30+Settings!$B$2*G30/100-X30-Settings!$B$2*J30/100))),IF(Settings!$B$9,MROUND(Z30,Settings!$B$5),Z30))</f>
        <v/>
      </c>
      <c r="AB30">
        <f>IF(LEFT(T30,5)="ERROR","ERROR",IF(AND(Settings!$B$17,ABS(AA30-Z30)&gt;1E-9),"FIXED",IF(ABS(S30)&lt;=Settings!$B$7,"SAFE","WARNING")))</f>
        <v/>
      </c>
      <c r="AC30">
        <f>IF(AB30="FIXED","Close adjusted by SAFE mode",IF(AB30="SAFE","BUY/SELL balance preserved",IF(AB30="WARNING","Near protection boundary","Protection broken")))</f>
        <v/>
      </c>
    </row>
    <row r="31">
      <c r="A31" t="n">
        <v>29</v>
      </c>
      <c r="B31">
        <f>A31*Settings!$B$3</f>
        <v/>
      </c>
      <c r="C31">
        <f>IF(A31&lt;=Settings!$B$4,IFERROR(XLOOKUP(A31,LevelRange,BigPercentRange),0),0)</f>
        <v/>
      </c>
      <c r="D31">
        <f>W31</f>
        <v/>
      </c>
      <c r="E31">
        <f>IF(A31&lt;=Settings!$B$4,IFERROR(XLOOKUP(A31,LevelRange,SmallPercentRange),0),0)</f>
        <v/>
      </c>
      <c r="F31">
        <f>Y31</f>
        <v/>
      </c>
      <c r="G31">
        <f>N30</f>
        <v/>
      </c>
      <c r="H31">
        <f>G31+SUM($C$3:C31)</f>
        <v/>
      </c>
      <c r="I31">
        <f>100+SUM($E$3:E31)</f>
        <v/>
      </c>
      <c r="J31">
        <f>IF(A31&lt;=Settings!$B$4,IFERROR(XLOOKUP(A31,LevelRange,TargetSkewRange),0),0)</f>
        <v/>
      </c>
      <c r="K31">
        <f>MIN(G31,MAX(0,H31-I31+J31))</f>
        <v/>
      </c>
      <c r="L31">
        <f>IF(A31&lt;=Settings!$B$4,IFERROR(XLOOKUP(A31,LevelRange,ManualCloseRange),""),"")</f>
        <v/>
      </c>
      <c r="M31">
        <f>MIN(G31,AA31/Settings!$B$2*100)</f>
        <v/>
      </c>
      <c r="N31">
        <f>G31-M31</f>
        <v/>
      </c>
      <c r="O31">
        <f>SUM($C$3:C31)</f>
        <v/>
      </c>
      <c r="P31">
        <f>SUM($E$3:E31)</f>
        <v/>
      </c>
      <c r="Q31">
        <f>N31+O31</f>
        <v/>
      </c>
      <c r="R31">
        <f>100+P31</f>
        <v/>
      </c>
      <c r="S31">
        <f>R31-Q31</f>
        <v/>
      </c>
      <c r="T3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Direction",IF(OR(C31&lt;0,E31&lt;0,J31&lt;0,AND(LEN(L31)&gt;0,L31&lt;0)),"ERROR: Negative input",IF(C31&lt;E31,"ERROR: Big BUY must be &gt;= Small SELL",IF(AND(LEN(L31)&gt;0,L31&gt;G31),"ERROR: ManualClose exceeds remaining Start position",IF(OR(N31&lt;0,Q31&lt;0,R31&lt;0),"ERROR: Negative totals",IF(Q31&gt;R31,"ERROR: Rounding broke protection balance",IF(S31&gt;Settings!$B$8,"WARNING: Skew exceeds recommended limit","OK")))))))))))</f>
        <v/>
      </c>
      <c r="U31">
        <f>IF(LEFT(T31,5)="ERROR","Check input/risk","")</f>
        <v/>
      </c>
      <c r="V31">
        <f>Settings!$B$2*C31/100</f>
        <v/>
      </c>
      <c r="W31">
        <f>IF(Settings!$B$9,FLOOR(V31,Settings!$B$5),V31)</f>
        <v/>
      </c>
      <c r="X31">
        <f>Settings!$B$2*E31/100</f>
        <v/>
      </c>
      <c r="Y31">
        <f>IF(Settings!$B$9,CEILING(X31,Settings!$B$5),X31)</f>
        <v/>
      </c>
      <c r="Z31">
        <f>Settings!$B$2*M31/100</f>
        <v/>
      </c>
      <c r="AA31">
        <f>IF(Settings!$B$17,MIN(Settings!$B$2*G31/100,IF(Settings!$B$9,CEILING(MAX(0,V31+Settings!$B$2*G31/100-X31-Settings!$B$2*J31/100),Settings!$B$5),MAX(0,V31+Settings!$B$2*G31/100-X31-Settings!$B$2*J31/100))),IF(Settings!$B$9,MROUND(Z31,Settings!$B$5),Z31))</f>
        <v/>
      </c>
      <c r="AB31">
        <f>IF(LEFT(T31,5)="ERROR","ERROR",IF(AND(Settings!$B$17,ABS(AA31-Z31)&gt;1E-9),"FIXED",IF(ABS(S31)&lt;=Settings!$B$7,"SAFE","WARNING")))</f>
        <v/>
      </c>
      <c r="AC31">
        <f>IF(AB31="FIXED","Close adjusted by SAFE mode",IF(AB31="SAFE","BUY/SELL balance preserved",IF(AB31="WARNING","Near protection boundary","Protection broken")))</f>
        <v/>
      </c>
    </row>
    <row r="32">
      <c r="A32" t="n">
        <v>30</v>
      </c>
      <c r="B32">
        <f>A32*Settings!$B$3</f>
        <v/>
      </c>
      <c r="C32">
        <f>IF(A32&lt;=Settings!$B$4,IFERROR(XLOOKUP(A32,LevelRange,BigPercentRange),0),0)</f>
        <v/>
      </c>
      <c r="D32">
        <f>W32</f>
        <v/>
      </c>
      <c r="E32">
        <f>IF(A32&lt;=Settings!$B$4,IFERROR(XLOOKUP(A32,LevelRange,SmallPercentRange),0),0)</f>
        <v/>
      </c>
      <c r="F32">
        <f>Y32</f>
        <v/>
      </c>
      <c r="G32">
        <f>N31</f>
        <v/>
      </c>
      <c r="H32">
        <f>G32+SUM($C$3:C32)</f>
        <v/>
      </c>
      <c r="I32">
        <f>100+SUM($E$3:E32)</f>
        <v/>
      </c>
      <c r="J32">
        <f>IF(A32&lt;=Settings!$B$4,IFERROR(XLOOKUP(A32,LevelRange,TargetSkewRange),0),0)</f>
        <v/>
      </c>
      <c r="K32">
        <f>MIN(G32,MAX(0,H32-I32+J32))</f>
        <v/>
      </c>
      <c r="L32">
        <f>IF(A32&lt;=Settings!$B$4,IFERROR(XLOOKUP(A32,LevelRange,ManualCloseRange),""),"")</f>
        <v/>
      </c>
      <c r="M32">
        <f>MIN(G32,AA32/Settings!$B$2*100)</f>
        <v/>
      </c>
      <c r="N32">
        <f>G32-M32</f>
        <v/>
      </c>
      <c r="O32">
        <f>SUM($C$3:C32)</f>
        <v/>
      </c>
      <c r="P32">
        <f>SUM($E$3:E32)</f>
        <v/>
      </c>
      <c r="Q32">
        <f>N32+O32</f>
        <v/>
      </c>
      <c r="R32">
        <f>100+P32</f>
        <v/>
      </c>
      <c r="S32">
        <f>R32-Q32</f>
        <v/>
      </c>
      <c r="T3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Direction",IF(OR(C32&lt;0,E32&lt;0,J32&lt;0,AND(LEN(L32)&gt;0,L32&lt;0)),"ERROR: Negative input",IF(C32&lt;E32,"ERROR: Big BUY must be &gt;= Small SELL",IF(AND(LEN(L32)&gt;0,L32&gt;G32),"ERROR: ManualClose exceeds remaining Start position",IF(OR(N32&lt;0,Q32&lt;0,R32&lt;0),"ERROR: Negative totals",IF(Q32&gt;R32,"ERROR: Rounding broke protection balance",IF(S32&gt;Settings!$B$8,"WARNING: Skew exceeds recommended limit","OK")))))))))))</f>
        <v/>
      </c>
      <c r="U32">
        <f>IF(LEFT(T32,5)="ERROR","Check input/risk","")</f>
        <v/>
      </c>
      <c r="V32">
        <f>Settings!$B$2*C32/100</f>
        <v/>
      </c>
      <c r="W32">
        <f>IF(Settings!$B$9,FLOOR(V32,Settings!$B$5),V32)</f>
        <v/>
      </c>
      <c r="X32">
        <f>Settings!$B$2*E32/100</f>
        <v/>
      </c>
      <c r="Y32">
        <f>IF(Settings!$B$9,CEILING(X32,Settings!$B$5),X32)</f>
        <v/>
      </c>
      <c r="Z32">
        <f>Settings!$B$2*M32/100</f>
        <v/>
      </c>
      <c r="AA32">
        <f>IF(Settings!$B$17,MIN(Settings!$B$2*G32/100,IF(Settings!$B$9,CEILING(MAX(0,V32+Settings!$B$2*G32/100-X32-Settings!$B$2*J32/100),Settings!$B$5),MAX(0,V32+Settings!$B$2*G32/100-X32-Settings!$B$2*J32/100))),IF(Settings!$B$9,MROUND(Z32,Settings!$B$5),Z32))</f>
        <v/>
      </c>
      <c r="AB32">
        <f>IF(LEFT(T32,5)="ERROR","ERROR",IF(AND(Settings!$B$17,ABS(AA32-Z32)&gt;1E-9),"FIXED",IF(ABS(S32)&lt;=Settings!$B$7,"SAFE","WARNING")))</f>
        <v/>
      </c>
      <c r="AC32">
        <f>IF(AB32="FIXED","Close adjusted by SAFE mode",IF(AB32="SAFE","BUY/SELL balance preserved",IF(AB32="WARNING","Near protection boundary","Protection broken")))</f>
        <v/>
      </c>
    </row>
    <row r="33">
      <c r="A33" t="n">
        <v>31</v>
      </c>
      <c r="B33">
        <f>A33*Settings!$B$3</f>
        <v/>
      </c>
      <c r="C33">
        <f>IF(A33&lt;=Settings!$B$4,IFERROR(XLOOKUP(A33,LevelRange,BigPercentRange),0),0)</f>
        <v/>
      </c>
      <c r="D33">
        <f>W33</f>
        <v/>
      </c>
      <c r="E33">
        <f>IF(A33&lt;=Settings!$B$4,IFERROR(XLOOKUP(A33,LevelRange,SmallPercentRange),0),0)</f>
        <v/>
      </c>
      <c r="F33">
        <f>Y33</f>
        <v/>
      </c>
      <c r="G33">
        <f>N32</f>
        <v/>
      </c>
      <c r="H33">
        <f>G33+SUM($C$3:C33)</f>
        <v/>
      </c>
      <c r="I33">
        <f>100+SUM($E$3:E33)</f>
        <v/>
      </c>
      <c r="J33">
        <f>IF(A33&lt;=Settings!$B$4,IFERROR(XLOOKUP(A33,LevelRange,TargetSkewRange),0),0)</f>
        <v/>
      </c>
      <c r="K33">
        <f>MIN(G33,MAX(0,H33-I33+J33))</f>
        <v/>
      </c>
      <c r="L33">
        <f>IF(A33&lt;=Settings!$B$4,IFERROR(XLOOKUP(A33,LevelRange,ManualCloseRange),""),"")</f>
        <v/>
      </c>
      <c r="M33">
        <f>MIN(G33,AA33/Settings!$B$2*100)</f>
        <v/>
      </c>
      <c r="N33">
        <f>G33-M33</f>
        <v/>
      </c>
      <c r="O33">
        <f>SUM($C$3:C33)</f>
        <v/>
      </c>
      <c r="P33">
        <f>SUM($E$3:E33)</f>
        <v/>
      </c>
      <c r="Q33">
        <f>N33+O33</f>
        <v/>
      </c>
      <c r="R33">
        <f>100+P33</f>
        <v/>
      </c>
      <c r="S33">
        <f>R33-Q33</f>
        <v/>
      </c>
      <c r="T3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Direction",IF(OR(C33&lt;0,E33&lt;0,J33&lt;0,AND(LEN(L33)&gt;0,L33&lt;0)),"ERROR: Negative input",IF(C33&lt;E33,"ERROR: Big BUY must be &gt;= Small SELL",IF(AND(LEN(L33)&gt;0,L33&gt;G33),"ERROR: ManualClose exceeds remaining Start position",IF(OR(N33&lt;0,Q33&lt;0,R33&lt;0),"ERROR: Negative totals",IF(Q33&gt;R33,"ERROR: Rounding broke protection balance",IF(S33&gt;Settings!$B$8,"WARNING: Skew exceeds recommended limit","OK")))))))))))</f>
        <v/>
      </c>
      <c r="U33">
        <f>IF(LEFT(T33,5)="ERROR","Check input/risk","")</f>
        <v/>
      </c>
      <c r="V33">
        <f>Settings!$B$2*C33/100</f>
        <v/>
      </c>
      <c r="W33">
        <f>IF(Settings!$B$9,FLOOR(V33,Settings!$B$5),V33)</f>
        <v/>
      </c>
      <c r="X33">
        <f>Settings!$B$2*E33/100</f>
        <v/>
      </c>
      <c r="Y33">
        <f>IF(Settings!$B$9,CEILING(X33,Settings!$B$5),X33)</f>
        <v/>
      </c>
      <c r="Z33">
        <f>Settings!$B$2*M33/100</f>
        <v/>
      </c>
      <c r="AA33">
        <f>IF(Settings!$B$17,MIN(Settings!$B$2*G33/100,IF(Settings!$B$9,CEILING(MAX(0,V33+Settings!$B$2*G33/100-X33-Settings!$B$2*J33/100),Settings!$B$5),MAX(0,V33+Settings!$B$2*G33/100-X33-Settings!$B$2*J33/100))),IF(Settings!$B$9,MROUND(Z33,Settings!$B$5),Z33))</f>
        <v/>
      </c>
      <c r="AB33">
        <f>IF(LEFT(T33,5)="ERROR","ERROR",IF(AND(Settings!$B$17,ABS(AA33-Z33)&gt;1E-9),"FIXED",IF(ABS(S33)&lt;=Settings!$B$7,"SAFE","WARNING")))</f>
        <v/>
      </c>
      <c r="AC33">
        <f>IF(AB33="FIXED","Close adjusted by SAFE mode",IF(AB33="SAFE","BUY/SELL balance preserved",IF(AB33="WARNING","Near protection boundary","Protection broken")))</f>
        <v/>
      </c>
    </row>
    <row r="34">
      <c r="A34" t="n">
        <v>32</v>
      </c>
      <c r="B34">
        <f>A34*Settings!$B$3</f>
        <v/>
      </c>
      <c r="C34">
        <f>IF(A34&lt;=Settings!$B$4,IFERROR(XLOOKUP(A34,LevelRange,BigPercentRange),0),0)</f>
        <v/>
      </c>
      <c r="D34">
        <f>W34</f>
        <v/>
      </c>
      <c r="E34">
        <f>IF(A34&lt;=Settings!$B$4,IFERROR(XLOOKUP(A34,LevelRange,SmallPercentRange),0),0)</f>
        <v/>
      </c>
      <c r="F34">
        <f>Y34</f>
        <v/>
      </c>
      <c r="G34">
        <f>N33</f>
        <v/>
      </c>
      <c r="H34">
        <f>G34+SUM($C$3:C34)</f>
        <v/>
      </c>
      <c r="I34">
        <f>100+SUM($E$3:E34)</f>
        <v/>
      </c>
      <c r="J34">
        <f>IF(A34&lt;=Settings!$B$4,IFERROR(XLOOKUP(A34,LevelRange,TargetSkewRange),0),0)</f>
        <v/>
      </c>
      <c r="K34">
        <f>MIN(G34,MAX(0,H34-I34+J34))</f>
        <v/>
      </c>
      <c r="L34">
        <f>IF(A34&lt;=Settings!$B$4,IFERROR(XLOOKUP(A34,LevelRange,ManualCloseRange),""),"")</f>
        <v/>
      </c>
      <c r="M34">
        <f>MIN(G34,AA34/Settings!$B$2*100)</f>
        <v/>
      </c>
      <c r="N34">
        <f>G34-M34</f>
        <v/>
      </c>
      <c r="O34">
        <f>SUM($C$3:C34)</f>
        <v/>
      </c>
      <c r="P34">
        <f>SUM($E$3:E34)</f>
        <v/>
      </c>
      <c r="Q34">
        <f>N34+O34</f>
        <v/>
      </c>
      <c r="R34">
        <f>100+P34</f>
        <v/>
      </c>
      <c r="S34">
        <f>R34-Q34</f>
        <v/>
      </c>
      <c r="T3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Direction",IF(OR(C34&lt;0,E34&lt;0,J34&lt;0,AND(LEN(L34)&gt;0,L34&lt;0)),"ERROR: Negative input",IF(C34&lt;E34,"ERROR: Big BUY must be &gt;= Small SELL",IF(AND(LEN(L34)&gt;0,L34&gt;G34),"ERROR: ManualClose exceeds remaining Start position",IF(OR(N34&lt;0,Q34&lt;0,R34&lt;0),"ERROR: Negative totals",IF(Q34&gt;R34,"ERROR: Rounding broke protection balance",IF(S34&gt;Settings!$B$8,"WARNING: Skew exceeds recommended limit","OK")))))))))))</f>
        <v/>
      </c>
      <c r="U34">
        <f>IF(LEFT(T34,5)="ERROR","Check input/risk","")</f>
        <v/>
      </c>
      <c r="V34">
        <f>Settings!$B$2*C34/100</f>
        <v/>
      </c>
      <c r="W34">
        <f>IF(Settings!$B$9,FLOOR(V34,Settings!$B$5),V34)</f>
        <v/>
      </c>
      <c r="X34">
        <f>Settings!$B$2*E34/100</f>
        <v/>
      </c>
      <c r="Y34">
        <f>IF(Settings!$B$9,CEILING(X34,Settings!$B$5),X34)</f>
        <v/>
      </c>
      <c r="Z34">
        <f>Settings!$B$2*M34/100</f>
        <v/>
      </c>
      <c r="AA34">
        <f>IF(Settings!$B$17,MIN(Settings!$B$2*G34/100,IF(Settings!$B$9,CEILING(MAX(0,V34+Settings!$B$2*G34/100-X34-Settings!$B$2*J34/100),Settings!$B$5),MAX(0,V34+Settings!$B$2*G34/100-X34-Settings!$B$2*J34/100))),IF(Settings!$B$9,MROUND(Z34,Settings!$B$5),Z34))</f>
        <v/>
      </c>
      <c r="AB34">
        <f>IF(LEFT(T34,5)="ERROR","ERROR",IF(AND(Settings!$B$17,ABS(AA34-Z34)&gt;1E-9),"FIXED",IF(ABS(S34)&lt;=Settings!$B$7,"SAFE","WARNING")))</f>
        <v/>
      </c>
      <c r="AC34">
        <f>IF(AB34="FIXED","Close adjusted by SAFE mode",IF(AB34="SAFE","BUY/SELL balance preserved",IF(AB34="WARNING","Near protection boundary","Protection broken")))</f>
        <v/>
      </c>
    </row>
    <row r="35">
      <c r="A35" t="n">
        <v>33</v>
      </c>
      <c r="B35">
        <f>A35*Settings!$B$3</f>
        <v/>
      </c>
      <c r="C35">
        <f>IF(A35&lt;=Settings!$B$4,IFERROR(XLOOKUP(A35,LevelRange,BigPercentRange),0),0)</f>
        <v/>
      </c>
      <c r="D35">
        <f>W35</f>
        <v/>
      </c>
      <c r="E35">
        <f>IF(A35&lt;=Settings!$B$4,IFERROR(XLOOKUP(A35,LevelRange,SmallPercentRange),0),0)</f>
        <v/>
      </c>
      <c r="F35">
        <f>Y35</f>
        <v/>
      </c>
      <c r="G35">
        <f>N34</f>
        <v/>
      </c>
      <c r="H35">
        <f>G35+SUM($C$3:C35)</f>
        <v/>
      </c>
      <c r="I35">
        <f>100+SUM($E$3:E35)</f>
        <v/>
      </c>
      <c r="J35">
        <f>IF(A35&lt;=Settings!$B$4,IFERROR(XLOOKUP(A35,LevelRange,TargetSkewRange),0),0)</f>
        <v/>
      </c>
      <c r="K35">
        <f>MIN(G35,MAX(0,H35-I35+J35))</f>
        <v/>
      </c>
      <c r="L35">
        <f>IF(A35&lt;=Settings!$B$4,IFERROR(XLOOKUP(A35,LevelRange,ManualCloseRange),""),"")</f>
        <v/>
      </c>
      <c r="M35">
        <f>MIN(G35,AA35/Settings!$B$2*100)</f>
        <v/>
      </c>
      <c r="N35">
        <f>G35-M35</f>
        <v/>
      </c>
      <c r="O35">
        <f>SUM($C$3:C35)</f>
        <v/>
      </c>
      <c r="P35">
        <f>SUM($E$3:E35)</f>
        <v/>
      </c>
      <c r="Q35">
        <f>N35+O35</f>
        <v/>
      </c>
      <c r="R35">
        <f>100+P35</f>
        <v/>
      </c>
      <c r="S35">
        <f>R35-Q35</f>
        <v/>
      </c>
      <c r="T3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Direction",IF(OR(C35&lt;0,E35&lt;0,J35&lt;0,AND(LEN(L35)&gt;0,L35&lt;0)),"ERROR: Negative input",IF(C35&lt;E35,"ERROR: Big BUY must be &gt;= Small SELL",IF(AND(LEN(L35)&gt;0,L35&gt;G35),"ERROR: ManualClose exceeds remaining Start position",IF(OR(N35&lt;0,Q35&lt;0,R35&lt;0),"ERROR: Negative totals",IF(Q35&gt;R35,"ERROR: Rounding broke protection balance",IF(S35&gt;Settings!$B$8,"WARNING: Skew exceeds recommended limit","OK")))))))))))</f>
        <v/>
      </c>
      <c r="U35">
        <f>IF(LEFT(T35,5)="ERROR","Check input/risk","")</f>
        <v/>
      </c>
      <c r="V35">
        <f>Settings!$B$2*C35/100</f>
        <v/>
      </c>
      <c r="W35">
        <f>IF(Settings!$B$9,FLOOR(V35,Settings!$B$5),V35)</f>
        <v/>
      </c>
      <c r="X35">
        <f>Settings!$B$2*E35/100</f>
        <v/>
      </c>
      <c r="Y35">
        <f>IF(Settings!$B$9,CEILING(X35,Settings!$B$5),X35)</f>
        <v/>
      </c>
      <c r="Z35">
        <f>Settings!$B$2*M35/100</f>
        <v/>
      </c>
      <c r="AA35">
        <f>IF(Settings!$B$17,MIN(Settings!$B$2*G35/100,IF(Settings!$B$9,CEILING(MAX(0,V35+Settings!$B$2*G35/100-X35-Settings!$B$2*J35/100),Settings!$B$5),MAX(0,V35+Settings!$B$2*G35/100-X35-Settings!$B$2*J35/100))),IF(Settings!$B$9,MROUND(Z35,Settings!$B$5),Z35))</f>
        <v/>
      </c>
      <c r="AB35">
        <f>IF(LEFT(T35,5)="ERROR","ERROR",IF(AND(Settings!$B$17,ABS(AA35-Z35)&gt;1E-9),"FIXED",IF(ABS(S35)&lt;=Settings!$B$7,"SAFE","WARNING")))</f>
        <v/>
      </c>
      <c r="AC35">
        <f>IF(AB35="FIXED","Close adjusted by SAFE mode",IF(AB35="SAFE","BUY/SELL balance preserved",IF(AB35="WARNING","Near protection boundary","Protection broken")))</f>
        <v/>
      </c>
    </row>
    <row r="36">
      <c r="A36" t="n">
        <v>34</v>
      </c>
      <c r="B36">
        <f>A36*Settings!$B$3</f>
        <v/>
      </c>
      <c r="C36">
        <f>IF(A36&lt;=Settings!$B$4,IFERROR(XLOOKUP(A36,LevelRange,BigPercentRange),0),0)</f>
        <v/>
      </c>
      <c r="D36">
        <f>W36</f>
        <v/>
      </c>
      <c r="E36">
        <f>IF(A36&lt;=Settings!$B$4,IFERROR(XLOOKUP(A36,LevelRange,SmallPercentRange),0),0)</f>
        <v/>
      </c>
      <c r="F36">
        <f>Y36</f>
        <v/>
      </c>
      <c r="G36">
        <f>N35</f>
        <v/>
      </c>
      <c r="H36">
        <f>G36+SUM($C$3:C36)</f>
        <v/>
      </c>
      <c r="I36">
        <f>100+SUM($E$3:E36)</f>
        <v/>
      </c>
      <c r="J36">
        <f>IF(A36&lt;=Settings!$B$4,IFERROR(XLOOKUP(A36,LevelRange,TargetSkewRange),0),0)</f>
        <v/>
      </c>
      <c r="K36">
        <f>MIN(G36,MAX(0,H36-I36+J36))</f>
        <v/>
      </c>
      <c r="L36">
        <f>IF(A36&lt;=Settings!$B$4,IFERROR(XLOOKUP(A36,LevelRange,ManualCloseRange),""),"")</f>
        <v/>
      </c>
      <c r="M36">
        <f>MIN(G36,AA36/Settings!$B$2*100)</f>
        <v/>
      </c>
      <c r="N36">
        <f>G36-M36</f>
        <v/>
      </c>
      <c r="O36">
        <f>SUM($C$3:C36)</f>
        <v/>
      </c>
      <c r="P36">
        <f>SUM($E$3:E36)</f>
        <v/>
      </c>
      <c r="Q36">
        <f>N36+O36</f>
        <v/>
      </c>
      <c r="R36">
        <f>100+P36</f>
        <v/>
      </c>
      <c r="S36">
        <f>R36-Q36</f>
        <v/>
      </c>
      <c r="T3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Direction",IF(OR(C36&lt;0,E36&lt;0,J36&lt;0,AND(LEN(L36)&gt;0,L36&lt;0)),"ERROR: Negative input",IF(C36&lt;E36,"ERROR: Big BUY must be &gt;= Small SELL",IF(AND(LEN(L36)&gt;0,L36&gt;G36),"ERROR: ManualClose exceeds remaining Start position",IF(OR(N36&lt;0,Q36&lt;0,R36&lt;0),"ERROR: Negative totals",IF(Q36&gt;R36,"ERROR: Rounding broke protection balance",IF(S36&gt;Settings!$B$8,"WARNING: Skew exceeds recommended limit","OK")))))))))))</f>
        <v/>
      </c>
      <c r="U36">
        <f>IF(LEFT(T36,5)="ERROR","Check input/risk","")</f>
        <v/>
      </c>
      <c r="V36">
        <f>Settings!$B$2*C36/100</f>
        <v/>
      </c>
      <c r="W36">
        <f>IF(Settings!$B$9,FLOOR(V36,Settings!$B$5),V36)</f>
        <v/>
      </c>
      <c r="X36">
        <f>Settings!$B$2*E36/100</f>
        <v/>
      </c>
      <c r="Y36">
        <f>IF(Settings!$B$9,CEILING(X36,Settings!$B$5),X36)</f>
        <v/>
      </c>
      <c r="Z36">
        <f>Settings!$B$2*M36/100</f>
        <v/>
      </c>
      <c r="AA36">
        <f>IF(Settings!$B$17,MIN(Settings!$B$2*G36/100,IF(Settings!$B$9,CEILING(MAX(0,V36+Settings!$B$2*G36/100-X36-Settings!$B$2*J36/100),Settings!$B$5),MAX(0,V36+Settings!$B$2*G36/100-X36-Settings!$B$2*J36/100))),IF(Settings!$B$9,MROUND(Z36,Settings!$B$5),Z36))</f>
        <v/>
      </c>
      <c r="AB36">
        <f>IF(LEFT(T36,5)="ERROR","ERROR",IF(AND(Settings!$B$17,ABS(AA36-Z36)&gt;1E-9),"FIXED",IF(ABS(S36)&lt;=Settings!$B$7,"SAFE","WARNING")))</f>
        <v/>
      </c>
      <c r="AC36">
        <f>IF(AB36="FIXED","Close adjusted by SAFE mode",IF(AB36="SAFE","BUY/SELL balance preserved",IF(AB36="WARNING","Near protection boundary","Protection broken")))</f>
        <v/>
      </c>
    </row>
    <row r="37">
      <c r="A37" t="n">
        <v>35</v>
      </c>
      <c r="B37">
        <f>A37*Settings!$B$3</f>
        <v/>
      </c>
      <c r="C37">
        <f>IF(A37&lt;=Settings!$B$4,IFERROR(XLOOKUP(A37,LevelRange,BigPercentRange),0),0)</f>
        <v/>
      </c>
      <c r="D37">
        <f>W37</f>
        <v/>
      </c>
      <c r="E37">
        <f>IF(A37&lt;=Settings!$B$4,IFERROR(XLOOKUP(A37,LevelRange,SmallPercentRange),0),0)</f>
        <v/>
      </c>
      <c r="F37">
        <f>Y37</f>
        <v/>
      </c>
      <c r="G37">
        <f>N36</f>
        <v/>
      </c>
      <c r="H37">
        <f>G37+SUM($C$3:C37)</f>
        <v/>
      </c>
      <c r="I37">
        <f>100+SUM($E$3:E37)</f>
        <v/>
      </c>
      <c r="J37">
        <f>IF(A37&lt;=Settings!$B$4,IFERROR(XLOOKUP(A37,LevelRange,TargetSkewRange),0),0)</f>
        <v/>
      </c>
      <c r="K37">
        <f>MIN(G37,MAX(0,H37-I37+J37))</f>
        <v/>
      </c>
      <c r="L37">
        <f>IF(A37&lt;=Settings!$B$4,IFERROR(XLOOKUP(A37,LevelRange,ManualCloseRange),""),"")</f>
        <v/>
      </c>
      <c r="M37">
        <f>MIN(G37,AA37/Settings!$B$2*100)</f>
        <v/>
      </c>
      <c r="N37">
        <f>G37-M37</f>
        <v/>
      </c>
      <c r="O37">
        <f>SUM($C$3:C37)</f>
        <v/>
      </c>
      <c r="P37">
        <f>SUM($E$3:E37)</f>
        <v/>
      </c>
      <c r="Q37">
        <f>N37+O37</f>
        <v/>
      </c>
      <c r="R37">
        <f>100+P37</f>
        <v/>
      </c>
      <c r="S37">
        <f>R37-Q37</f>
        <v/>
      </c>
      <c r="T3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Direction",IF(OR(C37&lt;0,E37&lt;0,J37&lt;0,AND(LEN(L37)&gt;0,L37&lt;0)),"ERROR: Negative input",IF(C37&lt;E37,"ERROR: Big BUY must be &gt;= Small SELL",IF(AND(LEN(L37)&gt;0,L37&gt;G37),"ERROR: ManualClose exceeds remaining Start position",IF(OR(N37&lt;0,Q37&lt;0,R37&lt;0),"ERROR: Negative totals",IF(Q37&gt;R37,"ERROR: Rounding broke protection balance",IF(S37&gt;Settings!$B$8,"WARNING: Skew exceeds recommended limit","OK")))))))))))</f>
        <v/>
      </c>
      <c r="U37">
        <f>IF(LEFT(T37,5)="ERROR","Check input/risk","")</f>
        <v/>
      </c>
      <c r="V37">
        <f>Settings!$B$2*C37/100</f>
        <v/>
      </c>
      <c r="W37">
        <f>IF(Settings!$B$9,FLOOR(V37,Settings!$B$5),V37)</f>
        <v/>
      </c>
      <c r="X37">
        <f>Settings!$B$2*E37/100</f>
        <v/>
      </c>
      <c r="Y37">
        <f>IF(Settings!$B$9,CEILING(X37,Settings!$B$5),X37)</f>
        <v/>
      </c>
      <c r="Z37">
        <f>Settings!$B$2*M37/100</f>
        <v/>
      </c>
      <c r="AA37">
        <f>IF(Settings!$B$17,MIN(Settings!$B$2*G37/100,IF(Settings!$B$9,CEILING(MAX(0,V37+Settings!$B$2*G37/100-X37-Settings!$B$2*J37/100),Settings!$B$5),MAX(0,V37+Settings!$B$2*G37/100-X37-Settings!$B$2*J37/100))),IF(Settings!$B$9,MROUND(Z37,Settings!$B$5),Z37))</f>
        <v/>
      </c>
      <c r="AB37">
        <f>IF(LEFT(T37,5)="ERROR","ERROR",IF(AND(Settings!$B$17,ABS(AA37-Z37)&gt;1E-9),"FIXED",IF(ABS(S37)&lt;=Settings!$B$7,"SAFE","WARNING")))</f>
        <v/>
      </c>
      <c r="AC37">
        <f>IF(AB37="FIXED","Close adjusted by SAFE mode",IF(AB37="SAFE","BUY/SELL balance preserved",IF(AB37="WARNING","Near protection boundary","Protection broken")))</f>
        <v/>
      </c>
    </row>
    <row r="38">
      <c r="A38" t="n">
        <v>36</v>
      </c>
      <c r="B38">
        <f>A38*Settings!$B$3</f>
        <v/>
      </c>
      <c r="C38">
        <f>IF(A38&lt;=Settings!$B$4,IFERROR(XLOOKUP(A38,LevelRange,BigPercentRange),0),0)</f>
        <v/>
      </c>
      <c r="D38">
        <f>W38</f>
        <v/>
      </c>
      <c r="E38">
        <f>IF(A38&lt;=Settings!$B$4,IFERROR(XLOOKUP(A38,LevelRange,SmallPercentRange),0),0)</f>
        <v/>
      </c>
      <c r="F38">
        <f>Y38</f>
        <v/>
      </c>
      <c r="G38">
        <f>N37</f>
        <v/>
      </c>
      <c r="H38">
        <f>G38+SUM($C$3:C38)</f>
        <v/>
      </c>
      <c r="I38">
        <f>100+SUM($E$3:E38)</f>
        <v/>
      </c>
      <c r="J38">
        <f>IF(A38&lt;=Settings!$B$4,IFERROR(XLOOKUP(A38,LevelRange,TargetSkewRange),0),0)</f>
        <v/>
      </c>
      <c r="K38">
        <f>MIN(G38,MAX(0,H38-I38+J38))</f>
        <v/>
      </c>
      <c r="L38">
        <f>IF(A38&lt;=Settings!$B$4,IFERROR(XLOOKUP(A38,LevelRange,ManualCloseRange),""),"")</f>
        <v/>
      </c>
      <c r="M38">
        <f>MIN(G38,AA38/Settings!$B$2*100)</f>
        <v/>
      </c>
      <c r="N38">
        <f>G38-M38</f>
        <v/>
      </c>
      <c r="O38">
        <f>SUM($C$3:C38)</f>
        <v/>
      </c>
      <c r="P38">
        <f>SUM($E$3:E38)</f>
        <v/>
      </c>
      <c r="Q38">
        <f>N38+O38</f>
        <v/>
      </c>
      <c r="R38">
        <f>100+P38</f>
        <v/>
      </c>
      <c r="S38">
        <f>R38-Q38</f>
        <v/>
      </c>
      <c r="T3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Direction",IF(OR(C38&lt;0,E38&lt;0,J38&lt;0,AND(LEN(L38)&gt;0,L38&lt;0)),"ERROR: Negative input",IF(C38&lt;E38,"ERROR: Big BUY must be &gt;= Small SELL",IF(AND(LEN(L38)&gt;0,L38&gt;G38),"ERROR: ManualClose exceeds remaining Start position",IF(OR(N38&lt;0,Q38&lt;0,R38&lt;0),"ERROR: Negative totals",IF(Q38&gt;R38,"ERROR: Rounding broke protection balance",IF(S38&gt;Settings!$B$8,"WARNING: Skew exceeds recommended limit","OK")))))))))))</f>
        <v/>
      </c>
      <c r="U38">
        <f>IF(LEFT(T38,5)="ERROR","Check input/risk","")</f>
        <v/>
      </c>
      <c r="V38">
        <f>Settings!$B$2*C38/100</f>
        <v/>
      </c>
      <c r="W38">
        <f>IF(Settings!$B$9,FLOOR(V38,Settings!$B$5),V38)</f>
        <v/>
      </c>
      <c r="X38">
        <f>Settings!$B$2*E38/100</f>
        <v/>
      </c>
      <c r="Y38">
        <f>IF(Settings!$B$9,CEILING(X38,Settings!$B$5),X38)</f>
        <v/>
      </c>
      <c r="Z38">
        <f>Settings!$B$2*M38/100</f>
        <v/>
      </c>
      <c r="AA38">
        <f>IF(Settings!$B$17,MIN(Settings!$B$2*G38/100,IF(Settings!$B$9,CEILING(MAX(0,V38+Settings!$B$2*G38/100-X38-Settings!$B$2*J38/100),Settings!$B$5),MAX(0,V38+Settings!$B$2*G38/100-X38-Settings!$B$2*J38/100))),IF(Settings!$B$9,MROUND(Z38,Settings!$B$5),Z38))</f>
        <v/>
      </c>
      <c r="AB38">
        <f>IF(LEFT(T38,5)="ERROR","ERROR",IF(AND(Settings!$B$17,ABS(AA38-Z38)&gt;1E-9),"FIXED",IF(ABS(S38)&lt;=Settings!$B$7,"SAFE","WARNING")))</f>
        <v/>
      </c>
      <c r="AC38">
        <f>IF(AB38="FIXED","Close adjusted by SAFE mode",IF(AB38="SAFE","BUY/SELL balance preserved",IF(AB38="WARNING","Near protection boundary","Protection broken")))</f>
        <v/>
      </c>
    </row>
    <row r="39">
      <c r="A39" t="n">
        <v>37</v>
      </c>
      <c r="B39">
        <f>A39*Settings!$B$3</f>
        <v/>
      </c>
      <c r="C39">
        <f>IF(A39&lt;=Settings!$B$4,IFERROR(XLOOKUP(A39,LevelRange,BigPercentRange),0),0)</f>
        <v/>
      </c>
      <c r="D39">
        <f>W39</f>
        <v/>
      </c>
      <c r="E39">
        <f>IF(A39&lt;=Settings!$B$4,IFERROR(XLOOKUP(A39,LevelRange,SmallPercentRange),0),0)</f>
        <v/>
      </c>
      <c r="F39">
        <f>Y39</f>
        <v/>
      </c>
      <c r="G39">
        <f>N38</f>
        <v/>
      </c>
      <c r="H39">
        <f>G39+SUM($C$3:C39)</f>
        <v/>
      </c>
      <c r="I39">
        <f>100+SUM($E$3:E39)</f>
        <v/>
      </c>
      <c r="J39">
        <f>IF(A39&lt;=Settings!$B$4,IFERROR(XLOOKUP(A39,LevelRange,TargetSkewRange),0),0)</f>
        <v/>
      </c>
      <c r="K39">
        <f>MIN(G39,MAX(0,H39-I39+J39))</f>
        <v/>
      </c>
      <c r="L39">
        <f>IF(A39&lt;=Settings!$B$4,IFERROR(XLOOKUP(A39,LevelRange,ManualCloseRange),""),"")</f>
        <v/>
      </c>
      <c r="M39">
        <f>MIN(G39,AA39/Settings!$B$2*100)</f>
        <v/>
      </c>
      <c r="N39">
        <f>G39-M39</f>
        <v/>
      </c>
      <c r="O39">
        <f>SUM($C$3:C39)</f>
        <v/>
      </c>
      <c r="P39">
        <f>SUM($E$3:E39)</f>
        <v/>
      </c>
      <c r="Q39">
        <f>N39+O39</f>
        <v/>
      </c>
      <c r="R39">
        <f>100+P39</f>
        <v/>
      </c>
      <c r="S39">
        <f>R39-Q39</f>
        <v/>
      </c>
      <c r="T3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Direction",IF(OR(C39&lt;0,E39&lt;0,J39&lt;0,AND(LEN(L39)&gt;0,L39&lt;0)),"ERROR: Negative input",IF(C39&lt;E39,"ERROR: Big BUY must be &gt;= Small SELL",IF(AND(LEN(L39)&gt;0,L39&gt;G39),"ERROR: ManualClose exceeds remaining Start position",IF(OR(N39&lt;0,Q39&lt;0,R39&lt;0),"ERROR: Negative totals",IF(Q39&gt;R39,"ERROR: Rounding broke protection balance",IF(S39&gt;Settings!$B$8,"WARNING: Skew exceeds recommended limit","OK")))))))))))</f>
        <v/>
      </c>
      <c r="U39">
        <f>IF(LEFT(T39,5)="ERROR","Check input/risk","")</f>
        <v/>
      </c>
      <c r="V39">
        <f>Settings!$B$2*C39/100</f>
        <v/>
      </c>
      <c r="W39">
        <f>IF(Settings!$B$9,FLOOR(V39,Settings!$B$5),V39)</f>
        <v/>
      </c>
      <c r="X39">
        <f>Settings!$B$2*E39/100</f>
        <v/>
      </c>
      <c r="Y39">
        <f>IF(Settings!$B$9,CEILING(X39,Settings!$B$5),X39)</f>
        <v/>
      </c>
      <c r="Z39">
        <f>Settings!$B$2*M39/100</f>
        <v/>
      </c>
      <c r="AA39">
        <f>IF(Settings!$B$17,MIN(Settings!$B$2*G39/100,IF(Settings!$B$9,CEILING(MAX(0,V39+Settings!$B$2*G39/100-X39-Settings!$B$2*J39/100),Settings!$B$5),MAX(0,V39+Settings!$B$2*G39/100-X39-Settings!$B$2*J39/100))),IF(Settings!$B$9,MROUND(Z39,Settings!$B$5),Z39))</f>
        <v/>
      </c>
      <c r="AB39">
        <f>IF(LEFT(T39,5)="ERROR","ERROR",IF(AND(Settings!$B$17,ABS(AA39-Z39)&gt;1E-9),"FIXED",IF(ABS(S39)&lt;=Settings!$B$7,"SAFE","WARNING")))</f>
        <v/>
      </c>
      <c r="AC39">
        <f>IF(AB39="FIXED","Close adjusted by SAFE mode",IF(AB39="SAFE","BUY/SELL balance preserved",IF(AB39="WARNING","Near protection boundary","Protection broken")))</f>
        <v/>
      </c>
    </row>
    <row r="40">
      <c r="A40" t="n">
        <v>38</v>
      </c>
      <c r="B40">
        <f>A40*Settings!$B$3</f>
        <v/>
      </c>
      <c r="C40">
        <f>IF(A40&lt;=Settings!$B$4,IFERROR(XLOOKUP(A40,LevelRange,BigPercentRange),0),0)</f>
        <v/>
      </c>
      <c r="D40">
        <f>W40</f>
        <v/>
      </c>
      <c r="E40">
        <f>IF(A40&lt;=Settings!$B$4,IFERROR(XLOOKUP(A40,LevelRange,SmallPercentRange),0),0)</f>
        <v/>
      </c>
      <c r="F40">
        <f>Y40</f>
        <v/>
      </c>
      <c r="G40">
        <f>N39</f>
        <v/>
      </c>
      <c r="H40">
        <f>G40+SUM($C$3:C40)</f>
        <v/>
      </c>
      <c r="I40">
        <f>100+SUM($E$3:E40)</f>
        <v/>
      </c>
      <c r="J40">
        <f>IF(A40&lt;=Settings!$B$4,IFERROR(XLOOKUP(A40,LevelRange,TargetSkewRange),0),0)</f>
        <v/>
      </c>
      <c r="K40">
        <f>MIN(G40,MAX(0,H40-I40+J40))</f>
        <v/>
      </c>
      <c r="L40">
        <f>IF(A40&lt;=Settings!$B$4,IFERROR(XLOOKUP(A40,LevelRange,ManualCloseRange),""),"")</f>
        <v/>
      </c>
      <c r="M40">
        <f>MIN(G40,AA40/Settings!$B$2*100)</f>
        <v/>
      </c>
      <c r="N40">
        <f>G40-M40</f>
        <v/>
      </c>
      <c r="O40">
        <f>SUM($C$3:C40)</f>
        <v/>
      </c>
      <c r="P40">
        <f>SUM($E$3:E40)</f>
        <v/>
      </c>
      <c r="Q40">
        <f>N40+O40</f>
        <v/>
      </c>
      <c r="R40">
        <f>100+P40</f>
        <v/>
      </c>
      <c r="S40">
        <f>R40-Q40</f>
        <v/>
      </c>
      <c r="T4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Direction",IF(OR(C40&lt;0,E40&lt;0,J40&lt;0,AND(LEN(L40)&gt;0,L40&lt;0)),"ERROR: Negative input",IF(C40&lt;E40,"ERROR: Big BUY must be &gt;= Small SELL",IF(AND(LEN(L40)&gt;0,L40&gt;G40),"ERROR: ManualClose exceeds remaining Start position",IF(OR(N40&lt;0,Q40&lt;0,R40&lt;0),"ERROR: Negative totals",IF(Q40&gt;R40,"ERROR: Rounding broke protection balance",IF(S40&gt;Settings!$B$8,"WARNING: Skew exceeds recommended limit","OK")))))))))))</f>
        <v/>
      </c>
      <c r="U40">
        <f>IF(LEFT(T40,5)="ERROR","Check input/risk","")</f>
        <v/>
      </c>
      <c r="V40">
        <f>Settings!$B$2*C40/100</f>
        <v/>
      </c>
      <c r="W40">
        <f>IF(Settings!$B$9,FLOOR(V40,Settings!$B$5),V40)</f>
        <v/>
      </c>
      <c r="X40">
        <f>Settings!$B$2*E40/100</f>
        <v/>
      </c>
      <c r="Y40">
        <f>IF(Settings!$B$9,CEILING(X40,Settings!$B$5),X40)</f>
        <v/>
      </c>
      <c r="Z40">
        <f>Settings!$B$2*M40/100</f>
        <v/>
      </c>
      <c r="AA40">
        <f>IF(Settings!$B$17,MIN(Settings!$B$2*G40/100,IF(Settings!$B$9,CEILING(MAX(0,V40+Settings!$B$2*G40/100-X40-Settings!$B$2*J40/100),Settings!$B$5),MAX(0,V40+Settings!$B$2*G40/100-X40-Settings!$B$2*J40/100))),IF(Settings!$B$9,MROUND(Z40,Settings!$B$5),Z40))</f>
        <v/>
      </c>
      <c r="AB40">
        <f>IF(LEFT(T40,5)="ERROR","ERROR",IF(AND(Settings!$B$17,ABS(AA40-Z40)&gt;1E-9),"FIXED",IF(ABS(S40)&lt;=Settings!$B$7,"SAFE","WARNING")))</f>
        <v/>
      </c>
      <c r="AC40">
        <f>IF(AB40="FIXED","Close adjusted by SAFE mode",IF(AB40="SAFE","BUY/SELL balance preserved",IF(AB40="WARNING","Near protection boundary","Protection broken")))</f>
        <v/>
      </c>
    </row>
    <row r="41">
      <c r="A41" t="n">
        <v>39</v>
      </c>
      <c r="B41">
        <f>A41*Settings!$B$3</f>
        <v/>
      </c>
      <c r="C41">
        <f>IF(A41&lt;=Settings!$B$4,IFERROR(XLOOKUP(A41,LevelRange,BigPercentRange),0),0)</f>
        <v/>
      </c>
      <c r="D41">
        <f>W41</f>
        <v/>
      </c>
      <c r="E41">
        <f>IF(A41&lt;=Settings!$B$4,IFERROR(XLOOKUP(A41,LevelRange,SmallPercentRange),0),0)</f>
        <v/>
      </c>
      <c r="F41">
        <f>Y41</f>
        <v/>
      </c>
      <c r="G41">
        <f>N40</f>
        <v/>
      </c>
      <c r="H41">
        <f>G41+SUM($C$3:C41)</f>
        <v/>
      </c>
      <c r="I41">
        <f>100+SUM($E$3:E41)</f>
        <v/>
      </c>
      <c r="J41">
        <f>IF(A41&lt;=Settings!$B$4,IFERROR(XLOOKUP(A41,LevelRange,TargetSkewRange),0),0)</f>
        <v/>
      </c>
      <c r="K41">
        <f>MIN(G41,MAX(0,H41-I41+J41))</f>
        <v/>
      </c>
      <c r="L41">
        <f>IF(A41&lt;=Settings!$B$4,IFERROR(XLOOKUP(A41,LevelRange,ManualCloseRange),""),"")</f>
        <v/>
      </c>
      <c r="M41">
        <f>MIN(G41,AA41/Settings!$B$2*100)</f>
        <v/>
      </c>
      <c r="N41">
        <f>G41-M41</f>
        <v/>
      </c>
      <c r="O41">
        <f>SUM($C$3:C41)</f>
        <v/>
      </c>
      <c r="P41">
        <f>SUM($E$3:E41)</f>
        <v/>
      </c>
      <c r="Q41">
        <f>N41+O41</f>
        <v/>
      </c>
      <c r="R41">
        <f>100+P41</f>
        <v/>
      </c>
      <c r="S41">
        <f>R41-Q41</f>
        <v/>
      </c>
      <c r="T4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Direction",IF(OR(C41&lt;0,E41&lt;0,J41&lt;0,AND(LEN(L41)&gt;0,L41&lt;0)),"ERROR: Negative input",IF(C41&lt;E41,"ERROR: Big BUY must be &gt;= Small SELL",IF(AND(LEN(L41)&gt;0,L41&gt;G41),"ERROR: ManualClose exceeds remaining Start position",IF(OR(N41&lt;0,Q41&lt;0,R41&lt;0),"ERROR: Negative totals",IF(Q41&gt;R41,"ERROR: Rounding broke protection balance",IF(S41&gt;Settings!$B$8,"WARNING: Skew exceeds recommended limit","OK")))))))))))</f>
        <v/>
      </c>
      <c r="U41">
        <f>IF(LEFT(T41,5)="ERROR","Check input/risk","")</f>
        <v/>
      </c>
      <c r="V41">
        <f>Settings!$B$2*C41/100</f>
        <v/>
      </c>
      <c r="W41">
        <f>IF(Settings!$B$9,FLOOR(V41,Settings!$B$5),V41)</f>
        <v/>
      </c>
      <c r="X41">
        <f>Settings!$B$2*E41/100</f>
        <v/>
      </c>
      <c r="Y41">
        <f>IF(Settings!$B$9,CEILING(X41,Settings!$B$5),X41)</f>
        <v/>
      </c>
      <c r="Z41">
        <f>Settings!$B$2*M41/100</f>
        <v/>
      </c>
      <c r="AA41">
        <f>IF(Settings!$B$17,MIN(Settings!$B$2*G41/100,IF(Settings!$B$9,CEILING(MAX(0,V41+Settings!$B$2*G41/100-X41-Settings!$B$2*J41/100),Settings!$B$5),MAX(0,V41+Settings!$B$2*G41/100-X41-Settings!$B$2*J41/100))),IF(Settings!$B$9,MROUND(Z41,Settings!$B$5),Z41))</f>
        <v/>
      </c>
      <c r="AB41">
        <f>IF(LEFT(T41,5)="ERROR","ERROR",IF(AND(Settings!$B$17,ABS(AA41-Z41)&gt;1E-9),"FIXED",IF(ABS(S41)&lt;=Settings!$B$7,"SAFE","WARNING")))</f>
        <v/>
      </c>
      <c r="AC41">
        <f>IF(AB41="FIXED","Close adjusted by SAFE mode",IF(AB41="SAFE","BUY/SELL balance preserved",IF(AB41="WARNING","Near protection boundary","Protection broken")))</f>
        <v/>
      </c>
    </row>
  </sheetData>
  <conditionalFormatting sqref="AB2:AB41">
    <cfRule type="expression" priority="1" dxfId="0">
      <formula>AB2="SAFE"</formula>
    </cfRule>
    <cfRule type="expression" priority="2" dxfId="1">
      <formula>AB2="FIXED"</formula>
    </cfRule>
    <cfRule type="expression" priority="3" dxfId="2">
      <formula>AB2="WARNING"</formula>
    </cfRule>
    <cfRule type="expression" priority="4" dxfId="3">
      <formula>AB2="ERROR"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PriceStep</t>
        </is>
      </c>
      <c r="C1" s="1" t="inlineStr">
        <is>
          <t>Big %</t>
        </is>
      </c>
      <c r="D1" s="1" t="inlineStr">
        <is>
          <t>Big Lot</t>
        </is>
      </c>
      <c r="E1" s="1" t="inlineStr">
        <is>
          <t>Small %</t>
        </is>
      </c>
      <c r="F1" s="1" t="inlineStr">
        <is>
          <t>Small Lot</t>
        </is>
      </c>
      <c r="G1" s="1" t="inlineStr">
        <is>
          <t>Start Before %</t>
        </is>
      </c>
      <c r="H1" s="1" t="inlineStr">
        <is>
          <t>Before Close %</t>
        </is>
      </c>
      <c r="I1" s="1" t="inlineStr">
        <is>
          <t>Opposite After Add %</t>
        </is>
      </c>
      <c r="J1" s="1" t="inlineStr">
        <is>
          <t>Target Skew %</t>
        </is>
      </c>
      <c r="K1" s="1" t="inlineStr">
        <is>
          <t>Auto Close %</t>
        </is>
      </c>
      <c r="L1" s="1" t="inlineStr">
        <is>
          <t>Manual Close %</t>
        </is>
      </c>
      <c r="M1" s="1" t="inlineStr">
        <is>
          <t>Final Close %</t>
        </is>
      </c>
      <c r="N1" s="1" t="inlineStr">
        <is>
          <t>Start After %</t>
        </is>
      </c>
      <c r="O1" s="1" t="inlineStr">
        <is>
          <t>Sum Big %</t>
        </is>
      </c>
      <c r="P1" s="1" t="inlineStr">
        <is>
          <t>Sum Small %</t>
        </is>
      </c>
      <c r="Q1" s="1" t="inlineStr">
        <is>
          <t>Total Main %</t>
        </is>
      </c>
      <c r="R1" s="1" t="inlineStr">
        <is>
          <t>Total Opposite %</t>
        </is>
      </c>
      <c r="S1" s="1" t="inlineStr">
        <is>
          <t>Skew %</t>
        </is>
      </c>
      <c r="T1" s="1" t="inlineStr">
        <is>
          <t>Status</t>
        </is>
      </c>
      <c r="U1" s="1" t="inlineStr">
        <is>
          <t>Comment</t>
        </is>
      </c>
      <c r="V1" s="1" t="inlineStr">
        <is>
          <t>Big Raw Lot</t>
        </is>
      </c>
      <c r="W1" s="1" t="inlineStr">
        <is>
          <t>Big Rounded</t>
        </is>
      </c>
      <c r="X1" s="1" t="inlineStr">
        <is>
          <t>Small Raw Lot</t>
        </is>
      </c>
      <c r="Y1" s="1" t="inlineStr">
        <is>
          <t>Small Rounded</t>
        </is>
      </c>
      <c r="Z1" s="1" t="inlineStr">
        <is>
          <t>Close Raw Lot</t>
        </is>
      </c>
      <c r="AA1" s="1" t="inlineStr">
        <is>
          <t>Close Rounded</t>
        </is>
      </c>
      <c r="AB1" s="1" t="inlineStr">
        <is>
          <t>Safe Rounding Status</t>
        </is>
      </c>
      <c r="AC1" s="1" t="inlineStr">
        <is>
          <t>Rounding Comment</t>
        </is>
      </c>
    </row>
    <row r="2">
      <c r="A2" t="n">
        <v>0</v>
      </c>
      <c r="B2" t="n">
        <v>0</v>
      </c>
      <c r="C2" t="n">
        <v>0</v>
      </c>
      <c r="D2">
        <f>W2</f>
        <v/>
      </c>
      <c r="E2" t="n">
        <v>0</v>
      </c>
      <c r="F2">
        <f>Y2</f>
        <v/>
      </c>
      <c r="G2" t="n">
        <v>100</v>
      </c>
      <c r="H2" t="n">
        <v>100</v>
      </c>
      <c r="I2" t="n">
        <v>100</v>
      </c>
      <c r="J2" t="n">
        <v>0</v>
      </c>
      <c r="K2" t="n">
        <v>0</v>
      </c>
      <c r="L2" t="inlineStr"/>
      <c r="M2" t="n">
        <v>0</v>
      </c>
      <c r="N2" t="n">
        <v>100</v>
      </c>
      <c r="O2" t="n">
        <v>0</v>
      </c>
      <c r="P2" t="n">
        <v>0</v>
      </c>
      <c r="Q2">
        <f>N2+O2</f>
        <v/>
      </c>
      <c r="R2">
        <f>100+P2</f>
        <v/>
      </c>
      <c r="S2">
        <f>R2-Q2</f>
        <v/>
      </c>
      <c r="T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Direction",IF(OR(C2&lt;0,E2&lt;0,J2&lt;0,AND(LEN(L2)&gt;0,L2&lt;0)),"ERROR: Negative input",IF(C2&lt;E2,"ERROR: Big SELL must be &gt;= Small BUY",IF(AND(LEN(L2)&gt;0,L2&gt;G2),"ERROR: ManualClose exceeds remaining Start position",IF(OR(N2&lt;0,Q2&lt;0,R2&lt;0),"ERROR: Negative totals",IF(Q2&gt;R2,"ERROR: Rounding broke protection balance",IF(S2&gt;Settings!$B$8,"WARNING: Skew exceeds recommended limit","OK")))))))))))</f>
        <v/>
      </c>
      <c r="U2">
        <f>IF(LEFT(T2,5)="ERROR","Check input/risk","")</f>
        <v/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>
        <f>IF(LEFT(T2,5)="ERROR","ERROR",IF(AND(Settings!$B$17,ABS(AA2-Z2)&gt;1E-9),"FIXED",IF(ABS(S2)&lt;=Settings!$B$7,"SAFE","WARNING")))</f>
        <v/>
      </c>
      <c r="AC2">
        <f>IF(AB2="FIXED","Close adjusted by SAFE mode",IF(AB2="SAFE","BUY/SELL balance preserved",IF(AB2="WARNING","Near protection boundary","Protection broken")))</f>
        <v/>
      </c>
    </row>
    <row r="3">
      <c r="A3" t="n">
        <v>1</v>
      </c>
      <c r="B3">
        <f>A3*Settings!$B$3</f>
        <v/>
      </c>
      <c r="C3">
        <f>IF(A3&lt;=Settings!$B$4,IFERROR(XLOOKUP(A3,LevelRange,BigPercentRange),0),0)</f>
        <v/>
      </c>
      <c r="D3">
        <f>W3</f>
        <v/>
      </c>
      <c r="E3">
        <f>IF(A3&lt;=Settings!$B$4,IFERROR(XLOOKUP(A3,LevelRange,SmallPercentRange),0),0)</f>
        <v/>
      </c>
      <c r="F3">
        <f>Y3</f>
        <v/>
      </c>
      <c r="G3" t="n">
        <v>100</v>
      </c>
      <c r="H3">
        <f>G3+SUM($C$3:C3)</f>
        <v/>
      </c>
      <c r="I3">
        <f>100+SUM($E$3:E3)</f>
        <v/>
      </c>
      <c r="J3">
        <f>IF(A3&lt;=Settings!$B$4,IFERROR(XLOOKUP(A3,LevelRange,TargetSkewRange),0),0)</f>
        <v/>
      </c>
      <c r="K3">
        <f>MIN(G3,MAX(0,H3-I3+J3))</f>
        <v/>
      </c>
      <c r="L3">
        <f>IF(A3&lt;=Settings!$B$4,IFERROR(XLOOKUP(A3,LevelRange,ManualCloseRange),""),"")</f>
        <v/>
      </c>
      <c r="M3">
        <f>MIN(G3,AA3/Settings!$B$2*100)</f>
        <v/>
      </c>
      <c r="N3">
        <f>G3-M3</f>
        <v/>
      </c>
      <c r="O3">
        <f>SUM($C$3:C3)</f>
        <v/>
      </c>
      <c r="P3">
        <f>SUM($E$3:E3)</f>
        <v/>
      </c>
      <c r="Q3">
        <f>N3+O3</f>
        <v/>
      </c>
      <c r="R3">
        <f>100+P3</f>
        <v/>
      </c>
      <c r="S3">
        <f>R3-Q3</f>
        <v/>
      </c>
      <c r="T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Direction",IF(OR(C3&lt;0,E3&lt;0,J3&lt;0,AND(LEN(L3)&gt;0,L3&lt;0)),"ERROR: Negative input",IF(C3&lt;E3,"ERROR: Big SELL must be &gt;= Small BUY",IF(AND(LEN(L3)&gt;0,L3&gt;G3),"ERROR: ManualClose exceeds remaining Start position",IF(OR(N3&lt;0,Q3&lt;0,R3&lt;0),"ERROR: Negative totals",IF(Q3&gt;R3,"ERROR: Rounding broke protection balance",IF(S3&gt;Settings!$B$8,"WARNING: Skew exceeds recommended limit","OK")))))))))))</f>
        <v/>
      </c>
      <c r="U3">
        <f>IF(LEFT(T3,5)="ERROR","Check input/risk","")</f>
        <v/>
      </c>
      <c r="V3">
        <f>Settings!$B$2*C3/100</f>
        <v/>
      </c>
      <c r="W3">
        <f>IF(Settings!$B$9,FLOOR(V3,Settings!$B$5),V3)</f>
        <v/>
      </c>
      <c r="X3">
        <f>Settings!$B$2*E3/100</f>
        <v/>
      </c>
      <c r="Y3">
        <f>IF(Settings!$B$9,CEILING(X3,Settings!$B$5),X3)</f>
        <v/>
      </c>
      <c r="Z3">
        <f>Settings!$B$2*M3/100</f>
        <v/>
      </c>
      <c r="AA3">
        <f>IF(Settings!$B$17,MIN(Settings!$B$2*G3/100,IF(Settings!$B$9,CEILING(MAX(0,V3+Settings!$B$2*G3/100-X3-Settings!$B$2*J3/100),Settings!$B$5),MAX(0,V3+Settings!$B$2*G3/100-X3-Settings!$B$2*J3/100))),IF(Settings!$B$9,MROUND(Z3,Settings!$B$5),Z3))</f>
        <v/>
      </c>
      <c r="AB3">
        <f>IF(LEFT(T3,5)="ERROR","ERROR",IF(AND(Settings!$B$17,ABS(AA3-Z3)&gt;1E-9),"FIXED",IF(ABS(S3)&lt;=Settings!$B$7,"SAFE","WARNING")))</f>
        <v/>
      </c>
      <c r="AC3">
        <f>IF(AB3="FIXED","Close adjusted by SAFE mode",IF(AB3="SAFE","BUY/SELL balance preserved",IF(AB3="WARNING","Near protection boundary","Protection broken")))</f>
        <v/>
      </c>
    </row>
    <row r="4">
      <c r="A4" t="n">
        <v>2</v>
      </c>
      <c r="B4">
        <f>A4*Settings!$B$3</f>
        <v/>
      </c>
      <c r="C4">
        <f>IF(A4&lt;=Settings!$B$4,IFERROR(XLOOKUP(A4,LevelRange,BigPercentRange),0),0)</f>
        <v/>
      </c>
      <c r="D4">
        <f>W4</f>
        <v/>
      </c>
      <c r="E4">
        <f>IF(A4&lt;=Settings!$B$4,IFERROR(XLOOKUP(A4,LevelRange,SmallPercentRange),0),0)</f>
        <v/>
      </c>
      <c r="F4">
        <f>Y4</f>
        <v/>
      </c>
      <c r="G4">
        <f>N3</f>
        <v/>
      </c>
      <c r="H4">
        <f>G4+SUM($C$3:C4)</f>
        <v/>
      </c>
      <c r="I4">
        <f>100+SUM($E$3:E4)</f>
        <v/>
      </c>
      <c r="J4">
        <f>IF(A4&lt;=Settings!$B$4,IFERROR(XLOOKUP(A4,LevelRange,TargetSkewRange),0),0)</f>
        <v/>
      </c>
      <c r="K4">
        <f>MIN(G4,MAX(0,H4-I4+J4))</f>
        <v/>
      </c>
      <c r="L4">
        <f>IF(A4&lt;=Settings!$B$4,IFERROR(XLOOKUP(A4,LevelRange,ManualCloseRange),""),"")</f>
        <v/>
      </c>
      <c r="M4">
        <f>MIN(G4,AA4/Settings!$B$2*100)</f>
        <v/>
      </c>
      <c r="N4">
        <f>G4-M4</f>
        <v/>
      </c>
      <c r="O4">
        <f>SUM($C$3:C4)</f>
        <v/>
      </c>
      <c r="P4">
        <f>SUM($E$3:E4)</f>
        <v/>
      </c>
      <c r="Q4">
        <f>N4+O4</f>
        <v/>
      </c>
      <c r="R4">
        <f>100+P4</f>
        <v/>
      </c>
      <c r="S4">
        <f>R4-Q4</f>
        <v/>
      </c>
      <c r="T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Direction",IF(OR(C4&lt;0,E4&lt;0,J4&lt;0,AND(LEN(L4)&gt;0,L4&lt;0)),"ERROR: Negative input",IF(C4&lt;E4,"ERROR: Big SELL must be &gt;= Small BUY",IF(AND(LEN(L4)&gt;0,L4&gt;G4),"ERROR: ManualClose exceeds remaining Start position",IF(OR(N4&lt;0,Q4&lt;0,R4&lt;0),"ERROR: Negative totals",IF(Q4&gt;R4,"ERROR: Rounding broke protection balance",IF(S4&gt;Settings!$B$8,"WARNING: Skew exceeds recommended limit","OK")))))))))))</f>
        <v/>
      </c>
      <c r="U4">
        <f>IF(LEFT(T4,5)="ERROR","Check input/risk","")</f>
        <v/>
      </c>
      <c r="V4">
        <f>Settings!$B$2*C4/100</f>
        <v/>
      </c>
      <c r="W4">
        <f>IF(Settings!$B$9,FLOOR(V4,Settings!$B$5),V4)</f>
        <v/>
      </c>
      <c r="X4">
        <f>Settings!$B$2*E4/100</f>
        <v/>
      </c>
      <c r="Y4">
        <f>IF(Settings!$B$9,CEILING(X4,Settings!$B$5),X4)</f>
        <v/>
      </c>
      <c r="Z4">
        <f>Settings!$B$2*M4/100</f>
        <v/>
      </c>
      <c r="AA4">
        <f>IF(Settings!$B$17,MIN(Settings!$B$2*G4/100,IF(Settings!$B$9,CEILING(MAX(0,V4+Settings!$B$2*G4/100-X4-Settings!$B$2*J4/100),Settings!$B$5),MAX(0,V4+Settings!$B$2*G4/100-X4-Settings!$B$2*J4/100))),IF(Settings!$B$9,MROUND(Z4,Settings!$B$5),Z4))</f>
        <v/>
      </c>
      <c r="AB4">
        <f>IF(LEFT(T4,5)="ERROR","ERROR",IF(AND(Settings!$B$17,ABS(AA4-Z4)&gt;1E-9),"FIXED",IF(ABS(S4)&lt;=Settings!$B$7,"SAFE","WARNING")))</f>
        <v/>
      </c>
      <c r="AC4">
        <f>IF(AB4="FIXED","Close adjusted by SAFE mode",IF(AB4="SAFE","BUY/SELL balance preserved",IF(AB4="WARNING","Near protection boundary","Protection broken")))</f>
        <v/>
      </c>
    </row>
    <row r="5">
      <c r="A5" t="n">
        <v>3</v>
      </c>
      <c r="B5">
        <f>A5*Settings!$B$3</f>
        <v/>
      </c>
      <c r="C5">
        <f>IF(A5&lt;=Settings!$B$4,IFERROR(XLOOKUP(A5,LevelRange,BigPercentRange),0),0)</f>
        <v/>
      </c>
      <c r="D5">
        <f>W5</f>
        <v/>
      </c>
      <c r="E5">
        <f>IF(A5&lt;=Settings!$B$4,IFERROR(XLOOKUP(A5,LevelRange,SmallPercentRange),0),0)</f>
        <v/>
      </c>
      <c r="F5">
        <f>Y5</f>
        <v/>
      </c>
      <c r="G5">
        <f>N4</f>
        <v/>
      </c>
      <c r="H5">
        <f>G5+SUM($C$3:C5)</f>
        <v/>
      </c>
      <c r="I5">
        <f>100+SUM($E$3:E5)</f>
        <v/>
      </c>
      <c r="J5">
        <f>IF(A5&lt;=Settings!$B$4,IFERROR(XLOOKUP(A5,LevelRange,TargetSkewRange),0),0)</f>
        <v/>
      </c>
      <c r="K5">
        <f>MIN(G5,MAX(0,H5-I5+J5))</f>
        <v/>
      </c>
      <c r="L5">
        <f>IF(A5&lt;=Settings!$B$4,IFERROR(XLOOKUP(A5,LevelRange,ManualCloseRange),""),"")</f>
        <v/>
      </c>
      <c r="M5">
        <f>MIN(G5,AA5/Settings!$B$2*100)</f>
        <v/>
      </c>
      <c r="N5">
        <f>G5-M5</f>
        <v/>
      </c>
      <c r="O5">
        <f>SUM($C$3:C5)</f>
        <v/>
      </c>
      <c r="P5">
        <f>SUM($E$3:E5)</f>
        <v/>
      </c>
      <c r="Q5">
        <f>N5+O5</f>
        <v/>
      </c>
      <c r="R5">
        <f>100+P5</f>
        <v/>
      </c>
      <c r="S5">
        <f>R5-Q5</f>
        <v/>
      </c>
      <c r="T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Direction",IF(OR(C5&lt;0,E5&lt;0,J5&lt;0,AND(LEN(L5)&gt;0,L5&lt;0)),"ERROR: Negative input",IF(C5&lt;E5,"ERROR: Big SELL must be &gt;= Small BUY",IF(AND(LEN(L5)&gt;0,L5&gt;G5),"ERROR: ManualClose exceeds remaining Start position",IF(OR(N5&lt;0,Q5&lt;0,R5&lt;0),"ERROR: Negative totals",IF(Q5&gt;R5,"ERROR: Rounding broke protection balance",IF(S5&gt;Settings!$B$8,"WARNING: Skew exceeds recommended limit","OK")))))))))))</f>
        <v/>
      </c>
      <c r="U5">
        <f>IF(LEFT(T5,5)="ERROR","Check input/risk","")</f>
        <v/>
      </c>
      <c r="V5">
        <f>Settings!$B$2*C5/100</f>
        <v/>
      </c>
      <c r="W5">
        <f>IF(Settings!$B$9,FLOOR(V5,Settings!$B$5),V5)</f>
        <v/>
      </c>
      <c r="X5">
        <f>Settings!$B$2*E5/100</f>
        <v/>
      </c>
      <c r="Y5">
        <f>IF(Settings!$B$9,CEILING(X5,Settings!$B$5),X5)</f>
        <v/>
      </c>
      <c r="Z5">
        <f>Settings!$B$2*M5/100</f>
        <v/>
      </c>
      <c r="AA5">
        <f>IF(Settings!$B$17,MIN(Settings!$B$2*G5/100,IF(Settings!$B$9,CEILING(MAX(0,V5+Settings!$B$2*G5/100-X5-Settings!$B$2*J5/100),Settings!$B$5),MAX(0,V5+Settings!$B$2*G5/100-X5-Settings!$B$2*J5/100))),IF(Settings!$B$9,MROUND(Z5,Settings!$B$5),Z5))</f>
        <v/>
      </c>
      <c r="AB5">
        <f>IF(LEFT(T5,5)="ERROR","ERROR",IF(AND(Settings!$B$17,ABS(AA5-Z5)&gt;1E-9),"FIXED",IF(ABS(S5)&lt;=Settings!$B$7,"SAFE","WARNING")))</f>
        <v/>
      </c>
      <c r="AC5">
        <f>IF(AB5="FIXED","Close adjusted by SAFE mode",IF(AB5="SAFE","BUY/SELL balance preserved",IF(AB5="WARNING","Near protection boundary","Protection broken")))</f>
        <v/>
      </c>
    </row>
    <row r="6">
      <c r="A6" t="n">
        <v>4</v>
      </c>
      <c r="B6">
        <f>A6*Settings!$B$3</f>
        <v/>
      </c>
      <c r="C6">
        <f>IF(A6&lt;=Settings!$B$4,IFERROR(XLOOKUP(A6,LevelRange,BigPercentRange),0),0)</f>
        <v/>
      </c>
      <c r="D6">
        <f>W6</f>
        <v/>
      </c>
      <c r="E6">
        <f>IF(A6&lt;=Settings!$B$4,IFERROR(XLOOKUP(A6,LevelRange,SmallPercentRange),0),0)</f>
        <v/>
      </c>
      <c r="F6">
        <f>Y6</f>
        <v/>
      </c>
      <c r="G6">
        <f>N5</f>
        <v/>
      </c>
      <c r="H6">
        <f>G6+SUM($C$3:C6)</f>
        <v/>
      </c>
      <c r="I6">
        <f>100+SUM($E$3:E6)</f>
        <v/>
      </c>
      <c r="J6">
        <f>IF(A6&lt;=Settings!$B$4,IFERROR(XLOOKUP(A6,LevelRange,TargetSkewRange),0),0)</f>
        <v/>
      </c>
      <c r="K6">
        <f>MIN(G6,MAX(0,H6-I6+J6))</f>
        <v/>
      </c>
      <c r="L6">
        <f>IF(A6&lt;=Settings!$B$4,IFERROR(XLOOKUP(A6,LevelRange,ManualCloseRange),""),"")</f>
        <v/>
      </c>
      <c r="M6">
        <f>MIN(G6,AA6/Settings!$B$2*100)</f>
        <v/>
      </c>
      <c r="N6">
        <f>G6-M6</f>
        <v/>
      </c>
      <c r="O6">
        <f>SUM($C$3:C6)</f>
        <v/>
      </c>
      <c r="P6">
        <f>SUM($E$3:E6)</f>
        <v/>
      </c>
      <c r="Q6">
        <f>N6+O6</f>
        <v/>
      </c>
      <c r="R6">
        <f>100+P6</f>
        <v/>
      </c>
      <c r="S6">
        <f>R6-Q6</f>
        <v/>
      </c>
      <c r="T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Direction",IF(OR(C6&lt;0,E6&lt;0,J6&lt;0,AND(LEN(L6)&gt;0,L6&lt;0)),"ERROR: Negative input",IF(C6&lt;E6,"ERROR: Big SELL must be &gt;= Small BUY",IF(AND(LEN(L6)&gt;0,L6&gt;G6),"ERROR: ManualClose exceeds remaining Start position",IF(OR(N6&lt;0,Q6&lt;0,R6&lt;0),"ERROR: Negative totals",IF(Q6&gt;R6,"ERROR: Rounding broke protection balance",IF(S6&gt;Settings!$B$8,"WARNING: Skew exceeds recommended limit","OK")))))))))))</f>
        <v/>
      </c>
      <c r="U6">
        <f>IF(LEFT(T6,5)="ERROR","Check input/risk","")</f>
        <v/>
      </c>
      <c r="V6">
        <f>Settings!$B$2*C6/100</f>
        <v/>
      </c>
      <c r="W6">
        <f>IF(Settings!$B$9,FLOOR(V6,Settings!$B$5),V6)</f>
        <v/>
      </c>
      <c r="X6">
        <f>Settings!$B$2*E6/100</f>
        <v/>
      </c>
      <c r="Y6">
        <f>IF(Settings!$B$9,CEILING(X6,Settings!$B$5),X6)</f>
        <v/>
      </c>
      <c r="Z6">
        <f>Settings!$B$2*M6/100</f>
        <v/>
      </c>
      <c r="AA6">
        <f>IF(Settings!$B$17,MIN(Settings!$B$2*G6/100,IF(Settings!$B$9,CEILING(MAX(0,V6+Settings!$B$2*G6/100-X6-Settings!$B$2*J6/100),Settings!$B$5),MAX(0,V6+Settings!$B$2*G6/100-X6-Settings!$B$2*J6/100))),IF(Settings!$B$9,MROUND(Z6,Settings!$B$5),Z6))</f>
        <v/>
      </c>
      <c r="AB6">
        <f>IF(LEFT(T6,5)="ERROR","ERROR",IF(AND(Settings!$B$17,ABS(AA6-Z6)&gt;1E-9),"FIXED",IF(ABS(S6)&lt;=Settings!$B$7,"SAFE","WARNING")))</f>
        <v/>
      </c>
      <c r="AC6">
        <f>IF(AB6="FIXED","Close adjusted by SAFE mode",IF(AB6="SAFE","BUY/SELL balance preserved",IF(AB6="WARNING","Near protection boundary","Protection broken")))</f>
        <v/>
      </c>
    </row>
    <row r="7">
      <c r="A7" t="n">
        <v>5</v>
      </c>
      <c r="B7">
        <f>A7*Settings!$B$3</f>
        <v/>
      </c>
      <c r="C7">
        <f>IF(A7&lt;=Settings!$B$4,IFERROR(XLOOKUP(A7,LevelRange,BigPercentRange),0),0)</f>
        <v/>
      </c>
      <c r="D7">
        <f>W7</f>
        <v/>
      </c>
      <c r="E7">
        <f>IF(A7&lt;=Settings!$B$4,IFERROR(XLOOKUP(A7,LevelRange,SmallPercentRange),0),0)</f>
        <v/>
      </c>
      <c r="F7">
        <f>Y7</f>
        <v/>
      </c>
      <c r="G7">
        <f>N6</f>
        <v/>
      </c>
      <c r="H7">
        <f>G7+SUM($C$3:C7)</f>
        <v/>
      </c>
      <c r="I7">
        <f>100+SUM($E$3:E7)</f>
        <v/>
      </c>
      <c r="J7">
        <f>IF(A7&lt;=Settings!$B$4,IFERROR(XLOOKUP(A7,LevelRange,TargetSkewRange),0),0)</f>
        <v/>
      </c>
      <c r="K7">
        <f>MIN(G7,MAX(0,H7-I7+J7))</f>
        <v/>
      </c>
      <c r="L7">
        <f>IF(A7&lt;=Settings!$B$4,IFERROR(XLOOKUP(A7,LevelRange,ManualCloseRange),""),"")</f>
        <v/>
      </c>
      <c r="M7">
        <f>MIN(G7,AA7/Settings!$B$2*100)</f>
        <v/>
      </c>
      <c r="N7">
        <f>G7-M7</f>
        <v/>
      </c>
      <c r="O7">
        <f>SUM($C$3:C7)</f>
        <v/>
      </c>
      <c r="P7">
        <f>SUM($E$3:E7)</f>
        <v/>
      </c>
      <c r="Q7">
        <f>N7+O7</f>
        <v/>
      </c>
      <c r="R7">
        <f>100+P7</f>
        <v/>
      </c>
      <c r="S7">
        <f>R7-Q7</f>
        <v/>
      </c>
      <c r="T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Direction",IF(OR(C7&lt;0,E7&lt;0,J7&lt;0,AND(LEN(L7)&gt;0,L7&lt;0)),"ERROR: Negative input",IF(C7&lt;E7,"ERROR: Big SELL must be &gt;= Small BUY",IF(AND(LEN(L7)&gt;0,L7&gt;G7),"ERROR: ManualClose exceeds remaining Start position",IF(OR(N7&lt;0,Q7&lt;0,R7&lt;0),"ERROR: Negative totals",IF(Q7&gt;R7,"ERROR: Rounding broke protection balance",IF(S7&gt;Settings!$B$8,"WARNING: Skew exceeds recommended limit","OK")))))))))))</f>
        <v/>
      </c>
      <c r="U7">
        <f>IF(LEFT(T7,5)="ERROR","Check input/risk","")</f>
        <v/>
      </c>
      <c r="V7">
        <f>Settings!$B$2*C7/100</f>
        <v/>
      </c>
      <c r="W7">
        <f>IF(Settings!$B$9,FLOOR(V7,Settings!$B$5),V7)</f>
        <v/>
      </c>
      <c r="X7">
        <f>Settings!$B$2*E7/100</f>
        <v/>
      </c>
      <c r="Y7">
        <f>IF(Settings!$B$9,CEILING(X7,Settings!$B$5),X7)</f>
        <v/>
      </c>
      <c r="Z7">
        <f>Settings!$B$2*M7/100</f>
        <v/>
      </c>
      <c r="AA7">
        <f>IF(Settings!$B$17,MIN(Settings!$B$2*G7/100,IF(Settings!$B$9,CEILING(MAX(0,V7+Settings!$B$2*G7/100-X7-Settings!$B$2*J7/100),Settings!$B$5),MAX(0,V7+Settings!$B$2*G7/100-X7-Settings!$B$2*J7/100))),IF(Settings!$B$9,MROUND(Z7,Settings!$B$5),Z7))</f>
        <v/>
      </c>
      <c r="AB7">
        <f>IF(LEFT(T7,5)="ERROR","ERROR",IF(AND(Settings!$B$17,ABS(AA7-Z7)&gt;1E-9),"FIXED",IF(ABS(S7)&lt;=Settings!$B$7,"SAFE","WARNING")))</f>
        <v/>
      </c>
      <c r="AC7">
        <f>IF(AB7="FIXED","Close adjusted by SAFE mode",IF(AB7="SAFE","BUY/SELL balance preserved",IF(AB7="WARNING","Near protection boundary","Protection broken")))</f>
        <v/>
      </c>
    </row>
    <row r="8">
      <c r="A8" t="n">
        <v>6</v>
      </c>
      <c r="B8">
        <f>A8*Settings!$B$3</f>
        <v/>
      </c>
      <c r="C8">
        <f>IF(A8&lt;=Settings!$B$4,IFERROR(XLOOKUP(A8,LevelRange,BigPercentRange),0),0)</f>
        <v/>
      </c>
      <c r="D8">
        <f>W8</f>
        <v/>
      </c>
      <c r="E8">
        <f>IF(A8&lt;=Settings!$B$4,IFERROR(XLOOKUP(A8,LevelRange,SmallPercentRange),0),0)</f>
        <v/>
      </c>
      <c r="F8">
        <f>Y8</f>
        <v/>
      </c>
      <c r="G8">
        <f>N7</f>
        <v/>
      </c>
      <c r="H8">
        <f>G8+SUM($C$3:C8)</f>
        <v/>
      </c>
      <c r="I8">
        <f>100+SUM($E$3:E8)</f>
        <v/>
      </c>
      <c r="J8">
        <f>IF(A8&lt;=Settings!$B$4,IFERROR(XLOOKUP(A8,LevelRange,TargetSkewRange),0),0)</f>
        <v/>
      </c>
      <c r="K8">
        <f>MIN(G8,MAX(0,H8-I8+J8))</f>
        <v/>
      </c>
      <c r="L8">
        <f>IF(A8&lt;=Settings!$B$4,IFERROR(XLOOKUP(A8,LevelRange,ManualCloseRange),""),"")</f>
        <v/>
      </c>
      <c r="M8">
        <f>MIN(G8,AA8/Settings!$B$2*100)</f>
        <v/>
      </c>
      <c r="N8">
        <f>G8-M8</f>
        <v/>
      </c>
      <c r="O8">
        <f>SUM($C$3:C8)</f>
        <v/>
      </c>
      <c r="P8">
        <f>SUM($E$3:E8)</f>
        <v/>
      </c>
      <c r="Q8">
        <f>N8+O8</f>
        <v/>
      </c>
      <c r="R8">
        <f>100+P8</f>
        <v/>
      </c>
      <c r="S8">
        <f>R8-Q8</f>
        <v/>
      </c>
      <c r="T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Direction",IF(OR(C8&lt;0,E8&lt;0,J8&lt;0,AND(LEN(L8)&gt;0,L8&lt;0)),"ERROR: Negative input",IF(C8&lt;E8,"ERROR: Big SELL must be &gt;= Small BUY",IF(AND(LEN(L8)&gt;0,L8&gt;G8),"ERROR: ManualClose exceeds remaining Start position",IF(OR(N8&lt;0,Q8&lt;0,R8&lt;0),"ERROR: Negative totals",IF(Q8&gt;R8,"ERROR: Rounding broke protection balance",IF(S8&gt;Settings!$B$8,"WARNING: Skew exceeds recommended limit","OK")))))))))))</f>
        <v/>
      </c>
      <c r="U8">
        <f>IF(LEFT(T8,5)="ERROR","Check input/risk","")</f>
        <v/>
      </c>
      <c r="V8">
        <f>Settings!$B$2*C8/100</f>
        <v/>
      </c>
      <c r="W8">
        <f>IF(Settings!$B$9,FLOOR(V8,Settings!$B$5),V8)</f>
        <v/>
      </c>
      <c r="X8">
        <f>Settings!$B$2*E8/100</f>
        <v/>
      </c>
      <c r="Y8">
        <f>IF(Settings!$B$9,CEILING(X8,Settings!$B$5),X8)</f>
        <v/>
      </c>
      <c r="Z8">
        <f>Settings!$B$2*M8/100</f>
        <v/>
      </c>
      <c r="AA8">
        <f>IF(Settings!$B$17,MIN(Settings!$B$2*G8/100,IF(Settings!$B$9,CEILING(MAX(0,V8+Settings!$B$2*G8/100-X8-Settings!$B$2*J8/100),Settings!$B$5),MAX(0,V8+Settings!$B$2*G8/100-X8-Settings!$B$2*J8/100))),IF(Settings!$B$9,MROUND(Z8,Settings!$B$5),Z8))</f>
        <v/>
      </c>
      <c r="AB8">
        <f>IF(LEFT(T8,5)="ERROR","ERROR",IF(AND(Settings!$B$17,ABS(AA8-Z8)&gt;1E-9),"FIXED",IF(ABS(S8)&lt;=Settings!$B$7,"SAFE","WARNING")))</f>
        <v/>
      </c>
      <c r="AC8">
        <f>IF(AB8="FIXED","Close adjusted by SAFE mode",IF(AB8="SAFE","BUY/SELL balance preserved",IF(AB8="WARNING","Near protection boundary","Protection broken")))</f>
        <v/>
      </c>
    </row>
    <row r="9">
      <c r="A9" t="n">
        <v>7</v>
      </c>
      <c r="B9">
        <f>A9*Settings!$B$3</f>
        <v/>
      </c>
      <c r="C9">
        <f>IF(A9&lt;=Settings!$B$4,IFERROR(XLOOKUP(A9,LevelRange,BigPercentRange),0),0)</f>
        <v/>
      </c>
      <c r="D9">
        <f>W9</f>
        <v/>
      </c>
      <c r="E9">
        <f>IF(A9&lt;=Settings!$B$4,IFERROR(XLOOKUP(A9,LevelRange,SmallPercentRange),0),0)</f>
        <v/>
      </c>
      <c r="F9">
        <f>Y9</f>
        <v/>
      </c>
      <c r="G9">
        <f>N8</f>
        <v/>
      </c>
      <c r="H9">
        <f>G9+SUM($C$3:C9)</f>
        <v/>
      </c>
      <c r="I9">
        <f>100+SUM($E$3:E9)</f>
        <v/>
      </c>
      <c r="J9">
        <f>IF(A9&lt;=Settings!$B$4,IFERROR(XLOOKUP(A9,LevelRange,TargetSkewRange),0),0)</f>
        <v/>
      </c>
      <c r="K9">
        <f>MIN(G9,MAX(0,H9-I9+J9))</f>
        <v/>
      </c>
      <c r="L9">
        <f>IF(A9&lt;=Settings!$B$4,IFERROR(XLOOKUP(A9,LevelRange,ManualCloseRange),""),"")</f>
        <v/>
      </c>
      <c r="M9">
        <f>MIN(G9,AA9/Settings!$B$2*100)</f>
        <v/>
      </c>
      <c r="N9">
        <f>G9-M9</f>
        <v/>
      </c>
      <c r="O9">
        <f>SUM($C$3:C9)</f>
        <v/>
      </c>
      <c r="P9">
        <f>SUM($E$3:E9)</f>
        <v/>
      </c>
      <c r="Q9">
        <f>N9+O9</f>
        <v/>
      </c>
      <c r="R9">
        <f>100+P9</f>
        <v/>
      </c>
      <c r="S9">
        <f>R9-Q9</f>
        <v/>
      </c>
      <c r="T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Direction",IF(OR(C9&lt;0,E9&lt;0,J9&lt;0,AND(LEN(L9)&gt;0,L9&lt;0)),"ERROR: Negative input",IF(C9&lt;E9,"ERROR: Big SELL must be &gt;= Small BUY",IF(AND(LEN(L9)&gt;0,L9&gt;G9),"ERROR: ManualClose exceeds remaining Start position",IF(OR(N9&lt;0,Q9&lt;0,R9&lt;0),"ERROR: Negative totals",IF(Q9&gt;R9,"ERROR: Rounding broke protection balance",IF(S9&gt;Settings!$B$8,"WARNING: Skew exceeds recommended limit","OK")))))))))))</f>
        <v/>
      </c>
      <c r="U9">
        <f>IF(LEFT(T9,5)="ERROR","Check input/risk","")</f>
        <v/>
      </c>
      <c r="V9">
        <f>Settings!$B$2*C9/100</f>
        <v/>
      </c>
      <c r="W9">
        <f>IF(Settings!$B$9,FLOOR(V9,Settings!$B$5),V9)</f>
        <v/>
      </c>
      <c r="X9">
        <f>Settings!$B$2*E9/100</f>
        <v/>
      </c>
      <c r="Y9">
        <f>IF(Settings!$B$9,CEILING(X9,Settings!$B$5),X9)</f>
        <v/>
      </c>
      <c r="Z9">
        <f>Settings!$B$2*M9/100</f>
        <v/>
      </c>
      <c r="AA9">
        <f>IF(Settings!$B$17,MIN(Settings!$B$2*G9/100,IF(Settings!$B$9,CEILING(MAX(0,V9+Settings!$B$2*G9/100-X9-Settings!$B$2*J9/100),Settings!$B$5),MAX(0,V9+Settings!$B$2*G9/100-X9-Settings!$B$2*J9/100))),IF(Settings!$B$9,MROUND(Z9,Settings!$B$5),Z9))</f>
        <v/>
      </c>
      <c r="AB9">
        <f>IF(LEFT(T9,5)="ERROR","ERROR",IF(AND(Settings!$B$17,ABS(AA9-Z9)&gt;1E-9),"FIXED",IF(ABS(S9)&lt;=Settings!$B$7,"SAFE","WARNING")))</f>
        <v/>
      </c>
      <c r="AC9">
        <f>IF(AB9="FIXED","Close adjusted by SAFE mode",IF(AB9="SAFE","BUY/SELL balance preserved",IF(AB9="WARNING","Near protection boundary","Protection broken")))</f>
        <v/>
      </c>
    </row>
    <row r="10">
      <c r="A10" t="n">
        <v>8</v>
      </c>
      <c r="B10">
        <f>A10*Settings!$B$3</f>
        <v/>
      </c>
      <c r="C10">
        <f>IF(A10&lt;=Settings!$B$4,IFERROR(XLOOKUP(A10,LevelRange,BigPercentRange),0),0)</f>
        <v/>
      </c>
      <c r="D10">
        <f>W10</f>
        <v/>
      </c>
      <c r="E10">
        <f>IF(A10&lt;=Settings!$B$4,IFERROR(XLOOKUP(A10,LevelRange,SmallPercentRange),0),0)</f>
        <v/>
      </c>
      <c r="F10">
        <f>Y10</f>
        <v/>
      </c>
      <c r="G10">
        <f>N9</f>
        <v/>
      </c>
      <c r="H10">
        <f>G10+SUM($C$3:C10)</f>
        <v/>
      </c>
      <c r="I10">
        <f>100+SUM($E$3:E10)</f>
        <v/>
      </c>
      <c r="J10">
        <f>IF(A10&lt;=Settings!$B$4,IFERROR(XLOOKUP(A10,LevelRange,TargetSkewRange),0),0)</f>
        <v/>
      </c>
      <c r="K10">
        <f>MIN(G10,MAX(0,H10-I10+J10))</f>
        <v/>
      </c>
      <c r="L10">
        <f>IF(A10&lt;=Settings!$B$4,IFERROR(XLOOKUP(A10,LevelRange,ManualCloseRange),""),"")</f>
        <v/>
      </c>
      <c r="M10">
        <f>MIN(G10,AA10/Settings!$B$2*100)</f>
        <v/>
      </c>
      <c r="N10">
        <f>G10-M10</f>
        <v/>
      </c>
      <c r="O10">
        <f>SUM($C$3:C10)</f>
        <v/>
      </c>
      <c r="P10">
        <f>SUM($E$3:E10)</f>
        <v/>
      </c>
      <c r="Q10">
        <f>N10+O10</f>
        <v/>
      </c>
      <c r="R10">
        <f>100+P10</f>
        <v/>
      </c>
      <c r="S10">
        <f>R10-Q10</f>
        <v/>
      </c>
      <c r="T1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Direction",IF(OR(C10&lt;0,E10&lt;0,J10&lt;0,AND(LEN(L10)&gt;0,L10&lt;0)),"ERROR: Negative input",IF(C10&lt;E10,"ERROR: Big SELL must be &gt;= Small BUY",IF(AND(LEN(L10)&gt;0,L10&gt;G10),"ERROR: ManualClose exceeds remaining Start position",IF(OR(N10&lt;0,Q10&lt;0,R10&lt;0),"ERROR: Negative totals",IF(Q10&gt;R10,"ERROR: Rounding broke protection balance",IF(S10&gt;Settings!$B$8,"WARNING: Skew exceeds recommended limit","OK")))))))))))</f>
        <v/>
      </c>
      <c r="U10">
        <f>IF(LEFT(T10,5)="ERROR","Check input/risk","")</f>
        <v/>
      </c>
      <c r="V10">
        <f>Settings!$B$2*C10/100</f>
        <v/>
      </c>
      <c r="W10">
        <f>IF(Settings!$B$9,FLOOR(V10,Settings!$B$5),V10)</f>
        <v/>
      </c>
      <c r="X10">
        <f>Settings!$B$2*E10/100</f>
        <v/>
      </c>
      <c r="Y10">
        <f>IF(Settings!$B$9,CEILING(X10,Settings!$B$5),X10)</f>
        <v/>
      </c>
      <c r="Z10">
        <f>Settings!$B$2*M10/100</f>
        <v/>
      </c>
      <c r="AA10">
        <f>IF(Settings!$B$17,MIN(Settings!$B$2*G10/100,IF(Settings!$B$9,CEILING(MAX(0,V10+Settings!$B$2*G10/100-X10-Settings!$B$2*J10/100),Settings!$B$5),MAX(0,V10+Settings!$B$2*G10/100-X10-Settings!$B$2*J10/100))),IF(Settings!$B$9,MROUND(Z10,Settings!$B$5),Z10))</f>
        <v/>
      </c>
      <c r="AB10">
        <f>IF(LEFT(T10,5)="ERROR","ERROR",IF(AND(Settings!$B$17,ABS(AA10-Z10)&gt;1E-9),"FIXED",IF(ABS(S10)&lt;=Settings!$B$7,"SAFE","WARNING")))</f>
        <v/>
      </c>
      <c r="AC10">
        <f>IF(AB10="FIXED","Close adjusted by SAFE mode",IF(AB10="SAFE","BUY/SELL balance preserved",IF(AB10="WARNING","Near protection boundary","Protection broken")))</f>
        <v/>
      </c>
    </row>
    <row r="11">
      <c r="A11" t="n">
        <v>9</v>
      </c>
      <c r="B11">
        <f>A11*Settings!$B$3</f>
        <v/>
      </c>
      <c r="C11">
        <f>IF(A11&lt;=Settings!$B$4,IFERROR(XLOOKUP(A11,LevelRange,BigPercentRange),0),0)</f>
        <v/>
      </c>
      <c r="D11">
        <f>W11</f>
        <v/>
      </c>
      <c r="E11">
        <f>IF(A11&lt;=Settings!$B$4,IFERROR(XLOOKUP(A11,LevelRange,SmallPercentRange),0),0)</f>
        <v/>
      </c>
      <c r="F11">
        <f>Y11</f>
        <v/>
      </c>
      <c r="G11">
        <f>N10</f>
        <v/>
      </c>
      <c r="H11">
        <f>G11+SUM($C$3:C11)</f>
        <v/>
      </c>
      <c r="I11">
        <f>100+SUM($E$3:E11)</f>
        <v/>
      </c>
      <c r="J11">
        <f>IF(A11&lt;=Settings!$B$4,IFERROR(XLOOKUP(A11,LevelRange,TargetSkewRange),0),0)</f>
        <v/>
      </c>
      <c r="K11">
        <f>MIN(G11,MAX(0,H11-I11+J11))</f>
        <v/>
      </c>
      <c r="L11">
        <f>IF(A11&lt;=Settings!$B$4,IFERROR(XLOOKUP(A11,LevelRange,ManualCloseRange),""),"")</f>
        <v/>
      </c>
      <c r="M11">
        <f>MIN(G11,AA11/Settings!$B$2*100)</f>
        <v/>
      </c>
      <c r="N11">
        <f>G11-M11</f>
        <v/>
      </c>
      <c r="O11">
        <f>SUM($C$3:C11)</f>
        <v/>
      </c>
      <c r="P11">
        <f>SUM($E$3:E11)</f>
        <v/>
      </c>
      <c r="Q11">
        <f>N11+O11</f>
        <v/>
      </c>
      <c r="R11">
        <f>100+P11</f>
        <v/>
      </c>
      <c r="S11">
        <f>R11-Q11</f>
        <v/>
      </c>
      <c r="T1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Direction",IF(OR(C11&lt;0,E11&lt;0,J11&lt;0,AND(LEN(L11)&gt;0,L11&lt;0)),"ERROR: Negative input",IF(C11&lt;E11,"ERROR: Big SELL must be &gt;= Small BUY",IF(AND(LEN(L11)&gt;0,L11&gt;G11),"ERROR: ManualClose exceeds remaining Start position",IF(OR(N11&lt;0,Q11&lt;0,R11&lt;0),"ERROR: Negative totals",IF(Q11&gt;R11,"ERROR: Rounding broke protection balance",IF(S11&gt;Settings!$B$8,"WARNING: Skew exceeds recommended limit","OK")))))))))))</f>
        <v/>
      </c>
      <c r="U11">
        <f>IF(LEFT(T11,5)="ERROR","Check input/risk","")</f>
        <v/>
      </c>
      <c r="V11">
        <f>Settings!$B$2*C11/100</f>
        <v/>
      </c>
      <c r="W11">
        <f>IF(Settings!$B$9,FLOOR(V11,Settings!$B$5),V11)</f>
        <v/>
      </c>
      <c r="X11">
        <f>Settings!$B$2*E11/100</f>
        <v/>
      </c>
      <c r="Y11">
        <f>IF(Settings!$B$9,CEILING(X11,Settings!$B$5),X11)</f>
        <v/>
      </c>
      <c r="Z11">
        <f>Settings!$B$2*M11/100</f>
        <v/>
      </c>
      <c r="AA11">
        <f>IF(Settings!$B$17,MIN(Settings!$B$2*G11/100,IF(Settings!$B$9,CEILING(MAX(0,V11+Settings!$B$2*G11/100-X11-Settings!$B$2*J11/100),Settings!$B$5),MAX(0,V11+Settings!$B$2*G11/100-X11-Settings!$B$2*J11/100))),IF(Settings!$B$9,MROUND(Z11,Settings!$B$5),Z11))</f>
        <v/>
      </c>
      <c r="AB11">
        <f>IF(LEFT(T11,5)="ERROR","ERROR",IF(AND(Settings!$B$17,ABS(AA11-Z11)&gt;1E-9),"FIXED",IF(ABS(S11)&lt;=Settings!$B$7,"SAFE","WARNING")))</f>
        <v/>
      </c>
      <c r="AC11">
        <f>IF(AB11="FIXED","Close adjusted by SAFE mode",IF(AB11="SAFE","BUY/SELL balance preserved",IF(AB11="WARNING","Near protection boundary","Protection broken")))</f>
        <v/>
      </c>
    </row>
    <row r="12">
      <c r="A12" t="n">
        <v>10</v>
      </c>
      <c r="B12">
        <f>A12*Settings!$B$3</f>
        <v/>
      </c>
      <c r="C12">
        <f>IF(A12&lt;=Settings!$B$4,IFERROR(XLOOKUP(A12,LevelRange,BigPercentRange),0),0)</f>
        <v/>
      </c>
      <c r="D12">
        <f>W12</f>
        <v/>
      </c>
      <c r="E12">
        <f>IF(A12&lt;=Settings!$B$4,IFERROR(XLOOKUP(A12,LevelRange,SmallPercentRange),0),0)</f>
        <v/>
      </c>
      <c r="F12">
        <f>Y12</f>
        <v/>
      </c>
      <c r="G12">
        <f>N11</f>
        <v/>
      </c>
      <c r="H12">
        <f>G12+SUM($C$3:C12)</f>
        <v/>
      </c>
      <c r="I12">
        <f>100+SUM($E$3:E12)</f>
        <v/>
      </c>
      <c r="J12">
        <f>IF(A12&lt;=Settings!$B$4,IFERROR(XLOOKUP(A12,LevelRange,TargetSkewRange),0),0)</f>
        <v/>
      </c>
      <c r="K12">
        <f>MIN(G12,MAX(0,H12-I12+J12))</f>
        <v/>
      </c>
      <c r="L12">
        <f>IF(A12&lt;=Settings!$B$4,IFERROR(XLOOKUP(A12,LevelRange,ManualCloseRange),""),"")</f>
        <v/>
      </c>
      <c r="M12">
        <f>MIN(G12,AA12/Settings!$B$2*100)</f>
        <v/>
      </c>
      <c r="N12">
        <f>G12-M12</f>
        <v/>
      </c>
      <c r="O12">
        <f>SUM($C$3:C12)</f>
        <v/>
      </c>
      <c r="P12">
        <f>SUM($E$3:E12)</f>
        <v/>
      </c>
      <c r="Q12">
        <f>N12+O12</f>
        <v/>
      </c>
      <c r="R12">
        <f>100+P12</f>
        <v/>
      </c>
      <c r="S12">
        <f>R12-Q12</f>
        <v/>
      </c>
      <c r="T1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Direction",IF(OR(C12&lt;0,E12&lt;0,J12&lt;0,AND(LEN(L12)&gt;0,L12&lt;0)),"ERROR: Negative input",IF(C12&lt;E12,"ERROR: Big SELL must be &gt;= Small BUY",IF(AND(LEN(L12)&gt;0,L12&gt;G12),"ERROR: ManualClose exceeds remaining Start position",IF(OR(N12&lt;0,Q12&lt;0,R12&lt;0),"ERROR: Negative totals",IF(Q12&gt;R12,"ERROR: Rounding broke protection balance",IF(S12&gt;Settings!$B$8,"WARNING: Skew exceeds recommended limit","OK")))))))))))</f>
        <v/>
      </c>
      <c r="U12">
        <f>IF(LEFT(T12,5)="ERROR","Check input/risk","")</f>
        <v/>
      </c>
      <c r="V12">
        <f>Settings!$B$2*C12/100</f>
        <v/>
      </c>
      <c r="W12">
        <f>IF(Settings!$B$9,FLOOR(V12,Settings!$B$5),V12)</f>
        <v/>
      </c>
      <c r="X12">
        <f>Settings!$B$2*E12/100</f>
        <v/>
      </c>
      <c r="Y12">
        <f>IF(Settings!$B$9,CEILING(X12,Settings!$B$5),X12)</f>
        <v/>
      </c>
      <c r="Z12">
        <f>Settings!$B$2*M12/100</f>
        <v/>
      </c>
      <c r="AA12">
        <f>IF(Settings!$B$17,MIN(Settings!$B$2*G12/100,IF(Settings!$B$9,CEILING(MAX(0,V12+Settings!$B$2*G12/100-X12-Settings!$B$2*J12/100),Settings!$B$5),MAX(0,V12+Settings!$B$2*G12/100-X12-Settings!$B$2*J12/100))),IF(Settings!$B$9,MROUND(Z12,Settings!$B$5),Z12))</f>
        <v/>
      </c>
      <c r="AB12">
        <f>IF(LEFT(T12,5)="ERROR","ERROR",IF(AND(Settings!$B$17,ABS(AA12-Z12)&gt;1E-9),"FIXED",IF(ABS(S12)&lt;=Settings!$B$7,"SAFE","WARNING")))</f>
        <v/>
      </c>
      <c r="AC12">
        <f>IF(AB12="FIXED","Close adjusted by SAFE mode",IF(AB12="SAFE","BUY/SELL balance preserved",IF(AB12="WARNING","Near protection boundary","Protection broken")))</f>
        <v/>
      </c>
    </row>
    <row r="13">
      <c r="A13" t="n">
        <v>11</v>
      </c>
      <c r="B13">
        <f>A13*Settings!$B$3</f>
        <v/>
      </c>
      <c r="C13">
        <f>IF(A13&lt;=Settings!$B$4,IFERROR(XLOOKUP(A13,LevelRange,BigPercentRange),0),0)</f>
        <v/>
      </c>
      <c r="D13">
        <f>W13</f>
        <v/>
      </c>
      <c r="E13">
        <f>IF(A13&lt;=Settings!$B$4,IFERROR(XLOOKUP(A13,LevelRange,SmallPercentRange),0),0)</f>
        <v/>
      </c>
      <c r="F13">
        <f>Y13</f>
        <v/>
      </c>
      <c r="G13">
        <f>N12</f>
        <v/>
      </c>
      <c r="H13">
        <f>G13+SUM($C$3:C13)</f>
        <v/>
      </c>
      <c r="I13">
        <f>100+SUM($E$3:E13)</f>
        <v/>
      </c>
      <c r="J13">
        <f>IF(A13&lt;=Settings!$B$4,IFERROR(XLOOKUP(A13,LevelRange,TargetSkewRange),0),0)</f>
        <v/>
      </c>
      <c r="K13">
        <f>MIN(G13,MAX(0,H13-I13+J13))</f>
        <v/>
      </c>
      <c r="L13">
        <f>IF(A13&lt;=Settings!$B$4,IFERROR(XLOOKUP(A13,LevelRange,ManualCloseRange),""),"")</f>
        <v/>
      </c>
      <c r="M13">
        <f>MIN(G13,AA13/Settings!$B$2*100)</f>
        <v/>
      </c>
      <c r="N13">
        <f>G13-M13</f>
        <v/>
      </c>
      <c r="O13">
        <f>SUM($C$3:C13)</f>
        <v/>
      </c>
      <c r="P13">
        <f>SUM($E$3:E13)</f>
        <v/>
      </c>
      <c r="Q13">
        <f>N13+O13</f>
        <v/>
      </c>
      <c r="R13">
        <f>100+P13</f>
        <v/>
      </c>
      <c r="S13">
        <f>R13-Q13</f>
        <v/>
      </c>
      <c r="T1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Direction",IF(OR(C13&lt;0,E13&lt;0,J13&lt;0,AND(LEN(L13)&gt;0,L13&lt;0)),"ERROR: Negative input",IF(C13&lt;E13,"ERROR: Big SELL must be &gt;= Small BUY",IF(AND(LEN(L13)&gt;0,L13&gt;G13),"ERROR: ManualClose exceeds remaining Start position",IF(OR(N13&lt;0,Q13&lt;0,R13&lt;0),"ERROR: Negative totals",IF(Q13&gt;R13,"ERROR: Rounding broke protection balance",IF(S13&gt;Settings!$B$8,"WARNING: Skew exceeds recommended limit","OK")))))))))))</f>
        <v/>
      </c>
      <c r="U13">
        <f>IF(LEFT(T13,5)="ERROR","Check input/risk","")</f>
        <v/>
      </c>
      <c r="V13">
        <f>Settings!$B$2*C13/100</f>
        <v/>
      </c>
      <c r="W13">
        <f>IF(Settings!$B$9,FLOOR(V13,Settings!$B$5),V13)</f>
        <v/>
      </c>
      <c r="X13">
        <f>Settings!$B$2*E13/100</f>
        <v/>
      </c>
      <c r="Y13">
        <f>IF(Settings!$B$9,CEILING(X13,Settings!$B$5),X13)</f>
        <v/>
      </c>
      <c r="Z13">
        <f>Settings!$B$2*M13/100</f>
        <v/>
      </c>
      <c r="AA13">
        <f>IF(Settings!$B$17,MIN(Settings!$B$2*G13/100,IF(Settings!$B$9,CEILING(MAX(0,V13+Settings!$B$2*G13/100-X13-Settings!$B$2*J13/100),Settings!$B$5),MAX(0,V13+Settings!$B$2*G13/100-X13-Settings!$B$2*J13/100))),IF(Settings!$B$9,MROUND(Z13,Settings!$B$5),Z13))</f>
        <v/>
      </c>
      <c r="AB13">
        <f>IF(LEFT(T13,5)="ERROR","ERROR",IF(AND(Settings!$B$17,ABS(AA13-Z13)&gt;1E-9),"FIXED",IF(ABS(S13)&lt;=Settings!$B$7,"SAFE","WARNING")))</f>
        <v/>
      </c>
      <c r="AC13">
        <f>IF(AB13="FIXED","Close adjusted by SAFE mode",IF(AB13="SAFE","BUY/SELL balance preserved",IF(AB13="WARNING","Near protection boundary","Protection broken")))</f>
        <v/>
      </c>
    </row>
    <row r="14">
      <c r="A14" t="n">
        <v>12</v>
      </c>
      <c r="B14">
        <f>A14*Settings!$B$3</f>
        <v/>
      </c>
      <c r="C14">
        <f>IF(A14&lt;=Settings!$B$4,IFERROR(XLOOKUP(A14,LevelRange,BigPercentRange),0),0)</f>
        <v/>
      </c>
      <c r="D14">
        <f>W14</f>
        <v/>
      </c>
      <c r="E14">
        <f>IF(A14&lt;=Settings!$B$4,IFERROR(XLOOKUP(A14,LevelRange,SmallPercentRange),0),0)</f>
        <v/>
      </c>
      <c r="F14">
        <f>Y14</f>
        <v/>
      </c>
      <c r="G14">
        <f>N13</f>
        <v/>
      </c>
      <c r="H14">
        <f>G14+SUM($C$3:C14)</f>
        <v/>
      </c>
      <c r="I14">
        <f>100+SUM($E$3:E14)</f>
        <v/>
      </c>
      <c r="J14">
        <f>IF(A14&lt;=Settings!$B$4,IFERROR(XLOOKUP(A14,LevelRange,TargetSkewRange),0),0)</f>
        <v/>
      </c>
      <c r="K14">
        <f>MIN(G14,MAX(0,H14-I14+J14))</f>
        <v/>
      </c>
      <c r="L14">
        <f>IF(A14&lt;=Settings!$B$4,IFERROR(XLOOKUP(A14,LevelRange,ManualCloseRange),""),"")</f>
        <v/>
      </c>
      <c r="M14">
        <f>MIN(G14,AA14/Settings!$B$2*100)</f>
        <v/>
      </c>
      <c r="N14">
        <f>G14-M14</f>
        <v/>
      </c>
      <c r="O14">
        <f>SUM($C$3:C14)</f>
        <v/>
      </c>
      <c r="P14">
        <f>SUM($E$3:E14)</f>
        <v/>
      </c>
      <c r="Q14">
        <f>N14+O14</f>
        <v/>
      </c>
      <c r="R14">
        <f>100+P14</f>
        <v/>
      </c>
      <c r="S14">
        <f>R14-Q14</f>
        <v/>
      </c>
      <c r="T1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Direction",IF(OR(C14&lt;0,E14&lt;0,J14&lt;0,AND(LEN(L14)&gt;0,L14&lt;0)),"ERROR: Negative input",IF(C14&lt;E14,"ERROR: Big SELL must be &gt;= Small BUY",IF(AND(LEN(L14)&gt;0,L14&gt;G14),"ERROR: ManualClose exceeds remaining Start position",IF(OR(N14&lt;0,Q14&lt;0,R14&lt;0),"ERROR: Negative totals",IF(Q14&gt;R14,"ERROR: Rounding broke protection balance",IF(S14&gt;Settings!$B$8,"WARNING: Skew exceeds recommended limit","OK")))))))))))</f>
        <v/>
      </c>
      <c r="U14">
        <f>IF(LEFT(T14,5)="ERROR","Check input/risk","")</f>
        <v/>
      </c>
      <c r="V14">
        <f>Settings!$B$2*C14/100</f>
        <v/>
      </c>
      <c r="W14">
        <f>IF(Settings!$B$9,FLOOR(V14,Settings!$B$5),V14)</f>
        <v/>
      </c>
      <c r="X14">
        <f>Settings!$B$2*E14/100</f>
        <v/>
      </c>
      <c r="Y14">
        <f>IF(Settings!$B$9,CEILING(X14,Settings!$B$5),X14)</f>
        <v/>
      </c>
      <c r="Z14">
        <f>Settings!$B$2*M14/100</f>
        <v/>
      </c>
      <c r="AA14">
        <f>IF(Settings!$B$17,MIN(Settings!$B$2*G14/100,IF(Settings!$B$9,CEILING(MAX(0,V14+Settings!$B$2*G14/100-X14-Settings!$B$2*J14/100),Settings!$B$5),MAX(0,V14+Settings!$B$2*G14/100-X14-Settings!$B$2*J14/100))),IF(Settings!$B$9,MROUND(Z14,Settings!$B$5),Z14))</f>
        <v/>
      </c>
      <c r="AB14">
        <f>IF(LEFT(T14,5)="ERROR","ERROR",IF(AND(Settings!$B$17,ABS(AA14-Z14)&gt;1E-9),"FIXED",IF(ABS(S14)&lt;=Settings!$B$7,"SAFE","WARNING")))</f>
        <v/>
      </c>
      <c r="AC14">
        <f>IF(AB14="FIXED","Close adjusted by SAFE mode",IF(AB14="SAFE","BUY/SELL balance preserved",IF(AB14="WARNING","Near protection boundary","Protection broken")))</f>
        <v/>
      </c>
    </row>
    <row r="15">
      <c r="A15" t="n">
        <v>13</v>
      </c>
      <c r="B15">
        <f>A15*Settings!$B$3</f>
        <v/>
      </c>
      <c r="C15">
        <f>IF(A15&lt;=Settings!$B$4,IFERROR(XLOOKUP(A15,LevelRange,BigPercentRange),0),0)</f>
        <v/>
      </c>
      <c r="D15">
        <f>W15</f>
        <v/>
      </c>
      <c r="E15">
        <f>IF(A15&lt;=Settings!$B$4,IFERROR(XLOOKUP(A15,LevelRange,SmallPercentRange),0),0)</f>
        <v/>
      </c>
      <c r="F15">
        <f>Y15</f>
        <v/>
      </c>
      <c r="G15">
        <f>N14</f>
        <v/>
      </c>
      <c r="H15">
        <f>G15+SUM($C$3:C15)</f>
        <v/>
      </c>
      <c r="I15">
        <f>100+SUM($E$3:E15)</f>
        <v/>
      </c>
      <c r="J15">
        <f>IF(A15&lt;=Settings!$B$4,IFERROR(XLOOKUP(A15,LevelRange,TargetSkewRange),0),0)</f>
        <v/>
      </c>
      <c r="K15">
        <f>MIN(G15,MAX(0,H15-I15+J15))</f>
        <v/>
      </c>
      <c r="L15">
        <f>IF(A15&lt;=Settings!$B$4,IFERROR(XLOOKUP(A15,LevelRange,ManualCloseRange),""),"")</f>
        <v/>
      </c>
      <c r="M15">
        <f>MIN(G15,AA15/Settings!$B$2*100)</f>
        <v/>
      </c>
      <c r="N15">
        <f>G15-M15</f>
        <v/>
      </c>
      <c r="O15">
        <f>SUM($C$3:C15)</f>
        <v/>
      </c>
      <c r="P15">
        <f>SUM($E$3:E15)</f>
        <v/>
      </c>
      <c r="Q15">
        <f>N15+O15</f>
        <v/>
      </c>
      <c r="R15">
        <f>100+P15</f>
        <v/>
      </c>
      <c r="S15">
        <f>R15-Q15</f>
        <v/>
      </c>
      <c r="T1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Direction",IF(OR(C15&lt;0,E15&lt;0,J15&lt;0,AND(LEN(L15)&gt;0,L15&lt;0)),"ERROR: Negative input",IF(C15&lt;E15,"ERROR: Big SELL must be &gt;= Small BUY",IF(AND(LEN(L15)&gt;0,L15&gt;G15),"ERROR: ManualClose exceeds remaining Start position",IF(OR(N15&lt;0,Q15&lt;0,R15&lt;0),"ERROR: Negative totals",IF(Q15&gt;R15,"ERROR: Rounding broke protection balance",IF(S15&gt;Settings!$B$8,"WARNING: Skew exceeds recommended limit","OK")))))))))))</f>
        <v/>
      </c>
      <c r="U15">
        <f>IF(LEFT(T15,5)="ERROR","Check input/risk","")</f>
        <v/>
      </c>
      <c r="V15">
        <f>Settings!$B$2*C15/100</f>
        <v/>
      </c>
      <c r="W15">
        <f>IF(Settings!$B$9,FLOOR(V15,Settings!$B$5),V15)</f>
        <v/>
      </c>
      <c r="X15">
        <f>Settings!$B$2*E15/100</f>
        <v/>
      </c>
      <c r="Y15">
        <f>IF(Settings!$B$9,CEILING(X15,Settings!$B$5),X15)</f>
        <v/>
      </c>
      <c r="Z15">
        <f>Settings!$B$2*M15/100</f>
        <v/>
      </c>
      <c r="AA15">
        <f>IF(Settings!$B$17,MIN(Settings!$B$2*G15/100,IF(Settings!$B$9,CEILING(MAX(0,V15+Settings!$B$2*G15/100-X15-Settings!$B$2*J15/100),Settings!$B$5),MAX(0,V15+Settings!$B$2*G15/100-X15-Settings!$B$2*J15/100))),IF(Settings!$B$9,MROUND(Z15,Settings!$B$5),Z15))</f>
        <v/>
      </c>
      <c r="AB15">
        <f>IF(LEFT(T15,5)="ERROR","ERROR",IF(AND(Settings!$B$17,ABS(AA15-Z15)&gt;1E-9),"FIXED",IF(ABS(S15)&lt;=Settings!$B$7,"SAFE","WARNING")))</f>
        <v/>
      </c>
      <c r="AC15">
        <f>IF(AB15="FIXED","Close adjusted by SAFE mode",IF(AB15="SAFE","BUY/SELL balance preserved",IF(AB15="WARNING","Near protection boundary","Protection broken")))</f>
        <v/>
      </c>
    </row>
    <row r="16">
      <c r="A16" t="n">
        <v>14</v>
      </c>
      <c r="B16">
        <f>A16*Settings!$B$3</f>
        <v/>
      </c>
      <c r="C16">
        <f>IF(A16&lt;=Settings!$B$4,IFERROR(XLOOKUP(A16,LevelRange,BigPercentRange),0),0)</f>
        <v/>
      </c>
      <c r="D16">
        <f>W16</f>
        <v/>
      </c>
      <c r="E16">
        <f>IF(A16&lt;=Settings!$B$4,IFERROR(XLOOKUP(A16,LevelRange,SmallPercentRange),0),0)</f>
        <v/>
      </c>
      <c r="F16">
        <f>Y16</f>
        <v/>
      </c>
      <c r="G16">
        <f>N15</f>
        <v/>
      </c>
      <c r="H16">
        <f>G16+SUM($C$3:C16)</f>
        <v/>
      </c>
      <c r="I16">
        <f>100+SUM($E$3:E16)</f>
        <v/>
      </c>
      <c r="J16">
        <f>IF(A16&lt;=Settings!$B$4,IFERROR(XLOOKUP(A16,LevelRange,TargetSkewRange),0),0)</f>
        <v/>
      </c>
      <c r="K16">
        <f>MIN(G16,MAX(0,H16-I16+J16))</f>
        <v/>
      </c>
      <c r="L16">
        <f>IF(A16&lt;=Settings!$B$4,IFERROR(XLOOKUP(A16,LevelRange,ManualCloseRange),""),"")</f>
        <v/>
      </c>
      <c r="M16">
        <f>MIN(G16,AA16/Settings!$B$2*100)</f>
        <v/>
      </c>
      <c r="N16">
        <f>G16-M16</f>
        <v/>
      </c>
      <c r="O16">
        <f>SUM($C$3:C16)</f>
        <v/>
      </c>
      <c r="P16">
        <f>SUM($E$3:E16)</f>
        <v/>
      </c>
      <c r="Q16">
        <f>N16+O16</f>
        <v/>
      </c>
      <c r="R16">
        <f>100+P16</f>
        <v/>
      </c>
      <c r="S16">
        <f>R16-Q16</f>
        <v/>
      </c>
      <c r="T1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Direction",IF(OR(C16&lt;0,E16&lt;0,J16&lt;0,AND(LEN(L16)&gt;0,L16&lt;0)),"ERROR: Negative input",IF(C16&lt;E16,"ERROR: Big SELL must be &gt;= Small BUY",IF(AND(LEN(L16)&gt;0,L16&gt;G16),"ERROR: ManualClose exceeds remaining Start position",IF(OR(N16&lt;0,Q16&lt;0,R16&lt;0),"ERROR: Negative totals",IF(Q16&gt;R16,"ERROR: Rounding broke protection balance",IF(S16&gt;Settings!$B$8,"WARNING: Skew exceeds recommended limit","OK")))))))))))</f>
        <v/>
      </c>
      <c r="U16">
        <f>IF(LEFT(T16,5)="ERROR","Check input/risk","")</f>
        <v/>
      </c>
      <c r="V16">
        <f>Settings!$B$2*C16/100</f>
        <v/>
      </c>
      <c r="W16">
        <f>IF(Settings!$B$9,FLOOR(V16,Settings!$B$5),V16)</f>
        <v/>
      </c>
      <c r="X16">
        <f>Settings!$B$2*E16/100</f>
        <v/>
      </c>
      <c r="Y16">
        <f>IF(Settings!$B$9,CEILING(X16,Settings!$B$5),X16)</f>
        <v/>
      </c>
      <c r="Z16">
        <f>Settings!$B$2*M16/100</f>
        <v/>
      </c>
      <c r="AA16">
        <f>IF(Settings!$B$17,MIN(Settings!$B$2*G16/100,IF(Settings!$B$9,CEILING(MAX(0,V16+Settings!$B$2*G16/100-X16-Settings!$B$2*J16/100),Settings!$B$5),MAX(0,V16+Settings!$B$2*G16/100-X16-Settings!$B$2*J16/100))),IF(Settings!$B$9,MROUND(Z16,Settings!$B$5),Z16))</f>
        <v/>
      </c>
      <c r="AB16">
        <f>IF(LEFT(T16,5)="ERROR","ERROR",IF(AND(Settings!$B$17,ABS(AA16-Z16)&gt;1E-9),"FIXED",IF(ABS(S16)&lt;=Settings!$B$7,"SAFE","WARNING")))</f>
        <v/>
      </c>
      <c r="AC16">
        <f>IF(AB16="FIXED","Close adjusted by SAFE mode",IF(AB16="SAFE","BUY/SELL balance preserved",IF(AB16="WARNING","Near protection boundary","Protection broken")))</f>
        <v/>
      </c>
    </row>
    <row r="17">
      <c r="A17" t="n">
        <v>15</v>
      </c>
      <c r="B17">
        <f>A17*Settings!$B$3</f>
        <v/>
      </c>
      <c r="C17">
        <f>IF(A17&lt;=Settings!$B$4,IFERROR(XLOOKUP(A17,LevelRange,BigPercentRange),0),0)</f>
        <v/>
      </c>
      <c r="D17">
        <f>W17</f>
        <v/>
      </c>
      <c r="E17">
        <f>IF(A17&lt;=Settings!$B$4,IFERROR(XLOOKUP(A17,LevelRange,SmallPercentRange),0),0)</f>
        <v/>
      </c>
      <c r="F17">
        <f>Y17</f>
        <v/>
      </c>
      <c r="G17">
        <f>N16</f>
        <v/>
      </c>
      <c r="H17">
        <f>G17+SUM($C$3:C17)</f>
        <v/>
      </c>
      <c r="I17">
        <f>100+SUM($E$3:E17)</f>
        <v/>
      </c>
      <c r="J17">
        <f>IF(A17&lt;=Settings!$B$4,IFERROR(XLOOKUP(A17,LevelRange,TargetSkewRange),0),0)</f>
        <v/>
      </c>
      <c r="K17">
        <f>MIN(G17,MAX(0,H17-I17+J17))</f>
        <v/>
      </c>
      <c r="L17">
        <f>IF(A17&lt;=Settings!$B$4,IFERROR(XLOOKUP(A17,LevelRange,ManualCloseRange),""),"")</f>
        <v/>
      </c>
      <c r="M17">
        <f>MIN(G17,AA17/Settings!$B$2*100)</f>
        <v/>
      </c>
      <c r="N17">
        <f>G17-M17</f>
        <v/>
      </c>
      <c r="O17">
        <f>SUM($C$3:C17)</f>
        <v/>
      </c>
      <c r="P17">
        <f>SUM($E$3:E17)</f>
        <v/>
      </c>
      <c r="Q17">
        <f>N17+O17</f>
        <v/>
      </c>
      <c r="R17">
        <f>100+P17</f>
        <v/>
      </c>
      <c r="S17">
        <f>R17-Q17</f>
        <v/>
      </c>
      <c r="T1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Direction",IF(OR(C17&lt;0,E17&lt;0,J17&lt;0,AND(LEN(L17)&gt;0,L17&lt;0)),"ERROR: Negative input",IF(C17&lt;E17,"ERROR: Big SELL must be &gt;= Small BUY",IF(AND(LEN(L17)&gt;0,L17&gt;G17),"ERROR: ManualClose exceeds remaining Start position",IF(OR(N17&lt;0,Q17&lt;0,R17&lt;0),"ERROR: Negative totals",IF(Q17&gt;R17,"ERROR: Rounding broke protection balance",IF(S17&gt;Settings!$B$8,"WARNING: Skew exceeds recommended limit","OK")))))))))))</f>
        <v/>
      </c>
      <c r="U17">
        <f>IF(LEFT(T17,5)="ERROR","Check input/risk","")</f>
        <v/>
      </c>
      <c r="V17">
        <f>Settings!$B$2*C17/100</f>
        <v/>
      </c>
      <c r="W17">
        <f>IF(Settings!$B$9,FLOOR(V17,Settings!$B$5),V17)</f>
        <v/>
      </c>
      <c r="X17">
        <f>Settings!$B$2*E17/100</f>
        <v/>
      </c>
      <c r="Y17">
        <f>IF(Settings!$B$9,CEILING(X17,Settings!$B$5),X17)</f>
        <v/>
      </c>
      <c r="Z17">
        <f>Settings!$B$2*M17/100</f>
        <v/>
      </c>
      <c r="AA17">
        <f>IF(Settings!$B$17,MIN(Settings!$B$2*G17/100,IF(Settings!$B$9,CEILING(MAX(0,V17+Settings!$B$2*G17/100-X17-Settings!$B$2*J17/100),Settings!$B$5),MAX(0,V17+Settings!$B$2*G17/100-X17-Settings!$B$2*J17/100))),IF(Settings!$B$9,MROUND(Z17,Settings!$B$5),Z17))</f>
        <v/>
      </c>
      <c r="AB17">
        <f>IF(LEFT(T17,5)="ERROR","ERROR",IF(AND(Settings!$B$17,ABS(AA17-Z17)&gt;1E-9),"FIXED",IF(ABS(S17)&lt;=Settings!$B$7,"SAFE","WARNING")))</f>
        <v/>
      </c>
      <c r="AC17">
        <f>IF(AB17="FIXED","Close adjusted by SAFE mode",IF(AB17="SAFE","BUY/SELL balance preserved",IF(AB17="WARNING","Near protection boundary","Protection broken")))</f>
        <v/>
      </c>
    </row>
    <row r="18">
      <c r="A18" t="n">
        <v>16</v>
      </c>
      <c r="B18">
        <f>A18*Settings!$B$3</f>
        <v/>
      </c>
      <c r="C18">
        <f>IF(A18&lt;=Settings!$B$4,IFERROR(XLOOKUP(A18,LevelRange,BigPercentRange),0),0)</f>
        <v/>
      </c>
      <c r="D18">
        <f>W18</f>
        <v/>
      </c>
      <c r="E18">
        <f>IF(A18&lt;=Settings!$B$4,IFERROR(XLOOKUP(A18,LevelRange,SmallPercentRange),0),0)</f>
        <v/>
      </c>
      <c r="F18">
        <f>Y18</f>
        <v/>
      </c>
      <c r="G18">
        <f>N17</f>
        <v/>
      </c>
      <c r="H18">
        <f>G18+SUM($C$3:C18)</f>
        <v/>
      </c>
      <c r="I18">
        <f>100+SUM($E$3:E18)</f>
        <v/>
      </c>
      <c r="J18">
        <f>IF(A18&lt;=Settings!$B$4,IFERROR(XLOOKUP(A18,LevelRange,TargetSkewRange),0),0)</f>
        <v/>
      </c>
      <c r="K18">
        <f>MIN(G18,MAX(0,H18-I18+J18))</f>
        <v/>
      </c>
      <c r="L18">
        <f>IF(A18&lt;=Settings!$B$4,IFERROR(XLOOKUP(A18,LevelRange,ManualCloseRange),""),"")</f>
        <v/>
      </c>
      <c r="M18">
        <f>MIN(G18,AA18/Settings!$B$2*100)</f>
        <v/>
      </c>
      <c r="N18">
        <f>G18-M18</f>
        <v/>
      </c>
      <c r="O18">
        <f>SUM($C$3:C18)</f>
        <v/>
      </c>
      <c r="P18">
        <f>SUM($E$3:E18)</f>
        <v/>
      </c>
      <c r="Q18">
        <f>N18+O18</f>
        <v/>
      </c>
      <c r="R18">
        <f>100+P18</f>
        <v/>
      </c>
      <c r="S18">
        <f>R18-Q18</f>
        <v/>
      </c>
      <c r="T1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Direction",IF(OR(C18&lt;0,E18&lt;0,J18&lt;0,AND(LEN(L18)&gt;0,L18&lt;0)),"ERROR: Negative input",IF(C18&lt;E18,"ERROR: Big SELL must be &gt;= Small BUY",IF(AND(LEN(L18)&gt;0,L18&gt;G18),"ERROR: ManualClose exceeds remaining Start position",IF(OR(N18&lt;0,Q18&lt;0,R18&lt;0),"ERROR: Negative totals",IF(Q18&gt;R18,"ERROR: Rounding broke protection balance",IF(S18&gt;Settings!$B$8,"WARNING: Skew exceeds recommended limit","OK")))))))))))</f>
        <v/>
      </c>
      <c r="U18">
        <f>IF(LEFT(T18,5)="ERROR","Check input/risk","")</f>
        <v/>
      </c>
      <c r="V18">
        <f>Settings!$B$2*C18/100</f>
        <v/>
      </c>
      <c r="W18">
        <f>IF(Settings!$B$9,FLOOR(V18,Settings!$B$5),V18)</f>
        <v/>
      </c>
      <c r="X18">
        <f>Settings!$B$2*E18/100</f>
        <v/>
      </c>
      <c r="Y18">
        <f>IF(Settings!$B$9,CEILING(X18,Settings!$B$5),X18)</f>
        <v/>
      </c>
      <c r="Z18">
        <f>Settings!$B$2*M18/100</f>
        <v/>
      </c>
      <c r="AA18">
        <f>IF(Settings!$B$17,MIN(Settings!$B$2*G18/100,IF(Settings!$B$9,CEILING(MAX(0,V18+Settings!$B$2*G18/100-X18-Settings!$B$2*J18/100),Settings!$B$5),MAX(0,V18+Settings!$B$2*G18/100-X18-Settings!$B$2*J18/100))),IF(Settings!$B$9,MROUND(Z18,Settings!$B$5),Z18))</f>
        <v/>
      </c>
      <c r="AB18">
        <f>IF(LEFT(T18,5)="ERROR","ERROR",IF(AND(Settings!$B$17,ABS(AA18-Z18)&gt;1E-9),"FIXED",IF(ABS(S18)&lt;=Settings!$B$7,"SAFE","WARNING")))</f>
        <v/>
      </c>
      <c r="AC18">
        <f>IF(AB18="FIXED","Close adjusted by SAFE mode",IF(AB18="SAFE","BUY/SELL balance preserved",IF(AB18="WARNING","Near protection boundary","Protection broken")))</f>
        <v/>
      </c>
    </row>
    <row r="19">
      <c r="A19" t="n">
        <v>17</v>
      </c>
      <c r="B19">
        <f>A19*Settings!$B$3</f>
        <v/>
      </c>
      <c r="C19">
        <f>IF(A19&lt;=Settings!$B$4,IFERROR(XLOOKUP(A19,LevelRange,BigPercentRange),0),0)</f>
        <v/>
      </c>
      <c r="D19">
        <f>W19</f>
        <v/>
      </c>
      <c r="E19">
        <f>IF(A19&lt;=Settings!$B$4,IFERROR(XLOOKUP(A19,LevelRange,SmallPercentRange),0),0)</f>
        <v/>
      </c>
      <c r="F19">
        <f>Y19</f>
        <v/>
      </c>
      <c r="G19">
        <f>N18</f>
        <v/>
      </c>
      <c r="H19">
        <f>G19+SUM($C$3:C19)</f>
        <v/>
      </c>
      <c r="I19">
        <f>100+SUM($E$3:E19)</f>
        <v/>
      </c>
      <c r="J19">
        <f>IF(A19&lt;=Settings!$B$4,IFERROR(XLOOKUP(A19,LevelRange,TargetSkewRange),0),0)</f>
        <v/>
      </c>
      <c r="K19">
        <f>MIN(G19,MAX(0,H19-I19+J19))</f>
        <v/>
      </c>
      <c r="L19">
        <f>IF(A19&lt;=Settings!$B$4,IFERROR(XLOOKUP(A19,LevelRange,ManualCloseRange),""),"")</f>
        <v/>
      </c>
      <c r="M19">
        <f>MIN(G19,AA19/Settings!$B$2*100)</f>
        <v/>
      </c>
      <c r="N19">
        <f>G19-M19</f>
        <v/>
      </c>
      <c r="O19">
        <f>SUM($C$3:C19)</f>
        <v/>
      </c>
      <c r="P19">
        <f>SUM($E$3:E19)</f>
        <v/>
      </c>
      <c r="Q19">
        <f>N19+O19</f>
        <v/>
      </c>
      <c r="R19">
        <f>100+P19</f>
        <v/>
      </c>
      <c r="S19">
        <f>R19-Q19</f>
        <v/>
      </c>
      <c r="T1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Direction",IF(OR(C19&lt;0,E19&lt;0,J19&lt;0,AND(LEN(L19)&gt;0,L19&lt;0)),"ERROR: Negative input",IF(C19&lt;E19,"ERROR: Big SELL must be &gt;= Small BUY",IF(AND(LEN(L19)&gt;0,L19&gt;G19),"ERROR: ManualClose exceeds remaining Start position",IF(OR(N19&lt;0,Q19&lt;0,R19&lt;0),"ERROR: Negative totals",IF(Q19&gt;R19,"ERROR: Rounding broke protection balance",IF(S19&gt;Settings!$B$8,"WARNING: Skew exceeds recommended limit","OK")))))))))))</f>
        <v/>
      </c>
      <c r="U19">
        <f>IF(LEFT(T19,5)="ERROR","Check input/risk","")</f>
        <v/>
      </c>
      <c r="V19">
        <f>Settings!$B$2*C19/100</f>
        <v/>
      </c>
      <c r="W19">
        <f>IF(Settings!$B$9,FLOOR(V19,Settings!$B$5),V19)</f>
        <v/>
      </c>
      <c r="X19">
        <f>Settings!$B$2*E19/100</f>
        <v/>
      </c>
      <c r="Y19">
        <f>IF(Settings!$B$9,CEILING(X19,Settings!$B$5),X19)</f>
        <v/>
      </c>
      <c r="Z19">
        <f>Settings!$B$2*M19/100</f>
        <v/>
      </c>
      <c r="AA19">
        <f>IF(Settings!$B$17,MIN(Settings!$B$2*G19/100,IF(Settings!$B$9,CEILING(MAX(0,V19+Settings!$B$2*G19/100-X19-Settings!$B$2*J19/100),Settings!$B$5),MAX(0,V19+Settings!$B$2*G19/100-X19-Settings!$B$2*J19/100))),IF(Settings!$B$9,MROUND(Z19,Settings!$B$5),Z19))</f>
        <v/>
      </c>
      <c r="AB19">
        <f>IF(LEFT(T19,5)="ERROR","ERROR",IF(AND(Settings!$B$17,ABS(AA19-Z19)&gt;1E-9),"FIXED",IF(ABS(S19)&lt;=Settings!$B$7,"SAFE","WARNING")))</f>
        <v/>
      </c>
      <c r="AC19">
        <f>IF(AB19="FIXED","Close adjusted by SAFE mode",IF(AB19="SAFE","BUY/SELL balance preserved",IF(AB19="WARNING","Near protection boundary","Protection broken")))</f>
        <v/>
      </c>
    </row>
    <row r="20">
      <c r="A20" t="n">
        <v>18</v>
      </c>
      <c r="B20">
        <f>A20*Settings!$B$3</f>
        <v/>
      </c>
      <c r="C20">
        <f>IF(A20&lt;=Settings!$B$4,IFERROR(XLOOKUP(A20,LevelRange,BigPercentRange),0),0)</f>
        <v/>
      </c>
      <c r="D20">
        <f>W20</f>
        <v/>
      </c>
      <c r="E20">
        <f>IF(A20&lt;=Settings!$B$4,IFERROR(XLOOKUP(A20,LevelRange,SmallPercentRange),0),0)</f>
        <v/>
      </c>
      <c r="F20">
        <f>Y20</f>
        <v/>
      </c>
      <c r="G20">
        <f>N19</f>
        <v/>
      </c>
      <c r="H20">
        <f>G20+SUM($C$3:C20)</f>
        <v/>
      </c>
      <c r="I20">
        <f>100+SUM($E$3:E20)</f>
        <v/>
      </c>
      <c r="J20">
        <f>IF(A20&lt;=Settings!$B$4,IFERROR(XLOOKUP(A20,LevelRange,TargetSkewRange),0),0)</f>
        <v/>
      </c>
      <c r="K20">
        <f>MIN(G20,MAX(0,H20-I20+J20))</f>
        <v/>
      </c>
      <c r="L20">
        <f>IF(A20&lt;=Settings!$B$4,IFERROR(XLOOKUP(A20,LevelRange,ManualCloseRange),""),"")</f>
        <v/>
      </c>
      <c r="M20">
        <f>MIN(G20,AA20/Settings!$B$2*100)</f>
        <v/>
      </c>
      <c r="N20">
        <f>G20-M20</f>
        <v/>
      </c>
      <c r="O20">
        <f>SUM($C$3:C20)</f>
        <v/>
      </c>
      <c r="P20">
        <f>SUM($E$3:E20)</f>
        <v/>
      </c>
      <c r="Q20">
        <f>N20+O20</f>
        <v/>
      </c>
      <c r="R20">
        <f>100+P20</f>
        <v/>
      </c>
      <c r="S20">
        <f>R20-Q20</f>
        <v/>
      </c>
      <c r="T2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Direction",IF(OR(C20&lt;0,E20&lt;0,J20&lt;0,AND(LEN(L20)&gt;0,L20&lt;0)),"ERROR: Negative input",IF(C20&lt;E20,"ERROR: Big SELL must be &gt;= Small BUY",IF(AND(LEN(L20)&gt;0,L20&gt;G20),"ERROR: ManualClose exceeds remaining Start position",IF(OR(N20&lt;0,Q20&lt;0,R20&lt;0),"ERROR: Negative totals",IF(Q20&gt;R20,"ERROR: Rounding broke protection balance",IF(S20&gt;Settings!$B$8,"WARNING: Skew exceeds recommended limit","OK")))))))))))</f>
        <v/>
      </c>
      <c r="U20">
        <f>IF(LEFT(T20,5)="ERROR","Check input/risk","")</f>
        <v/>
      </c>
      <c r="V20">
        <f>Settings!$B$2*C20/100</f>
        <v/>
      </c>
      <c r="W20">
        <f>IF(Settings!$B$9,FLOOR(V20,Settings!$B$5),V20)</f>
        <v/>
      </c>
      <c r="X20">
        <f>Settings!$B$2*E20/100</f>
        <v/>
      </c>
      <c r="Y20">
        <f>IF(Settings!$B$9,CEILING(X20,Settings!$B$5),X20)</f>
        <v/>
      </c>
      <c r="Z20">
        <f>Settings!$B$2*M20/100</f>
        <v/>
      </c>
      <c r="AA20">
        <f>IF(Settings!$B$17,MIN(Settings!$B$2*G20/100,IF(Settings!$B$9,CEILING(MAX(0,V20+Settings!$B$2*G20/100-X20-Settings!$B$2*J20/100),Settings!$B$5),MAX(0,V20+Settings!$B$2*G20/100-X20-Settings!$B$2*J20/100))),IF(Settings!$B$9,MROUND(Z20,Settings!$B$5),Z20))</f>
        <v/>
      </c>
      <c r="AB20">
        <f>IF(LEFT(T20,5)="ERROR","ERROR",IF(AND(Settings!$B$17,ABS(AA20-Z20)&gt;1E-9),"FIXED",IF(ABS(S20)&lt;=Settings!$B$7,"SAFE","WARNING")))</f>
        <v/>
      </c>
      <c r="AC20">
        <f>IF(AB20="FIXED","Close adjusted by SAFE mode",IF(AB20="SAFE","BUY/SELL balance preserved",IF(AB20="WARNING","Near protection boundary","Protection broken")))</f>
        <v/>
      </c>
    </row>
    <row r="21">
      <c r="A21" t="n">
        <v>19</v>
      </c>
      <c r="B21">
        <f>A21*Settings!$B$3</f>
        <v/>
      </c>
      <c r="C21">
        <f>IF(A21&lt;=Settings!$B$4,IFERROR(XLOOKUP(A21,LevelRange,BigPercentRange),0),0)</f>
        <v/>
      </c>
      <c r="D21">
        <f>W21</f>
        <v/>
      </c>
      <c r="E21">
        <f>IF(A21&lt;=Settings!$B$4,IFERROR(XLOOKUP(A21,LevelRange,SmallPercentRange),0),0)</f>
        <v/>
      </c>
      <c r="F21">
        <f>Y21</f>
        <v/>
      </c>
      <c r="G21">
        <f>N20</f>
        <v/>
      </c>
      <c r="H21">
        <f>G21+SUM($C$3:C21)</f>
        <v/>
      </c>
      <c r="I21">
        <f>100+SUM($E$3:E21)</f>
        <v/>
      </c>
      <c r="J21">
        <f>IF(A21&lt;=Settings!$B$4,IFERROR(XLOOKUP(A21,LevelRange,TargetSkewRange),0),0)</f>
        <v/>
      </c>
      <c r="K21">
        <f>MIN(G21,MAX(0,H21-I21+J21))</f>
        <v/>
      </c>
      <c r="L21">
        <f>IF(A21&lt;=Settings!$B$4,IFERROR(XLOOKUP(A21,LevelRange,ManualCloseRange),""),"")</f>
        <v/>
      </c>
      <c r="M21">
        <f>MIN(G21,AA21/Settings!$B$2*100)</f>
        <v/>
      </c>
      <c r="N21">
        <f>G21-M21</f>
        <v/>
      </c>
      <c r="O21">
        <f>SUM($C$3:C21)</f>
        <v/>
      </c>
      <c r="P21">
        <f>SUM($E$3:E21)</f>
        <v/>
      </c>
      <c r="Q21">
        <f>N21+O21</f>
        <v/>
      </c>
      <c r="R21">
        <f>100+P21</f>
        <v/>
      </c>
      <c r="S21">
        <f>R21-Q21</f>
        <v/>
      </c>
      <c r="T2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Direction",IF(OR(C21&lt;0,E21&lt;0,J21&lt;0,AND(LEN(L21)&gt;0,L21&lt;0)),"ERROR: Negative input",IF(C21&lt;E21,"ERROR: Big SELL must be &gt;= Small BUY",IF(AND(LEN(L21)&gt;0,L21&gt;G21),"ERROR: ManualClose exceeds remaining Start position",IF(OR(N21&lt;0,Q21&lt;0,R21&lt;0),"ERROR: Negative totals",IF(Q21&gt;R21,"ERROR: Rounding broke protection balance",IF(S21&gt;Settings!$B$8,"WARNING: Skew exceeds recommended limit","OK")))))))))))</f>
        <v/>
      </c>
      <c r="U21">
        <f>IF(LEFT(T21,5)="ERROR","Check input/risk","")</f>
        <v/>
      </c>
      <c r="V21">
        <f>Settings!$B$2*C21/100</f>
        <v/>
      </c>
      <c r="W21">
        <f>IF(Settings!$B$9,FLOOR(V21,Settings!$B$5),V21)</f>
        <v/>
      </c>
      <c r="X21">
        <f>Settings!$B$2*E21/100</f>
        <v/>
      </c>
      <c r="Y21">
        <f>IF(Settings!$B$9,CEILING(X21,Settings!$B$5),X21)</f>
        <v/>
      </c>
      <c r="Z21">
        <f>Settings!$B$2*M21/100</f>
        <v/>
      </c>
      <c r="AA21">
        <f>IF(Settings!$B$17,MIN(Settings!$B$2*G21/100,IF(Settings!$B$9,CEILING(MAX(0,V21+Settings!$B$2*G21/100-X21-Settings!$B$2*J21/100),Settings!$B$5),MAX(0,V21+Settings!$B$2*G21/100-X21-Settings!$B$2*J21/100))),IF(Settings!$B$9,MROUND(Z21,Settings!$B$5),Z21))</f>
        <v/>
      </c>
      <c r="AB21">
        <f>IF(LEFT(T21,5)="ERROR","ERROR",IF(AND(Settings!$B$17,ABS(AA21-Z21)&gt;1E-9),"FIXED",IF(ABS(S21)&lt;=Settings!$B$7,"SAFE","WARNING")))</f>
        <v/>
      </c>
      <c r="AC21">
        <f>IF(AB21="FIXED","Close adjusted by SAFE mode",IF(AB21="SAFE","BUY/SELL balance preserved",IF(AB21="WARNING","Near protection boundary","Protection broken")))</f>
        <v/>
      </c>
    </row>
    <row r="22">
      <c r="A22" t="n">
        <v>20</v>
      </c>
      <c r="B22">
        <f>A22*Settings!$B$3</f>
        <v/>
      </c>
      <c r="C22">
        <f>IF(A22&lt;=Settings!$B$4,IFERROR(XLOOKUP(A22,LevelRange,BigPercentRange),0),0)</f>
        <v/>
      </c>
      <c r="D22">
        <f>W22</f>
        <v/>
      </c>
      <c r="E22">
        <f>IF(A22&lt;=Settings!$B$4,IFERROR(XLOOKUP(A22,LevelRange,SmallPercentRange),0),0)</f>
        <v/>
      </c>
      <c r="F22">
        <f>Y22</f>
        <v/>
      </c>
      <c r="G22">
        <f>N21</f>
        <v/>
      </c>
      <c r="H22">
        <f>G22+SUM($C$3:C22)</f>
        <v/>
      </c>
      <c r="I22">
        <f>100+SUM($E$3:E22)</f>
        <v/>
      </c>
      <c r="J22">
        <f>IF(A22&lt;=Settings!$B$4,IFERROR(XLOOKUP(A22,LevelRange,TargetSkewRange),0),0)</f>
        <v/>
      </c>
      <c r="K22">
        <f>MIN(G22,MAX(0,H22-I22+J22))</f>
        <v/>
      </c>
      <c r="L22">
        <f>IF(A22&lt;=Settings!$B$4,IFERROR(XLOOKUP(A22,LevelRange,ManualCloseRange),""),"")</f>
        <v/>
      </c>
      <c r="M22">
        <f>MIN(G22,AA22/Settings!$B$2*100)</f>
        <v/>
      </c>
      <c r="N22">
        <f>G22-M22</f>
        <v/>
      </c>
      <c r="O22">
        <f>SUM($C$3:C22)</f>
        <v/>
      </c>
      <c r="P22">
        <f>SUM($E$3:E22)</f>
        <v/>
      </c>
      <c r="Q22">
        <f>N22+O22</f>
        <v/>
      </c>
      <c r="R22">
        <f>100+P22</f>
        <v/>
      </c>
      <c r="S22">
        <f>R22-Q22</f>
        <v/>
      </c>
      <c r="T2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Direction",IF(OR(C22&lt;0,E22&lt;0,J22&lt;0,AND(LEN(L22)&gt;0,L22&lt;0)),"ERROR: Negative input",IF(C22&lt;E22,"ERROR: Big SELL must be &gt;= Small BUY",IF(AND(LEN(L22)&gt;0,L22&gt;G22),"ERROR: ManualClose exceeds remaining Start position",IF(OR(N22&lt;0,Q22&lt;0,R22&lt;0),"ERROR: Negative totals",IF(Q22&gt;R22,"ERROR: Rounding broke protection balance",IF(S22&gt;Settings!$B$8,"WARNING: Skew exceeds recommended limit","OK")))))))))))</f>
        <v/>
      </c>
      <c r="U22">
        <f>IF(LEFT(T22,5)="ERROR","Check input/risk","")</f>
        <v/>
      </c>
      <c r="V22">
        <f>Settings!$B$2*C22/100</f>
        <v/>
      </c>
      <c r="W22">
        <f>IF(Settings!$B$9,FLOOR(V22,Settings!$B$5),V22)</f>
        <v/>
      </c>
      <c r="X22">
        <f>Settings!$B$2*E22/100</f>
        <v/>
      </c>
      <c r="Y22">
        <f>IF(Settings!$B$9,CEILING(X22,Settings!$B$5),X22)</f>
        <v/>
      </c>
      <c r="Z22">
        <f>Settings!$B$2*M22/100</f>
        <v/>
      </c>
      <c r="AA22">
        <f>IF(Settings!$B$17,MIN(Settings!$B$2*G22/100,IF(Settings!$B$9,CEILING(MAX(0,V22+Settings!$B$2*G22/100-X22-Settings!$B$2*J22/100),Settings!$B$5),MAX(0,V22+Settings!$B$2*G22/100-X22-Settings!$B$2*J22/100))),IF(Settings!$B$9,MROUND(Z22,Settings!$B$5),Z22))</f>
        <v/>
      </c>
      <c r="AB22">
        <f>IF(LEFT(T22,5)="ERROR","ERROR",IF(AND(Settings!$B$17,ABS(AA22-Z22)&gt;1E-9),"FIXED",IF(ABS(S22)&lt;=Settings!$B$7,"SAFE","WARNING")))</f>
        <v/>
      </c>
      <c r="AC22">
        <f>IF(AB22="FIXED","Close adjusted by SAFE mode",IF(AB22="SAFE","BUY/SELL balance preserved",IF(AB22="WARNING","Near protection boundary","Protection broken")))</f>
        <v/>
      </c>
    </row>
    <row r="23">
      <c r="A23" t="n">
        <v>21</v>
      </c>
      <c r="B23">
        <f>A23*Settings!$B$3</f>
        <v/>
      </c>
      <c r="C23">
        <f>IF(A23&lt;=Settings!$B$4,IFERROR(XLOOKUP(A23,LevelRange,BigPercentRange),0),0)</f>
        <v/>
      </c>
      <c r="D23">
        <f>W23</f>
        <v/>
      </c>
      <c r="E23">
        <f>IF(A23&lt;=Settings!$B$4,IFERROR(XLOOKUP(A23,LevelRange,SmallPercentRange),0),0)</f>
        <v/>
      </c>
      <c r="F23">
        <f>Y23</f>
        <v/>
      </c>
      <c r="G23">
        <f>N22</f>
        <v/>
      </c>
      <c r="H23">
        <f>G23+SUM($C$3:C23)</f>
        <v/>
      </c>
      <c r="I23">
        <f>100+SUM($E$3:E23)</f>
        <v/>
      </c>
      <c r="J23">
        <f>IF(A23&lt;=Settings!$B$4,IFERROR(XLOOKUP(A23,LevelRange,TargetSkewRange),0),0)</f>
        <v/>
      </c>
      <c r="K23">
        <f>MIN(G23,MAX(0,H23-I23+J23))</f>
        <v/>
      </c>
      <c r="L23">
        <f>IF(A23&lt;=Settings!$B$4,IFERROR(XLOOKUP(A23,LevelRange,ManualCloseRange),""),"")</f>
        <v/>
      </c>
      <c r="M23">
        <f>MIN(G23,AA23/Settings!$B$2*100)</f>
        <v/>
      </c>
      <c r="N23">
        <f>G23-M23</f>
        <v/>
      </c>
      <c r="O23">
        <f>SUM($C$3:C23)</f>
        <v/>
      </c>
      <c r="P23">
        <f>SUM($E$3:E23)</f>
        <v/>
      </c>
      <c r="Q23">
        <f>N23+O23</f>
        <v/>
      </c>
      <c r="R23">
        <f>100+P23</f>
        <v/>
      </c>
      <c r="S23">
        <f>R23-Q23</f>
        <v/>
      </c>
      <c r="T2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Direction",IF(OR(C23&lt;0,E23&lt;0,J23&lt;0,AND(LEN(L23)&gt;0,L23&lt;0)),"ERROR: Negative input",IF(C23&lt;E23,"ERROR: Big SELL must be &gt;= Small BUY",IF(AND(LEN(L23)&gt;0,L23&gt;G23),"ERROR: ManualClose exceeds remaining Start position",IF(OR(N23&lt;0,Q23&lt;0,R23&lt;0),"ERROR: Negative totals",IF(Q23&gt;R23,"ERROR: Rounding broke protection balance",IF(S23&gt;Settings!$B$8,"WARNING: Skew exceeds recommended limit","OK")))))))))))</f>
        <v/>
      </c>
      <c r="U23">
        <f>IF(LEFT(T23,5)="ERROR","Check input/risk","")</f>
        <v/>
      </c>
      <c r="V23">
        <f>Settings!$B$2*C23/100</f>
        <v/>
      </c>
      <c r="W23">
        <f>IF(Settings!$B$9,FLOOR(V23,Settings!$B$5),V23)</f>
        <v/>
      </c>
      <c r="X23">
        <f>Settings!$B$2*E23/100</f>
        <v/>
      </c>
      <c r="Y23">
        <f>IF(Settings!$B$9,CEILING(X23,Settings!$B$5),X23)</f>
        <v/>
      </c>
      <c r="Z23">
        <f>Settings!$B$2*M23/100</f>
        <v/>
      </c>
      <c r="AA23">
        <f>IF(Settings!$B$17,MIN(Settings!$B$2*G23/100,IF(Settings!$B$9,CEILING(MAX(0,V23+Settings!$B$2*G23/100-X23-Settings!$B$2*J23/100),Settings!$B$5),MAX(0,V23+Settings!$B$2*G23/100-X23-Settings!$B$2*J23/100))),IF(Settings!$B$9,MROUND(Z23,Settings!$B$5),Z23))</f>
        <v/>
      </c>
      <c r="AB23">
        <f>IF(LEFT(T23,5)="ERROR","ERROR",IF(AND(Settings!$B$17,ABS(AA23-Z23)&gt;1E-9),"FIXED",IF(ABS(S23)&lt;=Settings!$B$7,"SAFE","WARNING")))</f>
        <v/>
      </c>
      <c r="AC23">
        <f>IF(AB23="FIXED","Close adjusted by SAFE mode",IF(AB23="SAFE","BUY/SELL balance preserved",IF(AB23="WARNING","Near protection boundary","Protection broken")))</f>
        <v/>
      </c>
    </row>
    <row r="24">
      <c r="A24" t="n">
        <v>22</v>
      </c>
      <c r="B24">
        <f>A24*Settings!$B$3</f>
        <v/>
      </c>
      <c r="C24">
        <f>IF(A24&lt;=Settings!$B$4,IFERROR(XLOOKUP(A24,LevelRange,BigPercentRange),0),0)</f>
        <v/>
      </c>
      <c r="D24">
        <f>W24</f>
        <v/>
      </c>
      <c r="E24">
        <f>IF(A24&lt;=Settings!$B$4,IFERROR(XLOOKUP(A24,LevelRange,SmallPercentRange),0),0)</f>
        <v/>
      </c>
      <c r="F24">
        <f>Y24</f>
        <v/>
      </c>
      <c r="G24">
        <f>N23</f>
        <v/>
      </c>
      <c r="H24">
        <f>G24+SUM($C$3:C24)</f>
        <v/>
      </c>
      <c r="I24">
        <f>100+SUM($E$3:E24)</f>
        <v/>
      </c>
      <c r="J24">
        <f>IF(A24&lt;=Settings!$B$4,IFERROR(XLOOKUP(A24,LevelRange,TargetSkewRange),0),0)</f>
        <v/>
      </c>
      <c r="K24">
        <f>MIN(G24,MAX(0,H24-I24+J24))</f>
        <v/>
      </c>
      <c r="L24">
        <f>IF(A24&lt;=Settings!$B$4,IFERROR(XLOOKUP(A24,LevelRange,ManualCloseRange),""),"")</f>
        <v/>
      </c>
      <c r="M24">
        <f>MIN(G24,AA24/Settings!$B$2*100)</f>
        <v/>
      </c>
      <c r="N24">
        <f>G24-M24</f>
        <v/>
      </c>
      <c r="O24">
        <f>SUM($C$3:C24)</f>
        <v/>
      </c>
      <c r="P24">
        <f>SUM($E$3:E24)</f>
        <v/>
      </c>
      <c r="Q24">
        <f>N24+O24</f>
        <v/>
      </c>
      <c r="R24">
        <f>100+P24</f>
        <v/>
      </c>
      <c r="S24">
        <f>R24-Q24</f>
        <v/>
      </c>
      <c r="T2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Direction",IF(OR(C24&lt;0,E24&lt;0,J24&lt;0,AND(LEN(L24)&gt;0,L24&lt;0)),"ERROR: Negative input",IF(C24&lt;E24,"ERROR: Big SELL must be &gt;= Small BUY",IF(AND(LEN(L24)&gt;0,L24&gt;G24),"ERROR: ManualClose exceeds remaining Start position",IF(OR(N24&lt;0,Q24&lt;0,R24&lt;0),"ERROR: Negative totals",IF(Q24&gt;R24,"ERROR: Rounding broke protection balance",IF(S24&gt;Settings!$B$8,"WARNING: Skew exceeds recommended limit","OK")))))))))))</f>
        <v/>
      </c>
      <c r="U24">
        <f>IF(LEFT(T24,5)="ERROR","Check input/risk","")</f>
        <v/>
      </c>
      <c r="V24">
        <f>Settings!$B$2*C24/100</f>
        <v/>
      </c>
      <c r="W24">
        <f>IF(Settings!$B$9,FLOOR(V24,Settings!$B$5),V24)</f>
        <v/>
      </c>
      <c r="X24">
        <f>Settings!$B$2*E24/100</f>
        <v/>
      </c>
      <c r="Y24">
        <f>IF(Settings!$B$9,CEILING(X24,Settings!$B$5),X24)</f>
        <v/>
      </c>
      <c r="Z24">
        <f>Settings!$B$2*M24/100</f>
        <v/>
      </c>
      <c r="AA24">
        <f>IF(Settings!$B$17,MIN(Settings!$B$2*G24/100,IF(Settings!$B$9,CEILING(MAX(0,V24+Settings!$B$2*G24/100-X24-Settings!$B$2*J24/100),Settings!$B$5),MAX(0,V24+Settings!$B$2*G24/100-X24-Settings!$B$2*J24/100))),IF(Settings!$B$9,MROUND(Z24,Settings!$B$5),Z24))</f>
        <v/>
      </c>
      <c r="AB24">
        <f>IF(LEFT(T24,5)="ERROR","ERROR",IF(AND(Settings!$B$17,ABS(AA24-Z24)&gt;1E-9),"FIXED",IF(ABS(S24)&lt;=Settings!$B$7,"SAFE","WARNING")))</f>
        <v/>
      </c>
      <c r="AC24">
        <f>IF(AB24="FIXED","Close adjusted by SAFE mode",IF(AB24="SAFE","BUY/SELL balance preserved",IF(AB24="WARNING","Near protection boundary","Protection broken")))</f>
        <v/>
      </c>
    </row>
    <row r="25">
      <c r="A25" t="n">
        <v>23</v>
      </c>
      <c r="B25">
        <f>A25*Settings!$B$3</f>
        <v/>
      </c>
      <c r="C25">
        <f>IF(A25&lt;=Settings!$B$4,IFERROR(XLOOKUP(A25,LevelRange,BigPercentRange),0),0)</f>
        <v/>
      </c>
      <c r="D25">
        <f>W25</f>
        <v/>
      </c>
      <c r="E25">
        <f>IF(A25&lt;=Settings!$B$4,IFERROR(XLOOKUP(A25,LevelRange,SmallPercentRange),0),0)</f>
        <v/>
      </c>
      <c r="F25">
        <f>Y25</f>
        <v/>
      </c>
      <c r="G25">
        <f>N24</f>
        <v/>
      </c>
      <c r="H25">
        <f>G25+SUM($C$3:C25)</f>
        <v/>
      </c>
      <c r="I25">
        <f>100+SUM($E$3:E25)</f>
        <v/>
      </c>
      <c r="J25">
        <f>IF(A25&lt;=Settings!$B$4,IFERROR(XLOOKUP(A25,LevelRange,TargetSkewRange),0),0)</f>
        <v/>
      </c>
      <c r="K25">
        <f>MIN(G25,MAX(0,H25-I25+J25))</f>
        <v/>
      </c>
      <c r="L25">
        <f>IF(A25&lt;=Settings!$B$4,IFERROR(XLOOKUP(A25,LevelRange,ManualCloseRange),""),"")</f>
        <v/>
      </c>
      <c r="M25">
        <f>MIN(G25,AA25/Settings!$B$2*100)</f>
        <v/>
      </c>
      <c r="N25">
        <f>G25-M25</f>
        <v/>
      </c>
      <c r="O25">
        <f>SUM($C$3:C25)</f>
        <v/>
      </c>
      <c r="P25">
        <f>SUM($E$3:E25)</f>
        <v/>
      </c>
      <c r="Q25">
        <f>N25+O25</f>
        <v/>
      </c>
      <c r="R25">
        <f>100+P25</f>
        <v/>
      </c>
      <c r="S25">
        <f>R25-Q25</f>
        <v/>
      </c>
      <c r="T2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Direction",IF(OR(C25&lt;0,E25&lt;0,J25&lt;0,AND(LEN(L25)&gt;0,L25&lt;0)),"ERROR: Negative input",IF(C25&lt;E25,"ERROR: Big SELL must be &gt;= Small BUY",IF(AND(LEN(L25)&gt;0,L25&gt;G25),"ERROR: ManualClose exceeds remaining Start position",IF(OR(N25&lt;0,Q25&lt;0,R25&lt;0),"ERROR: Negative totals",IF(Q25&gt;R25,"ERROR: Rounding broke protection balance",IF(S25&gt;Settings!$B$8,"WARNING: Skew exceeds recommended limit","OK")))))))))))</f>
        <v/>
      </c>
      <c r="U25">
        <f>IF(LEFT(T25,5)="ERROR","Check input/risk","")</f>
        <v/>
      </c>
      <c r="V25">
        <f>Settings!$B$2*C25/100</f>
        <v/>
      </c>
      <c r="W25">
        <f>IF(Settings!$B$9,FLOOR(V25,Settings!$B$5),V25)</f>
        <v/>
      </c>
      <c r="X25">
        <f>Settings!$B$2*E25/100</f>
        <v/>
      </c>
      <c r="Y25">
        <f>IF(Settings!$B$9,CEILING(X25,Settings!$B$5),X25)</f>
        <v/>
      </c>
      <c r="Z25">
        <f>Settings!$B$2*M25/100</f>
        <v/>
      </c>
      <c r="AA25">
        <f>IF(Settings!$B$17,MIN(Settings!$B$2*G25/100,IF(Settings!$B$9,CEILING(MAX(0,V25+Settings!$B$2*G25/100-X25-Settings!$B$2*J25/100),Settings!$B$5),MAX(0,V25+Settings!$B$2*G25/100-X25-Settings!$B$2*J25/100))),IF(Settings!$B$9,MROUND(Z25,Settings!$B$5),Z25))</f>
        <v/>
      </c>
      <c r="AB25">
        <f>IF(LEFT(T25,5)="ERROR","ERROR",IF(AND(Settings!$B$17,ABS(AA25-Z25)&gt;1E-9),"FIXED",IF(ABS(S25)&lt;=Settings!$B$7,"SAFE","WARNING")))</f>
        <v/>
      </c>
      <c r="AC25">
        <f>IF(AB25="FIXED","Close adjusted by SAFE mode",IF(AB25="SAFE","BUY/SELL balance preserved",IF(AB25="WARNING","Near protection boundary","Protection broken")))</f>
        <v/>
      </c>
    </row>
    <row r="26">
      <c r="A26" t="n">
        <v>24</v>
      </c>
      <c r="B26">
        <f>A26*Settings!$B$3</f>
        <v/>
      </c>
      <c r="C26">
        <f>IF(A26&lt;=Settings!$B$4,IFERROR(XLOOKUP(A26,LevelRange,BigPercentRange),0),0)</f>
        <v/>
      </c>
      <c r="D26">
        <f>W26</f>
        <v/>
      </c>
      <c r="E26">
        <f>IF(A26&lt;=Settings!$B$4,IFERROR(XLOOKUP(A26,LevelRange,SmallPercentRange),0),0)</f>
        <v/>
      </c>
      <c r="F26">
        <f>Y26</f>
        <v/>
      </c>
      <c r="G26">
        <f>N25</f>
        <v/>
      </c>
      <c r="H26">
        <f>G26+SUM($C$3:C26)</f>
        <v/>
      </c>
      <c r="I26">
        <f>100+SUM($E$3:E26)</f>
        <v/>
      </c>
      <c r="J26">
        <f>IF(A26&lt;=Settings!$B$4,IFERROR(XLOOKUP(A26,LevelRange,TargetSkewRange),0),0)</f>
        <v/>
      </c>
      <c r="K26">
        <f>MIN(G26,MAX(0,H26-I26+J26))</f>
        <v/>
      </c>
      <c r="L26">
        <f>IF(A26&lt;=Settings!$B$4,IFERROR(XLOOKUP(A26,LevelRange,ManualCloseRange),""),"")</f>
        <v/>
      </c>
      <c r="M26">
        <f>MIN(G26,AA26/Settings!$B$2*100)</f>
        <v/>
      </c>
      <c r="N26">
        <f>G26-M26</f>
        <v/>
      </c>
      <c r="O26">
        <f>SUM($C$3:C26)</f>
        <v/>
      </c>
      <c r="P26">
        <f>SUM($E$3:E26)</f>
        <v/>
      </c>
      <c r="Q26">
        <f>N26+O26</f>
        <v/>
      </c>
      <c r="R26">
        <f>100+P26</f>
        <v/>
      </c>
      <c r="S26">
        <f>R26-Q26</f>
        <v/>
      </c>
      <c r="T2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Direction",IF(OR(C26&lt;0,E26&lt;0,J26&lt;0,AND(LEN(L26)&gt;0,L26&lt;0)),"ERROR: Negative input",IF(C26&lt;E26,"ERROR: Big SELL must be &gt;= Small BUY",IF(AND(LEN(L26)&gt;0,L26&gt;G26),"ERROR: ManualClose exceeds remaining Start position",IF(OR(N26&lt;0,Q26&lt;0,R26&lt;0),"ERROR: Negative totals",IF(Q26&gt;R26,"ERROR: Rounding broke protection balance",IF(S26&gt;Settings!$B$8,"WARNING: Skew exceeds recommended limit","OK")))))))))))</f>
        <v/>
      </c>
      <c r="U26">
        <f>IF(LEFT(T26,5)="ERROR","Check input/risk","")</f>
        <v/>
      </c>
      <c r="V26">
        <f>Settings!$B$2*C26/100</f>
        <v/>
      </c>
      <c r="W26">
        <f>IF(Settings!$B$9,FLOOR(V26,Settings!$B$5),V26)</f>
        <v/>
      </c>
      <c r="X26">
        <f>Settings!$B$2*E26/100</f>
        <v/>
      </c>
      <c r="Y26">
        <f>IF(Settings!$B$9,CEILING(X26,Settings!$B$5),X26)</f>
        <v/>
      </c>
      <c r="Z26">
        <f>Settings!$B$2*M26/100</f>
        <v/>
      </c>
      <c r="AA26">
        <f>IF(Settings!$B$17,MIN(Settings!$B$2*G26/100,IF(Settings!$B$9,CEILING(MAX(0,V26+Settings!$B$2*G26/100-X26-Settings!$B$2*J26/100),Settings!$B$5),MAX(0,V26+Settings!$B$2*G26/100-X26-Settings!$B$2*J26/100))),IF(Settings!$B$9,MROUND(Z26,Settings!$B$5),Z26))</f>
        <v/>
      </c>
      <c r="AB26">
        <f>IF(LEFT(T26,5)="ERROR","ERROR",IF(AND(Settings!$B$17,ABS(AA26-Z26)&gt;1E-9),"FIXED",IF(ABS(S26)&lt;=Settings!$B$7,"SAFE","WARNING")))</f>
        <v/>
      </c>
      <c r="AC26">
        <f>IF(AB26="FIXED","Close adjusted by SAFE mode",IF(AB26="SAFE","BUY/SELL balance preserved",IF(AB26="WARNING","Near protection boundary","Protection broken")))</f>
        <v/>
      </c>
    </row>
    <row r="27">
      <c r="A27" t="n">
        <v>25</v>
      </c>
      <c r="B27">
        <f>A27*Settings!$B$3</f>
        <v/>
      </c>
      <c r="C27">
        <f>IF(A27&lt;=Settings!$B$4,IFERROR(XLOOKUP(A27,LevelRange,BigPercentRange),0),0)</f>
        <v/>
      </c>
      <c r="D27">
        <f>W27</f>
        <v/>
      </c>
      <c r="E27">
        <f>IF(A27&lt;=Settings!$B$4,IFERROR(XLOOKUP(A27,LevelRange,SmallPercentRange),0),0)</f>
        <v/>
      </c>
      <c r="F27">
        <f>Y27</f>
        <v/>
      </c>
      <c r="G27">
        <f>N26</f>
        <v/>
      </c>
      <c r="H27">
        <f>G27+SUM($C$3:C27)</f>
        <v/>
      </c>
      <c r="I27">
        <f>100+SUM($E$3:E27)</f>
        <v/>
      </c>
      <c r="J27">
        <f>IF(A27&lt;=Settings!$B$4,IFERROR(XLOOKUP(A27,LevelRange,TargetSkewRange),0),0)</f>
        <v/>
      </c>
      <c r="K27">
        <f>MIN(G27,MAX(0,H27-I27+J27))</f>
        <v/>
      </c>
      <c r="L27">
        <f>IF(A27&lt;=Settings!$B$4,IFERROR(XLOOKUP(A27,LevelRange,ManualCloseRange),""),"")</f>
        <v/>
      </c>
      <c r="M27">
        <f>MIN(G27,AA27/Settings!$B$2*100)</f>
        <v/>
      </c>
      <c r="N27">
        <f>G27-M27</f>
        <v/>
      </c>
      <c r="O27">
        <f>SUM($C$3:C27)</f>
        <v/>
      </c>
      <c r="P27">
        <f>SUM($E$3:E27)</f>
        <v/>
      </c>
      <c r="Q27">
        <f>N27+O27</f>
        <v/>
      </c>
      <c r="R27">
        <f>100+P27</f>
        <v/>
      </c>
      <c r="S27">
        <f>R27-Q27</f>
        <v/>
      </c>
      <c r="T2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Direction",IF(OR(C27&lt;0,E27&lt;0,J27&lt;0,AND(LEN(L27)&gt;0,L27&lt;0)),"ERROR: Negative input",IF(C27&lt;E27,"ERROR: Big SELL must be &gt;= Small BUY",IF(AND(LEN(L27)&gt;0,L27&gt;G27),"ERROR: ManualClose exceeds remaining Start position",IF(OR(N27&lt;0,Q27&lt;0,R27&lt;0),"ERROR: Negative totals",IF(Q27&gt;R27,"ERROR: Rounding broke protection balance",IF(S27&gt;Settings!$B$8,"WARNING: Skew exceeds recommended limit","OK")))))))))))</f>
        <v/>
      </c>
      <c r="U27">
        <f>IF(LEFT(T27,5)="ERROR","Check input/risk","")</f>
        <v/>
      </c>
      <c r="V27">
        <f>Settings!$B$2*C27/100</f>
        <v/>
      </c>
      <c r="W27">
        <f>IF(Settings!$B$9,FLOOR(V27,Settings!$B$5),V27)</f>
        <v/>
      </c>
      <c r="X27">
        <f>Settings!$B$2*E27/100</f>
        <v/>
      </c>
      <c r="Y27">
        <f>IF(Settings!$B$9,CEILING(X27,Settings!$B$5),X27)</f>
        <v/>
      </c>
      <c r="Z27">
        <f>Settings!$B$2*M27/100</f>
        <v/>
      </c>
      <c r="AA27">
        <f>IF(Settings!$B$17,MIN(Settings!$B$2*G27/100,IF(Settings!$B$9,CEILING(MAX(0,V27+Settings!$B$2*G27/100-X27-Settings!$B$2*J27/100),Settings!$B$5),MAX(0,V27+Settings!$B$2*G27/100-X27-Settings!$B$2*J27/100))),IF(Settings!$B$9,MROUND(Z27,Settings!$B$5),Z27))</f>
        <v/>
      </c>
      <c r="AB27">
        <f>IF(LEFT(T27,5)="ERROR","ERROR",IF(AND(Settings!$B$17,ABS(AA27-Z27)&gt;1E-9),"FIXED",IF(ABS(S27)&lt;=Settings!$B$7,"SAFE","WARNING")))</f>
        <v/>
      </c>
      <c r="AC27">
        <f>IF(AB27="FIXED","Close adjusted by SAFE mode",IF(AB27="SAFE","BUY/SELL balance preserved",IF(AB27="WARNING","Near protection boundary","Protection broken")))</f>
        <v/>
      </c>
    </row>
    <row r="28">
      <c r="A28" t="n">
        <v>26</v>
      </c>
      <c r="B28">
        <f>A28*Settings!$B$3</f>
        <v/>
      </c>
      <c r="C28">
        <f>IF(A28&lt;=Settings!$B$4,IFERROR(XLOOKUP(A28,LevelRange,BigPercentRange),0),0)</f>
        <v/>
      </c>
      <c r="D28">
        <f>W28</f>
        <v/>
      </c>
      <c r="E28">
        <f>IF(A28&lt;=Settings!$B$4,IFERROR(XLOOKUP(A28,LevelRange,SmallPercentRange),0),0)</f>
        <v/>
      </c>
      <c r="F28">
        <f>Y28</f>
        <v/>
      </c>
      <c r="G28">
        <f>N27</f>
        <v/>
      </c>
      <c r="H28">
        <f>G28+SUM($C$3:C28)</f>
        <v/>
      </c>
      <c r="I28">
        <f>100+SUM($E$3:E28)</f>
        <v/>
      </c>
      <c r="J28">
        <f>IF(A28&lt;=Settings!$B$4,IFERROR(XLOOKUP(A28,LevelRange,TargetSkewRange),0),0)</f>
        <v/>
      </c>
      <c r="K28">
        <f>MIN(G28,MAX(0,H28-I28+J28))</f>
        <v/>
      </c>
      <c r="L28">
        <f>IF(A28&lt;=Settings!$B$4,IFERROR(XLOOKUP(A28,LevelRange,ManualCloseRange),""),"")</f>
        <v/>
      </c>
      <c r="M28">
        <f>MIN(G28,AA28/Settings!$B$2*100)</f>
        <v/>
      </c>
      <c r="N28">
        <f>G28-M28</f>
        <v/>
      </c>
      <c r="O28">
        <f>SUM($C$3:C28)</f>
        <v/>
      </c>
      <c r="P28">
        <f>SUM($E$3:E28)</f>
        <v/>
      </c>
      <c r="Q28">
        <f>N28+O28</f>
        <v/>
      </c>
      <c r="R28">
        <f>100+P28</f>
        <v/>
      </c>
      <c r="S28">
        <f>R28-Q28</f>
        <v/>
      </c>
      <c r="T2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Direction",IF(OR(C28&lt;0,E28&lt;0,J28&lt;0,AND(LEN(L28)&gt;0,L28&lt;0)),"ERROR: Negative input",IF(C28&lt;E28,"ERROR: Big SELL must be &gt;= Small BUY",IF(AND(LEN(L28)&gt;0,L28&gt;G28),"ERROR: ManualClose exceeds remaining Start position",IF(OR(N28&lt;0,Q28&lt;0,R28&lt;0),"ERROR: Negative totals",IF(Q28&gt;R28,"ERROR: Rounding broke protection balance",IF(S28&gt;Settings!$B$8,"WARNING: Skew exceeds recommended limit","OK")))))))))))</f>
        <v/>
      </c>
      <c r="U28">
        <f>IF(LEFT(T28,5)="ERROR","Check input/risk","")</f>
        <v/>
      </c>
      <c r="V28">
        <f>Settings!$B$2*C28/100</f>
        <v/>
      </c>
      <c r="W28">
        <f>IF(Settings!$B$9,FLOOR(V28,Settings!$B$5),V28)</f>
        <v/>
      </c>
      <c r="X28">
        <f>Settings!$B$2*E28/100</f>
        <v/>
      </c>
      <c r="Y28">
        <f>IF(Settings!$B$9,CEILING(X28,Settings!$B$5),X28)</f>
        <v/>
      </c>
      <c r="Z28">
        <f>Settings!$B$2*M28/100</f>
        <v/>
      </c>
      <c r="AA28">
        <f>IF(Settings!$B$17,MIN(Settings!$B$2*G28/100,IF(Settings!$B$9,CEILING(MAX(0,V28+Settings!$B$2*G28/100-X28-Settings!$B$2*J28/100),Settings!$B$5),MAX(0,V28+Settings!$B$2*G28/100-X28-Settings!$B$2*J28/100))),IF(Settings!$B$9,MROUND(Z28,Settings!$B$5),Z28))</f>
        <v/>
      </c>
      <c r="AB28">
        <f>IF(LEFT(T28,5)="ERROR","ERROR",IF(AND(Settings!$B$17,ABS(AA28-Z28)&gt;1E-9),"FIXED",IF(ABS(S28)&lt;=Settings!$B$7,"SAFE","WARNING")))</f>
        <v/>
      </c>
      <c r="AC28">
        <f>IF(AB28="FIXED","Close adjusted by SAFE mode",IF(AB28="SAFE","BUY/SELL balance preserved",IF(AB28="WARNING","Near protection boundary","Protection broken")))</f>
        <v/>
      </c>
    </row>
    <row r="29">
      <c r="A29" t="n">
        <v>27</v>
      </c>
      <c r="B29">
        <f>A29*Settings!$B$3</f>
        <v/>
      </c>
      <c r="C29">
        <f>IF(A29&lt;=Settings!$B$4,IFERROR(XLOOKUP(A29,LevelRange,BigPercentRange),0),0)</f>
        <v/>
      </c>
      <c r="D29">
        <f>W29</f>
        <v/>
      </c>
      <c r="E29">
        <f>IF(A29&lt;=Settings!$B$4,IFERROR(XLOOKUP(A29,LevelRange,SmallPercentRange),0),0)</f>
        <v/>
      </c>
      <c r="F29">
        <f>Y29</f>
        <v/>
      </c>
      <c r="G29">
        <f>N28</f>
        <v/>
      </c>
      <c r="H29">
        <f>G29+SUM($C$3:C29)</f>
        <v/>
      </c>
      <c r="I29">
        <f>100+SUM($E$3:E29)</f>
        <v/>
      </c>
      <c r="J29">
        <f>IF(A29&lt;=Settings!$B$4,IFERROR(XLOOKUP(A29,LevelRange,TargetSkewRange),0),0)</f>
        <v/>
      </c>
      <c r="K29">
        <f>MIN(G29,MAX(0,H29-I29+J29))</f>
        <v/>
      </c>
      <c r="L29">
        <f>IF(A29&lt;=Settings!$B$4,IFERROR(XLOOKUP(A29,LevelRange,ManualCloseRange),""),"")</f>
        <v/>
      </c>
      <c r="M29">
        <f>MIN(G29,AA29/Settings!$B$2*100)</f>
        <v/>
      </c>
      <c r="N29">
        <f>G29-M29</f>
        <v/>
      </c>
      <c r="O29">
        <f>SUM($C$3:C29)</f>
        <v/>
      </c>
      <c r="P29">
        <f>SUM($E$3:E29)</f>
        <v/>
      </c>
      <c r="Q29">
        <f>N29+O29</f>
        <v/>
      </c>
      <c r="R29">
        <f>100+P29</f>
        <v/>
      </c>
      <c r="S29">
        <f>R29-Q29</f>
        <v/>
      </c>
      <c r="T2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Direction",IF(OR(C29&lt;0,E29&lt;0,J29&lt;0,AND(LEN(L29)&gt;0,L29&lt;0)),"ERROR: Negative input",IF(C29&lt;E29,"ERROR: Big SELL must be &gt;= Small BUY",IF(AND(LEN(L29)&gt;0,L29&gt;G29),"ERROR: ManualClose exceeds remaining Start position",IF(OR(N29&lt;0,Q29&lt;0,R29&lt;0),"ERROR: Negative totals",IF(Q29&gt;R29,"ERROR: Rounding broke protection balance",IF(S29&gt;Settings!$B$8,"WARNING: Skew exceeds recommended limit","OK")))))))))))</f>
        <v/>
      </c>
      <c r="U29">
        <f>IF(LEFT(T29,5)="ERROR","Check input/risk","")</f>
        <v/>
      </c>
      <c r="V29">
        <f>Settings!$B$2*C29/100</f>
        <v/>
      </c>
      <c r="W29">
        <f>IF(Settings!$B$9,FLOOR(V29,Settings!$B$5),V29)</f>
        <v/>
      </c>
      <c r="X29">
        <f>Settings!$B$2*E29/100</f>
        <v/>
      </c>
      <c r="Y29">
        <f>IF(Settings!$B$9,CEILING(X29,Settings!$B$5),X29)</f>
        <v/>
      </c>
      <c r="Z29">
        <f>Settings!$B$2*M29/100</f>
        <v/>
      </c>
      <c r="AA29">
        <f>IF(Settings!$B$17,MIN(Settings!$B$2*G29/100,IF(Settings!$B$9,CEILING(MAX(0,V29+Settings!$B$2*G29/100-X29-Settings!$B$2*J29/100),Settings!$B$5),MAX(0,V29+Settings!$B$2*G29/100-X29-Settings!$B$2*J29/100))),IF(Settings!$B$9,MROUND(Z29,Settings!$B$5),Z29))</f>
        <v/>
      </c>
      <c r="AB29">
        <f>IF(LEFT(T29,5)="ERROR","ERROR",IF(AND(Settings!$B$17,ABS(AA29-Z29)&gt;1E-9),"FIXED",IF(ABS(S29)&lt;=Settings!$B$7,"SAFE","WARNING")))</f>
        <v/>
      </c>
      <c r="AC29">
        <f>IF(AB29="FIXED","Close adjusted by SAFE mode",IF(AB29="SAFE","BUY/SELL balance preserved",IF(AB29="WARNING","Near protection boundary","Protection broken")))</f>
        <v/>
      </c>
    </row>
    <row r="30">
      <c r="A30" t="n">
        <v>28</v>
      </c>
      <c r="B30">
        <f>A30*Settings!$B$3</f>
        <v/>
      </c>
      <c r="C30">
        <f>IF(A30&lt;=Settings!$B$4,IFERROR(XLOOKUP(A30,LevelRange,BigPercentRange),0),0)</f>
        <v/>
      </c>
      <c r="D30">
        <f>W30</f>
        <v/>
      </c>
      <c r="E30">
        <f>IF(A30&lt;=Settings!$B$4,IFERROR(XLOOKUP(A30,LevelRange,SmallPercentRange),0),0)</f>
        <v/>
      </c>
      <c r="F30">
        <f>Y30</f>
        <v/>
      </c>
      <c r="G30">
        <f>N29</f>
        <v/>
      </c>
      <c r="H30">
        <f>G30+SUM($C$3:C30)</f>
        <v/>
      </c>
      <c r="I30">
        <f>100+SUM($E$3:E30)</f>
        <v/>
      </c>
      <c r="J30">
        <f>IF(A30&lt;=Settings!$B$4,IFERROR(XLOOKUP(A30,LevelRange,TargetSkewRange),0),0)</f>
        <v/>
      </c>
      <c r="K30">
        <f>MIN(G30,MAX(0,H30-I30+J30))</f>
        <v/>
      </c>
      <c r="L30">
        <f>IF(A30&lt;=Settings!$B$4,IFERROR(XLOOKUP(A30,LevelRange,ManualCloseRange),""),"")</f>
        <v/>
      </c>
      <c r="M30">
        <f>MIN(G30,AA30/Settings!$B$2*100)</f>
        <v/>
      </c>
      <c r="N30">
        <f>G30-M30</f>
        <v/>
      </c>
      <c r="O30">
        <f>SUM($C$3:C30)</f>
        <v/>
      </c>
      <c r="P30">
        <f>SUM($E$3:E30)</f>
        <v/>
      </c>
      <c r="Q30">
        <f>N30+O30</f>
        <v/>
      </c>
      <c r="R30">
        <f>100+P30</f>
        <v/>
      </c>
      <c r="S30">
        <f>R30-Q30</f>
        <v/>
      </c>
      <c r="T3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Direction",IF(OR(C30&lt;0,E30&lt;0,J30&lt;0,AND(LEN(L30)&gt;0,L30&lt;0)),"ERROR: Negative input",IF(C30&lt;E30,"ERROR: Big SELL must be &gt;= Small BUY",IF(AND(LEN(L30)&gt;0,L30&gt;G30),"ERROR: ManualClose exceeds remaining Start position",IF(OR(N30&lt;0,Q30&lt;0,R30&lt;0),"ERROR: Negative totals",IF(Q30&gt;R30,"ERROR: Rounding broke protection balance",IF(S30&gt;Settings!$B$8,"WARNING: Skew exceeds recommended limit","OK")))))))))))</f>
        <v/>
      </c>
      <c r="U30">
        <f>IF(LEFT(T30,5)="ERROR","Check input/risk","")</f>
        <v/>
      </c>
      <c r="V30">
        <f>Settings!$B$2*C30/100</f>
        <v/>
      </c>
      <c r="W30">
        <f>IF(Settings!$B$9,FLOOR(V30,Settings!$B$5),V30)</f>
        <v/>
      </c>
      <c r="X30">
        <f>Settings!$B$2*E30/100</f>
        <v/>
      </c>
      <c r="Y30">
        <f>IF(Settings!$B$9,CEILING(X30,Settings!$B$5),X30)</f>
        <v/>
      </c>
      <c r="Z30">
        <f>Settings!$B$2*M30/100</f>
        <v/>
      </c>
      <c r="AA30">
        <f>IF(Settings!$B$17,MIN(Settings!$B$2*G30/100,IF(Settings!$B$9,CEILING(MAX(0,V30+Settings!$B$2*G30/100-X30-Settings!$B$2*J30/100),Settings!$B$5),MAX(0,V30+Settings!$B$2*G30/100-X30-Settings!$B$2*J30/100))),IF(Settings!$B$9,MROUND(Z30,Settings!$B$5),Z30))</f>
        <v/>
      </c>
      <c r="AB30">
        <f>IF(LEFT(T30,5)="ERROR","ERROR",IF(AND(Settings!$B$17,ABS(AA30-Z30)&gt;1E-9),"FIXED",IF(ABS(S30)&lt;=Settings!$B$7,"SAFE","WARNING")))</f>
        <v/>
      </c>
      <c r="AC30">
        <f>IF(AB30="FIXED","Close adjusted by SAFE mode",IF(AB30="SAFE","BUY/SELL balance preserved",IF(AB30="WARNING","Near protection boundary","Protection broken")))</f>
        <v/>
      </c>
    </row>
    <row r="31">
      <c r="A31" t="n">
        <v>29</v>
      </c>
      <c r="B31">
        <f>A31*Settings!$B$3</f>
        <v/>
      </c>
      <c r="C31">
        <f>IF(A31&lt;=Settings!$B$4,IFERROR(XLOOKUP(A31,LevelRange,BigPercentRange),0),0)</f>
        <v/>
      </c>
      <c r="D31">
        <f>W31</f>
        <v/>
      </c>
      <c r="E31">
        <f>IF(A31&lt;=Settings!$B$4,IFERROR(XLOOKUP(A31,LevelRange,SmallPercentRange),0),0)</f>
        <v/>
      </c>
      <c r="F31">
        <f>Y31</f>
        <v/>
      </c>
      <c r="G31">
        <f>N30</f>
        <v/>
      </c>
      <c r="H31">
        <f>G31+SUM($C$3:C31)</f>
        <v/>
      </c>
      <c r="I31">
        <f>100+SUM($E$3:E31)</f>
        <v/>
      </c>
      <c r="J31">
        <f>IF(A31&lt;=Settings!$B$4,IFERROR(XLOOKUP(A31,LevelRange,TargetSkewRange),0),0)</f>
        <v/>
      </c>
      <c r="K31">
        <f>MIN(G31,MAX(0,H31-I31+J31))</f>
        <v/>
      </c>
      <c r="L31">
        <f>IF(A31&lt;=Settings!$B$4,IFERROR(XLOOKUP(A31,LevelRange,ManualCloseRange),""),"")</f>
        <v/>
      </c>
      <c r="M31">
        <f>MIN(G31,AA31/Settings!$B$2*100)</f>
        <v/>
      </c>
      <c r="N31">
        <f>G31-M31</f>
        <v/>
      </c>
      <c r="O31">
        <f>SUM($C$3:C31)</f>
        <v/>
      </c>
      <c r="P31">
        <f>SUM($E$3:E31)</f>
        <v/>
      </c>
      <c r="Q31">
        <f>N31+O31</f>
        <v/>
      </c>
      <c r="R31">
        <f>100+P31</f>
        <v/>
      </c>
      <c r="S31">
        <f>R31-Q31</f>
        <v/>
      </c>
      <c r="T3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Direction",IF(OR(C31&lt;0,E31&lt;0,J31&lt;0,AND(LEN(L31)&gt;0,L31&lt;0)),"ERROR: Negative input",IF(C31&lt;E31,"ERROR: Big SELL must be &gt;= Small BUY",IF(AND(LEN(L31)&gt;0,L31&gt;G31),"ERROR: ManualClose exceeds remaining Start position",IF(OR(N31&lt;0,Q31&lt;0,R31&lt;0),"ERROR: Negative totals",IF(Q31&gt;R31,"ERROR: Rounding broke protection balance",IF(S31&gt;Settings!$B$8,"WARNING: Skew exceeds recommended limit","OK")))))))))))</f>
        <v/>
      </c>
      <c r="U31">
        <f>IF(LEFT(T31,5)="ERROR","Check input/risk","")</f>
        <v/>
      </c>
      <c r="V31">
        <f>Settings!$B$2*C31/100</f>
        <v/>
      </c>
      <c r="W31">
        <f>IF(Settings!$B$9,FLOOR(V31,Settings!$B$5),V31)</f>
        <v/>
      </c>
      <c r="X31">
        <f>Settings!$B$2*E31/100</f>
        <v/>
      </c>
      <c r="Y31">
        <f>IF(Settings!$B$9,CEILING(X31,Settings!$B$5),X31)</f>
        <v/>
      </c>
      <c r="Z31">
        <f>Settings!$B$2*M31/100</f>
        <v/>
      </c>
      <c r="AA31">
        <f>IF(Settings!$B$17,MIN(Settings!$B$2*G31/100,IF(Settings!$B$9,CEILING(MAX(0,V31+Settings!$B$2*G31/100-X31-Settings!$B$2*J31/100),Settings!$B$5),MAX(0,V31+Settings!$B$2*G31/100-X31-Settings!$B$2*J31/100))),IF(Settings!$B$9,MROUND(Z31,Settings!$B$5),Z31))</f>
        <v/>
      </c>
      <c r="AB31">
        <f>IF(LEFT(T31,5)="ERROR","ERROR",IF(AND(Settings!$B$17,ABS(AA31-Z31)&gt;1E-9),"FIXED",IF(ABS(S31)&lt;=Settings!$B$7,"SAFE","WARNING")))</f>
        <v/>
      </c>
      <c r="AC31">
        <f>IF(AB31="FIXED","Close adjusted by SAFE mode",IF(AB31="SAFE","BUY/SELL balance preserved",IF(AB31="WARNING","Near protection boundary","Protection broken")))</f>
        <v/>
      </c>
    </row>
    <row r="32">
      <c r="A32" t="n">
        <v>30</v>
      </c>
      <c r="B32">
        <f>A32*Settings!$B$3</f>
        <v/>
      </c>
      <c r="C32">
        <f>IF(A32&lt;=Settings!$B$4,IFERROR(XLOOKUP(A32,LevelRange,BigPercentRange),0),0)</f>
        <v/>
      </c>
      <c r="D32">
        <f>W32</f>
        <v/>
      </c>
      <c r="E32">
        <f>IF(A32&lt;=Settings!$B$4,IFERROR(XLOOKUP(A32,LevelRange,SmallPercentRange),0),0)</f>
        <v/>
      </c>
      <c r="F32">
        <f>Y32</f>
        <v/>
      </c>
      <c r="G32">
        <f>N31</f>
        <v/>
      </c>
      <c r="H32">
        <f>G32+SUM($C$3:C32)</f>
        <v/>
      </c>
      <c r="I32">
        <f>100+SUM($E$3:E32)</f>
        <v/>
      </c>
      <c r="J32">
        <f>IF(A32&lt;=Settings!$B$4,IFERROR(XLOOKUP(A32,LevelRange,TargetSkewRange),0),0)</f>
        <v/>
      </c>
      <c r="K32">
        <f>MIN(G32,MAX(0,H32-I32+J32))</f>
        <v/>
      </c>
      <c r="L32">
        <f>IF(A32&lt;=Settings!$B$4,IFERROR(XLOOKUP(A32,LevelRange,ManualCloseRange),""),"")</f>
        <v/>
      </c>
      <c r="M32">
        <f>MIN(G32,AA32/Settings!$B$2*100)</f>
        <v/>
      </c>
      <c r="N32">
        <f>G32-M32</f>
        <v/>
      </c>
      <c r="O32">
        <f>SUM($C$3:C32)</f>
        <v/>
      </c>
      <c r="P32">
        <f>SUM($E$3:E32)</f>
        <v/>
      </c>
      <c r="Q32">
        <f>N32+O32</f>
        <v/>
      </c>
      <c r="R32">
        <f>100+P32</f>
        <v/>
      </c>
      <c r="S32">
        <f>R32-Q32</f>
        <v/>
      </c>
      <c r="T3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Direction",IF(OR(C32&lt;0,E32&lt;0,J32&lt;0,AND(LEN(L32)&gt;0,L32&lt;0)),"ERROR: Negative input",IF(C32&lt;E32,"ERROR: Big SELL must be &gt;= Small BUY",IF(AND(LEN(L32)&gt;0,L32&gt;G32),"ERROR: ManualClose exceeds remaining Start position",IF(OR(N32&lt;0,Q32&lt;0,R32&lt;0),"ERROR: Negative totals",IF(Q32&gt;R32,"ERROR: Rounding broke protection balance",IF(S32&gt;Settings!$B$8,"WARNING: Skew exceeds recommended limit","OK")))))))))))</f>
        <v/>
      </c>
      <c r="U32">
        <f>IF(LEFT(T32,5)="ERROR","Check input/risk","")</f>
        <v/>
      </c>
      <c r="V32">
        <f>Settings!$B$2*C32/100</f>
        <v/>
      </c>
      <c r="W32">
        <f>IF(Settings!$B$9,FLOOR(V32,Settings!$B$5),V32)</f>
        <v/>
      </c>
      <c r="X32">
        <f>Settings!$B$2*E32/100</f>
        <v/>
      </c>
      <c r="Y32">
        <f>IF(Settings!$B$9,CEILING(X32,Settings!$B$5),X32)</f>
        <v/>
      </c>
      <c r="Z32">
        <f>Settings!$B$2*M32/100</f>
        <v/>
      </c>
      <c r="AA32">
        <f>IF(Settings!$B$17,MIN(Settings!$B$2*G32/100,IF(Settings!$B$9,CEILING(MAX(0,V32+Settings!$B$2*G32/100-X32-Settings!$B$2*J32/100),Settings!$B$5),MAX(0,V32+Settings!$B$2*G32/100-X32-Settings!$B$2*J32/100))),IF(Settings!$B$9,MROUND(Z32,Settings!$B$5),Z32))</f>
        <v/>
      </c>
      <c r="AB32">
        <f>IF(LEFT(T32,5)="ERROR","ERROR",IF(AND(Settings!$B$17,ABS(AA32-Z32)&gt;1E-9),"FIXED",IF(ABS(S32)&lt;=Settings!$B$7,"SAFE","WARNING")))</f>
        <v/>
      </c>
      <c r="AC32">
        <f>IF(AB32="FIXED","Close adjusted by SAFE mode",IF(AB32="SAFE","BUY/SELL balance preserved",IF(AB32="WARNING","Near protection boundary","Protection broken")))</f>
        <v/>
      </c>
    </row>
    <row r="33">
      <c r="A33" t="n">
        <v>31</v>
      </c>
      <c r="B33">
        <f>A33*Settings!$B$3</f>
        <v/>
      </c>
      <c r="C33">
        <f>IF(A33&lt;=Settings!$B$4,IFERROR(XLOOKUP(A33,LevelRange,BigPercentRange),0),0)</f>
        <v/>
      </c>
      <c r="D33">
        <f>W33</f>
        <v/>
      </c>
      <c r="E33">
        <f>IF(A33&lt;=Settings!$B$4,IFERROR(XLOOKUP(A33,LevelRange,SmallPercentRange),0),0)</f>
        <v/>
      </c>
      <c r="F33">
        <f>Y33</f>
        <v/>
      </c>
      <c r="G33">
        <f>N32</f>
        <v/>
      </c>
      <c r="H33">
        <f>G33+SUM($C$3:C33)</f>
        <v/>
      </c>
      <c r="I33">
        <f>100+SUM($E$3:E33)</f>
        <v/>
      </c>
      <c r="J33">
        <f>IF(A33&lt;=Settings!$B$4,IFERROR(XLOOKUP(A33,LevelRange,TargetSkewRange),0),0)</f>
        <v/>
      </c>
      <c r="K33">
        <f>MIN(G33,MAX(0,H33-I33+J33))</f>
        <v/>
      </c>
      <c r="L33">
        <f>IF(A33&lt;=Settings!$B$4,IFERROR(XLOOKUP(A33,LevelRange,ManualCloseRange),""),"")</f>
        <v/>
      </c>
      <c r="M33">
        <f>MIN(G33,AA33/Settings!$B$2*100)</f>
        <v/>
      </c>
      <c r="N33">
        <f>G33-M33</f>
        <v/>
      </c>
      <c r="O33">
        <f>SUM($C$3:C33)</f>
        <v/>
      </c>
      <c r="P33">
        <f>SUM($E$3:E33)</f>
        <v/>
      </c>
      <c r="Q33">
        <f>N33+O33</f>
        <v/>
      </c>
      <c r="R33">
        <f>100+P33</f>
        <v/>
      </c>
      <c r="S33">
        <f>R33-Q33</f>
        <v/>
      </c>
      <c r="T3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Direction",IF(OR(C33&lt;0,E33&lt;0,J33&lt;0,AND(LEN(L33)&gt;0,L33&lt;0)),"ERROR: Negative input",IF(C33&lt;E33,"ERROR: Big SELL must be &gt;= Small BUY",IF(AND(LEN(L33)&gt;0,L33&gt;G33),"ERROR: ManualClose exceeds remaining Start position",IF(OR(N33&lt;0,Q33&lt;0,R33&lt;0),"ERROR: Negative totals",IF(Q33&gt;R33,"ERROR: Rounding broke protection balance",IF(S33&gt;Settings!$B$8,"WARNING: Skew exceeds recommended limit","OK")))))))))))</f>
        <v/>
      </c>
      <c r="U33">
        <f>IF(LEFT(T33,5)="ERROR","Check input/risk","")</f>
        <v/>
      </c>
      <c r="V33">
        <f>Settings!$B$2*C33/100</f>
        <v/>
      </c>
      <c r="W33">
        <f>IF(Settings!$B$9,FLOOR(V33,Settings!$B$5),V33)</f>
        <v/>
      </c>
      <c r="X33">
        <f>Settings!$B$2*E33/100</f>
        <v/>
      </c>
      <c r="Y33">
        <f>IF(Settings!$B$9,CEILING(X33,Settings!$B$5),X33)</f>
        <v/>
      </c>
      <c r="Z33">
        <f>Settings!$B$2*M33/100</f>
        <v/>
      </c>
      <c r="AA33">
        <f>IF(Settings!$B$17,MIN(Settings!$B$2*G33/100,IF(Settings!$B$9,CEILING(MAX(0,V33+Settings!$B$2*G33/100-X33-Settings!$B$2*J33/100),Settings!$B$5),MAX(0,V33+Settings!$B$2*G33/100-X33-Settings!$B$2*J33/100))),IF(Settings!$B$9,MROUND(Z33,Settings!$B$5),Z33))</f>
        <v/>
      </c>
      <c r="AB33">
        <f>IF(LEFT(T33,5)="ERROR","ERROR",IF(AND(Settings!$B$17,ABS(AA33-Z33)&gt;1E-9),"FIXED",IF(ABS(S33)&lt;=Settings!$B$7,"SAFE","WARNING")))</f>
        <v/>
      </c>
      <c r="AC33">
        <f>IF(AB33="FIXED","Close adjusted by SAFE mode",IF(AB33="SAFE","BUY/SELL balance preserved",IF(AB33="WARNING","Near protection boundary","Protection broken")))</f>
        <v/>
      </c>
    </row>
    <row r="34">
      <c r="A34" t="n">
        <v>32</v>
      </c>
      <c r="B34">
        <f>A34*Settings!$B$3</f>
        <v/>
      </c>
      <c r="C34">
        <f>IF(A34&lt;=Settings!$B$4,IFERROR(XLOOKUP(A34,LevelRange,BigPercentRange),0),0)</f>
        <v/>
      </c>
      <c r="D34">
        <f>W34</f>
        <v/>
      </c>
      <c r="E34">
        <f>IF(A34&lt;=Settings!$B$4,IFERROR(XLOOKUP(A34,LevelRange,SmallPercentRange),0),0)</f>
        <v/>
      </c>
      <c r="F34">
        <f>Y34</f>
        <v/>
      </c>
      <c r="G34">
        <f>N33</f>
        <v/>
      </c>
      <c r="H34">
        <f>G34+SUM($C$3:C34)</f>
        <v/>
      </c>
      <c r="I34">
        <f>100+SUM($E$3:E34)</f>
        <v/>
      </c>
      <c r="J34">
        <f>IF(A34&lt;=Settings!$B$4,IFERROR(XLOOKUP(A34,LevelRange,TargetSkewRange),0),0)</f>
        <v/>
      </c>
      <c r="K34">
        <f>MIN(G34,MAX(0,H34-I34+J34))</f>
        <v/>
      </c>
      <c r="L34">
        <f>IF(A34&lt;=Settings!$B$4,IFERROR(XLOOKUP(A34,LevelRange,ManualCloseRange),""),"")</f>
        <v/>
      </c>
      <c r="M34">
        <f>MIN(G34,AA34/Settings!$B$2*100)</f>
        <v/>
      </c>
      <c r="N34">
        <f>G34-M34</f>
        <v/>
      </c>
      <c r="O34">
        <f>SUM($C$3:C34)</f>
        <v/>
      </c>
      <c r="P34">
        <f>SUM($E$3:E34)</f>
        <v/>
      </c>
      <c r="Q34">
        <f>N34+O34</f>
        <v/>
      </c>
      <c r="R34">
        <f>100+P34</f>
        <v/>
      </c>
      <c r="S34">
        <f>R34-Q34</f>
        <v/>
      </c>
      <c r="T3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Direction",IF(OR(C34&lt;0,E34&lt;0,J34&lt;0,AND(LEN(L34)&gt;0,L34&lt;0)),"ERROR: Negative input",IF(C34&lt;E34,"ERROR: Big SELL must be &gt;= Small BUY",IF(AND(LEN(L34)&gt;0,L34&gt;G34),"ERROR: ManualClose exceeds remaining Start position",IF(OR(N34&lt;0,Q34&lt;0,R34&lt;0),"ERROR: Negative totals",IF(Q34&gt;R34,"ERROR: Rounding broke protection balance",IF(S34&gt;Settings!$B$8,"WARNING: Skew exceeds recommended limit","OK")))))))))))</f>
        <v/>
      </c>
      <c r="U34">
        <f>IF(LEFT(T34,5)="ERROR","Check input/risk","")</f>
        <v/>
      </c>
      <c r="V34">
        <f>Settings!$B$2*C34/100</f>
        <v/>
      </c>
      <c r="W34">
        <f>IF(Settings!$B$9,FLOOR(V34,Settings!$B$5),V34)</f>
        <v/>
      </c>
      <c r="X34">
        <f>Settings!$B$2*E34/100</f>
        <v/>
      </c>
      <c r="Y34">
        <f>IF(Settings!$B$9,CEILING(X34,Settings!$B$5),X34)</f>
        <v/>
      </c>
      <c r="Z34">
        <f>Settings!$B$2*M34/100</f>
        <v/>
      </c>
      <c r="AA34">
        <f>IF(Settings!$B$17,MIN(Settings!$B$2*G34/100,IF(Settings!$B$9,CEILING(MAX(0,V34+Settings!$B$2*G34/100-X34-Settings!$B$2*J34/100),Settings!$B$5),MAX(0,V34+Settings!$B$2*G34/100-X34-Settings!$B$2*J34/100))),IF(Settings!$B$9,MROUND(Z34,Settings!$B$5),Z34))</f>
        <v/>
      </c>
      <c r="AB34">
        <f>IF(LEFT(T34,5)="ERROR","ERROR",IF(AND(Settings!$B$17,ABS(AA34-Z34)&gt;1E-9),"FIXED",IF(ABS(S34)&lt;=Settings!$B$7,"SAFE","WARNING")))</f>
        <v/>
      </c>
      <c r="AC34">
        <f>IF(AB34="FIXED","Close adjusted by SAFE mode",IF(AB34="SAFE","BUY/SELL balance preserved",IF(AB34="WARNING","Near protection boundary","Protection broken")))</f>
        <v/>
      </c>
    </row>
    <row r="35">
      <c r="A35" t="n">
        <v>33</v>
      </c>
      <c r="B35">
        <f>A35*Settings!$B$3</f>
        <v/>
      </c>
      <c r="C35">
        <f>IF(A35&lt;=Settings!$B$4,IFERROR(XLOOKUP(A35,LevelRange,BigPercentRange),0),0)</f>
        <v/>
      </c>
      <c r="D35">
        <f>W35</f>
        <v/>
      </c>
      <c r="E35">
        <f>IF(A35&lt;=Settings!$B$4,IFERROR(XLOOKUP(A35,LevelRange,SmallPercentRange),0),0)</f>
        <v/>
      </c>
      <c r="F35">
        <f>Y35</f>
        <v/>
      </c>
      <c r="G35">
        <f>N34</f>
        <v/>
      </c>
      <c r="H35">
        <f>G35+SUM($C$3:C35)</f>
        <v/>
      </c>
      <c r="I35">
        <f>100+SUM($E$3:E35)</f>
        <v/>
      </c>
      <c r="J35">
        <f>IF(A35&lt;=Settings!$B$4,IFERROR(XLOOKUP(A35,LevelRange,TargetSkewRange),0),0)</f>
        <v/>
      </c>
      <c r="K35">
        <f>MIN(G35,MAX(0,H35-I35+J35))</f>
        <v/>
      </c>
      <c r="L35">
        <f>IF(A35&lt;=Settings!$B$4,IFERROR(XLOOKUP(A35,LevelRange,ManualCloseRange),""),"")</f>
        <v/>
      </c>
      <c r="M35">
        <f>MIN(G35,AA35/Settings!$B$2*100)</f>
        <v/>
      </c>
      <c r="N35">
        <f>G35-M35</f>
        <v/>
      </c>
      <c r="O35">
        <f>SUM($C$3:C35)</f>
        <v/>
      </c>
      <c r="P35">
        <f>SUM($E$3:E35)</f>
        <v/>
      </c>
      <c r="Q35">
        <f>N35+O35</f>
        <v/>
      </c>
      <c r="R35">
        <f>100+P35</f>
        <v/>
      </c>
      <c r="S35">
        <f>R35-Q35</f>
        <v/>
      </c>
      <c r="T3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Direction",IF(OR(C35&lt;0,E35&lt;0,J35&lt;0,AND(LEN(L35)&gt;0,L35&lt;0)),"ERROR: Negative input",IF(C35&lt;E35,"ERROR: Big SELL must be &gt;= Small BUY",IF(AND(LEN(L35)&gt;0,L35&gt;G35),"ERROR: ManualClose exceeds remaining Start position",IF(OR(N35&lt;0,Q35&lt;0,R35&lt;0),"ERROR: Negative totals",IF(Q35&gt;R35,"ERROR: Rounding broke protection balance",IF(S35&gt;Settings!$B$8,"WARNING: Skew exceeds recommended limit","OK")))))))))))</f>
        <v/>
      </c>
      <c r="U35">
        <f>IF(LEFT(T35,5)="ERROR","Check input/risk","")</f>
        <v/>
      </c>
      <c r="V35">
        <f>Settings!$B$2*C35/100</f>
        <v/>
      </c>
      <c r="W35">
        <f>IF(Settings!$B$9,FLOOR(V35,Settings!$B$5),V35)</f>
        <v/>
      </c>
      <c r="X35">
        <f>Settings!$B$2*E35/100</f>
        <v/>
      </c>
      <c r="Y35">
        <f>IF(Settings!$B$9,CEILING(X35,Settings!$B$5),X35)</f>
        <v/>
      </c>
      <c r="Z35">
        <f>Settings!$B$2*M35/100</f>
        <v/>
      </c>
      <c r="AA35">
        <f>IF(Settings!$B$17,MIN(Settings!$B$2*G35/100,IF(Settings!$B$9,CEILING(MAX(0,V35+Settings!$B$2*G35/100-X35-Settings!$B$2*J35/100),Settings!$B$5),MAX(0,V35+Settings!$B$2*G35/100-X35-Settings!$B$2*J35/100))),IF(Settings!$B$9,MROUND(Z35,Settings!$B$5),Z35))</f>
        <v/>
      </c>
      <c r="AB35">
        <f>IF(LEFT(T35,5)="ERROR","ERROR",IF(AND(Settings!$B$17,ABS(AA35-Z35)&gt;1E-9),"FIXED",IF(ABS(S35)&lt;=Settings!$B$7,"SAFE","WARNING")))</f>
        <v/>
      </c>
      <c r="AC35">
        <f>IF(AB35="FIXED","Close adjusted by SAFE mode",IF(AB35="SAFE","BUY/SELL balance preserved",IF(AB35="WARNING","Near protection boundary","Protection broken")))</f>
        <v/>
      </c>
    </row>
    <row r="36">
      <c r="A36" t="n">
        <v>34</v>
      </c>
      <c r="B36">
        <f>A36*Settings!$B$3</f>
        <v/>
      </c>
      <c r="C36">
        <f>IF(A36&lt;=Settings!$B$4,IFERROR(XLOOKUP(A36,LevelRange,BigPercentRange),0),0)</f>
        <v/>
      </c>
      <c r="D36">
        <f>W36</f>
        <v/>
      </c>
      <c r="E36">
        <f>IF(A36&lt;=Settings!$B$4,IFERROR(XLOOKUP(A36,LevelRange,SmallPercentRange),0),0)</f>
        <v/>
      </c>
      <c r="F36">
        <f>Y36</f>
        <v/>
      </c>
      <c r="G36">
        <f>N35</f>
        <v/>
      </c>
      <c r="H36">
        <f>G36+SUM($C$3:C36)</f>
        <v/>
      </c>
      <c r="I36">
        <f>100+SUM($E$3:E36)</f>
        <v/>
      </c>
      <c r="J36">
        <f>IF(A36&lt;=Settings!$B$4,IFERROR(XLOOKUP(A36,LevelRange,TargetSkewRange),0),0)</f>
        <v/>
      </c>
      <c r="K36">
        <f>MIN(G36,MAX(0,H36-I36+J36))</f>
        <v/>
      </c>
      <c r="L36">
        <f>IF(A36&lt;=Settings!$B$4,IFERROR(XLOOKUP(A36,LevelRange,ManualCloseRange),""),"")</f>
        <v/>
      </c>
      <c r="M36">
        <f>MIN(G36,AA36/Settings!$B$2*100)</f>
        <v/>
      </c>
      <c r="N36">
        <f>G36-M36</f>
        <v/>
      </c>
      <c r="O36">
        <f>SUM($C$3:C36)</f>
        <v/>
      </c>
      <c r="P36">
        <f>SUM($E$3:E36)</f>
        <v/>
      </c>
      <c r="Q36">
        <f>N36+O36</f>
        <v/>
      </c>
      <c r="R36">
        <f>100+P36</f>
        <v/>
      </c>
      <c r="S36">
        <f>R36-Q36</f>
        <v/>
      </c>
      <c r="T3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Direction",IF(OR(C36&lt;0,E36&lt;0,J36&lt;0,AND(LEN(L36)&gt;0,L36&lt;0)),"ERROR: Negative input",IF(C36&lt;E36,"ERROR: Big SELL must be &gt;= Small BUY",IF(AND(LEN(L36)&gt;0,L36&gt;G36),"ERROR: ManualClose exceeds remaining Start position",IF(OR(N36&lt;0,Q36&lt;0,R36&lt;0),"ERROR: Negative totals",IF(Q36&gt;R36,"ERROR: Rounding broke protection balance",IF(S36&gt;Settings!$B$8,"WARNING: Skew exceeds recommended limit","OK")))))))))))</f>
        <v/>
      </c>
      <c r="U36">
        <f>IF(LEFT(T36,5)="ERROR","Check input/risk","")</f>
        <v/>
      </c>
      <c r="V36">
        <f>Settings!$B$2*C36/100</f>
        <v/>
      </c>
      <c r="W36">
        <f>IF(Settings!$B$9,FLOOR(V36,Settings!$B$5),V36)</f>
        <v/>
      </c>
      <c r="X36">
        <f>Settings!$B$2*E36/100</f>
        <v/>
      </c>
      <c r="Y36">
        <f>IF(Settings!$B$9,CEILING(X36,Settings!$B$5),X36)</f>
        <v/>
      </c>
      <c r="Z36">
        <f>Settings!$B$2*M36/100</f>
        <v/>
      </c>
      <c r="AA36">
        <f>IF(Settings!$B$17,MIN(Settings!$B$2*G36/100,IF(Settings!$B$9,CEILING(MAX(0,V36+Settings!$B$2*G36/100-X36-Settings!$B$2*J36/100),Settings!$B$5),MAX(0,V36+Settings!$B$2*G36/100-X36-Settings!$B$2*J36/100))),IF(Settings!$B$9,MROUND(Z36,Settings!$B$5),Z36))</f>
        <v/>
      </c>
      <c r="AB36">
        <f>IF(LEFT(T36,5)="ERROR","ERROR",IF(AND(Settings!$B$17,ABS(AA36-Z36)&gt;1E-9),"FIXED",IF(ABS(S36)&lt;=Settings!$B$7,"SAFE","WARNING")))</f>
        <v/>
      </c>
      <c r="AC36">
        <f>IF(AB36="FIXED","Close adjusted by SAFE mode",IF(AB36="SAFE","BUY/SELL balance preserved",IF(AB36="WARNING","Near protection boundary","Protection broken")))</f>
        <v/>
      </c>
    </row>
    <row r="37">
      <c r="A37" t="n">
        <v>35</v>
      </c>
      <c r="B37">
        <f>A37*Settings!$B$3</f>
        <v/>
      </c>
      <c r="C37">
        <f>IF(A37&lt;=Settings!$B$4,IFERROR(XLOOKUP(A37,LevelRange,BigPercentRange),0),0)</f>
        <v/>
      </c>
      <c r="D37">
        <f>W37</f>
        <v/>
      </c>
      <c r="E37">
        <f>IF(A37&lt;=Settings!$B$4,IFERROR(XLOOKUP(A37,LevelRange,SmallPercentRange),0),0)</f>
        <v/>
      </c>
      <c r="F37">
        <f>Y37</f>
        <v/>
      </c>
      <c r="G37">
        <f>N36</f>
        <v/>
      </c>
      <c r="H37">
        <f>G37+SUM($C$3:C37)</f>
        <v/>
      </c>
      <c r="I37">
        <f>100+SUM($E$3:E37)</f>
        <v/>
      </c>
      <c r="J37">
        <f>IF(A37&lt;=Settings!$B$4,IFERROR(XLOOKUP(A37,LevelRange,TargetSkewRange),0),0)</f>
        <v/>
      </c>
      <c r="K37">
        <f>MIN(G37,MAX(0,H37-I37+J37))</f>
        <v/>
      </c>
      <c r="L37">
        <f>IF(A37&lt;=Settings!$B$4,IFERROR(XLOOKUP(A37,LevelRange,ManualCloseRange),""),"")</f>
        <v/>
      </c>
      <c r="M37">
        <f>MIN(G37,AA37/Settings!$B$2*100)</f>
        <v/>
      </c>
      <c r="N37">
        <f>G37-M37</f>
        <v/>
      </c>
      <c r="O37">
        <f>SUM($C$3:C37)</f>
        <v/>
      </c>
      <c r="P37">
        <f>SUM($E$3:E37)</f>
        <v/>
      </c>
      <c r="Q37">
        <f>N37+O37</f>
        <v/>
      </c>
      <c r="R37">
        <f>100+P37</f>
        <v/>
      </c>
      <c r="S37">
        <f>R37-Q37</f>
        <v/>
      </c>
      <c r="T3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Direction",IF(OR(C37&lt;0,E37&lt;0,J37&lt;0,AND(LEN(L37)&gt;0,L37&lt;0)),"ERROR: Negative input",IF(C37&lt;E37,"ERROR: Big SELL must be &gt;= Small BUY",IF(AND(LEN(L37)&gt;0,L37&gt;G37),"ERROR: ManualClose exceeds remaining Start position",IF(OR(N37&lt;0,Q37&lt;0,R37&lt;0),"ERROR: Negative totals",IF(Q37&gt;R37,"ERROR: Rounding broke protection balance",IF(S37&gt;Settings!$B$8,"WARNING: Skew exceeds recommended limit","OK")))))))))))</f>
        <v/>
      </c>
      <c r="U37">
        <f>IF(LEFT(T37,5)="ERROR","Check input/risk","")</f>
        <v/>
      </c>
      <c r="V37">
        <f>Settings!$B$2*C37/100</f>
        <v/>
      </c>
      <c r="W37">
        <f>IF(Settings!$B$9,FLOOR(V37,Settings!$B$5),V37)</f>
        <v/>
      </c>
      <c r="X37">
        <f>Settings!$B$2*E37/100</f>
        <v/>
      </c>
      <c r="Y37">
        <f>IF(Settings!$B$9,CEILING(X37,Settings!$B$5),X37)</f>
        <v/>
      </c>
      <c r="Z37">
        <f>Settings!$B$2*M37/100</f>
        <v/>
      </c>
      <c r="AA37">
        <f>IF(Settings!$B$17,MIN(Settings!$B$2*G37/100,IF(Settings!$B$9,CEILING(MAX(0,V37+Settings!$B$2*G37/100-X37-Settings!$B$2*J37/100),Settings!$B$5),MAX(0,V37+Settings!$B$2*G37/100-X37-Settings!$B$2*J37/100))),IF(Settings!$B$9,MROUND(Z37,Settings!$B$5),Z37))</f>
        <v/>
      </c>
      <c r="AB37">
        <f>IF(LEFT(T37,5)="ERROR","ERROR",IF(AND(Settings!$B$17,ABS(AA37-Z37)&gt;1E-9),"FIXED",IF(ABS(S37)&lt;=Settings!$B$7,"SAFE","WARNING")))</f>
        <v/>
      </c>
      <c r="AC37">
        <f>IF(AB37="FIXED","Close adjusted by SAFE mode",IF(AB37="SAFE","BUY/SELL balance preserved",IF(AB37="WARNING","Near protection boundary","Protection broken")))</f>
        <v/>
      </c>
    </row>
    <row r="38">
      <c r="A38" t="n">
        <v>36</v>
      </c>
      <c r="B38">
        <f>A38*Settings!$B$3</f>
        <v/>
      </c>
      <c r="C38">
        <f>IF(A38&lt;=Settings!$B$4,IFERROR(XLOOKUP(A38,LevelRange,BigPercentRange),0),0)</f>
        <v/>
      </c>
      <c r="D38">
        <f>W38</f>
        <v/>
      </c>
      <c r="E38">
        <f>IF(A38&lt;=Settings!$B$4,IFERROR(XLOOKUP(A38,LevelRange,SmallPercentRange),0),0)</f>
        <v/>
      </c>
      <c r="F38">
        <f>Y38</f>
        <v/>
      </c>
      <c r="G38">
        <f>N37</f>
        <v/>
      </c>
      <c r="H38">
        <f>G38+SUM($C$3:C38)</f>
        <v/>
      </c>
      <c r="I38">
        <f>100+SUM($E$3:E38)</f>
        <v/>
      </c>
      <c r="J38">
        <f>IF(A38&lt;=Settings!$B$4,IFERROR(XLOOKUP(A38,LevelRange,TargetSkewRange),0),0)</f>
        <v/>
      </c>
      <c r="K38">
        <f>MIN(G38,MAX(0,H38-I38+J38))</f>
        <v/>
      </c>
      <c r="L38">
        <f>IF(A38&lt;=Settings!$B$4,IFERROR(XLOOKUP(A38,LevelRange,ManualCloseRange),""),"")</f>
        <v/>
      </c>
      <c r="M38">
        <f>MIN(G38,AA38/Settings!$B$2*100)</f>
        <v/>
      </c>
      <c r="N38">
        <f>G38-M38</f>
        <v/>
      </c>
      <c r="O38">
        <f>SUM($C$3:C38)</f>
        <v/>
      </c>
      <c r="P38">
        <f>SUM($E$3:E38)</f>
        <v/>
      </c>
      <c r="Q38">
        <f>N38+O38</f>
        <v/>
      </c>
      <c r="R38">
        <f>100+P38</f>
        <v/>
      </c>
      <c r="S38">
        <f>R38-Q38</f>
        <v/>
      </c>
      <c r="T3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Direction",IF(OR(C38&lt;0,E38&lt;0,J38&lt;0,AND(LEN(L38)&gt;0,L38&lt;0)),"ERROR: Negative input",IF(C38&lt;E38,"ERROR: Big SELL must be &gt;= Small BUY",IF(AND(LEN(L38)&gt;0,L38&gt;G38),"ERROR: ManualClose exceeds remaining Start position",IF(OR(N38&lt;0,Q38&lt;0,R38&lt;0),"ERROR: Negative totals",IF(Q38&gt;R38,"ERROR: Rounding broke protection balance",IF(S38&gt;Settings!$B$8,"WARNING: Skew exceeds recommended limit","OK")))))))))))</f>
        <v/>
      </c>
      <c r="U38">
        <f>IF(LEFT(T38,5)="ERROR","Check input/risk","")</f>
        <v/>
      </c>
      <c r="V38">
        <f>Settings!$B$2*C38/100</f>
        <v/>
      </c>
      <c r="W38">
        <f>IF(Settings!$B$9,FLOOR(V38,Settings!$B$5),V38)</f>
        <v/>
      </c>
      <c r="X38">
        <f>Settings!$B$2*E38/100</f>
        <v/>
      </c>
      <c r="Y38">
        <f>IF(Settings!$B$9,CEILING(X38,Settings!$B$5),X38)</f>
        <v/>
      </c>
      <c r="Z38">
        <f>Settings!$B$2*M38/100</f>
        <v/>
      </c>
      <c r="AA38">
        <f>IF(Settings!$B$17,MIN(Settings!$B$2*G38/100,IF(Settings!$B$9,CEILING(MAX(0,V38+Settings!$B$2*G38/100-X38-Settings!$B$2*J38/100),Settings!$B$5),MAX(0,V38+Settings!$B$2*G38/100-X38-Settings!$B$2*J38/100))),IF(Settings!$B$9,MROUND(Z38,Settings!$B$5),Z38))</f>
        <v/>
      </c>
      <c r="AB38">
        <f>IF(LEFT(T38,5)="ERROR","ERROR",IF(AND(Settings!$B$17,ABS(AA38-Z38)&gt;1E-9),"FIXED",IF(ABS(S38)&lt;=Settings!$B$7,"SAFE","WARNING")))</f>
        <v/>
      </c>
      <c r="AC38">
        <f>IF(AB38="FIXED","Close adjusted by SAFE mode",IF(AB38="SAFE","BUY/SELL balance preserved",IF(AB38="WARNING","Near protection boundary","Protection broken")))</f>
        <v/>
      </c>
    </row>
    <row r="39">
      <c r="A39" t="n">
        <v>37</v>
      </c>
      <c r="B39">
        <f>A39*Settings!$B$3</f>
        <v/>
      </c>
      <c r="C39">
        <f>IF(A39&lt;=Settings!$B$4,IFERROR(XLOOKUP(A39,LevelRange,BigPercentRange),0),0)</f>
        <v/>
      </c>
      <c r="D39">
        <f>W39</f>
        <v/>
      </c>
      <c r="E39">
        <f>IF(A39&lt;=Settings!$B$4,IFERROR(XLOOKUP(A39,LevelRange,SmallPercentRange),0),0)</f>
        <v/>
      </c>
      <c r="F39">
        <f>Y39</f>
        <v/>
      </c>
      <c r="G39">
        <f>N38</f>
        <v/>
      </c>
      <c r="H39">
        <f>G39+SUM($C$3:C39)</f>
        <v/>
      </c>
      <c r="I39">
        <f>100+SUM($E$3:E39)</f>
        <v/>
      </c>
      <c r="J39">
        <f>IF(A39&lt;=Settings!$B$4,IFERROR(XLOOKUP(A39,LevelRange,TargetSkewRange),0),0)</f>
        <v/>
      </c>
      <c r="K39">
        <f>MIN(G39,MAX(0,H39-I39+J39))</f>
        <v/>
      </c>
      <c r="L39">
        <f>IF(A39&lt;=Settings!$B$4,IFERROR(XLOOKUP(A39,LevelRange,ManualCloseRange),""),"")</f>
        <v/>
      </c>
      <c r="M39">
        <f>MIN(G39,AA39/Settings!$B$2*100)</f>
        <v/>
      </c>
      <c r="N39">
        <f>G39-M39</f>
        <v/>
      </c>
      <c r="O39">
        <f>SUM($C$3:C39)</f>
        <v/>
      </c>
      <c r="P39">
        <f>SUM($E$3:E39)</f>
        <v/>
      </c>
      <c r="Q39">
        <f>N39+O39</f>
        <v/>
      </c>
      <c r="R39">
        <f>100+P39</f>
        <v/>
      </c>
      <c r="S39">
        <f>R39-Q39</f>
        <v/>
      </c>
      <c r="T3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Direction",IF(OR(C39&lt;0,E39&lt;0,J39&lt;0,AND(LEN(L39)&gt;0,L39&lt;0)),"ERROR: Negative input",IF(C39&lt;E39,"ERROR: Big SELL must be &gt;= Small BUY",IF(AND(LEN(L39)&gt;0,L39&gt;G39),"ERROR: ManualClose exceeds remaining Start position",IF(OR(N39&lt;0,Q39&lt;0,R39&lt;0),"ERROR: Negative totals",IF(Q39&gt;R39,"ERROR: Rounding broke protection balance",IF(S39&gt;Settings!$B$8,"WARNING: Skew exceeds recommended limit","OK")))))))))))</f>
        <v/>
      </c>
      <c r="U39">
        <f>IF(LEFT(T39,5)="ERROR","Check input/risk","")</f>
        <v/>
      </c>
      <c r="V39">
        <f>Settings!$B$2*C39/100</f>
        <v/>
      </c>
      <c r="W39">
        <f>IF(Settings!$B$9,FLOOR(V39,Settings!$B$5),V39)</f>
        <v/>
      </c>
      <c r="X39">
        <f>Settings!$B$2*E39/100</f>
        <v/>
      </c>
      <c r="Y39">
        <f>IF(Settings!$B$9,CEILING(X39,Settings!$B$5),X39)</f>
        <v/>
      </c>
      <c r="Z39">
        <f>Settings!$B$2*M39/100</f>
        <v/>
      </c>
      <c r="AA39">
        <f>IF(Settings!$B$17,MIN(Settings!$B$2*G39/100,IF(Settings!$B$9,CEILING(MAX(0,V39+Settings!$B$2*G39/100-X39-Settings!$B$2*J39/100),Settings!$B$5),MAX(0,V39+Settings!$B$2*G39/100-X39-Settings!$B$2*J39/100))),IF(Settings!$B$9,MROUND(Z39,Settings!$B$5),Z39))</f>
        <v/>
      </c>
      <c r="AB39">
        <f>IF(LEFT(T39,5)="ERROR","ERROR",IF(AND(Settings!$B$17,ABS(AA39-Z39)&gt;1E-9),"FIXED",IF(ABS(S39)&lt;=Settings!$B$7,"SAFE","WARNING")))</f>
        <v/>
      </c>
      <c r="AC39">
        <f>IF(AB39="FIXED","Close adjusted by SAFE mode",IF(AB39="SAFE","BUY/SELL balance preserved",IF(AB39="WARNING","Near protection boundary","Protection broken")))</f>
        <v/>
      </c>
    </row>
    <row r="40">
      <c r="A40" t="n">
        <v>38</v>
      </c>
      <c r="B40">
        <f>A40*Settings!$B$3</f>
        <v/>
      </c>
      <c r="C40">
        <f>IF(A40&lt;=Settings!$B$4,IFERROR(XLOOKUP(A40,LevelRange,BigPercentRange),0),0)</f>
        <v/>
      </c>
      <c r="D40">
        <f>W40</f>
        <v/>
      </c>
      <c r="E40">
        <f>IF(A40&lt;=Settings!$B$4,IFERROR(XLOOKUP(A40,LevelRange,SmallPercentRange),0),0)</f>
        <v/>
      </c>
      <c r="F40">
        <f>Y40</f>
        <v/>
      </c>
      <c r="G40">
        <f>N39</f>
        <v/>
      </c>
      <c r="H40">
        <f>G40+SUM($C$3:C40)</f>
        <v/>
      </c>
      <c r="I40">
        <f>100+SUM($E$3:E40)</f>
        <v/>
      </c>
      <c r="J40">
        <f>IF(A40&lt;=Settings!$B$4,IFERROR(XLOOKUP(A40,LevelRange,TargetSkewRange),0),0)</f>
        <v/>
      </c>
      <c r="K40">
        <f>MIN(G40,MAX(0,H40-I40+J40))</f>
        <v/>
      </c>
      <c r="L40">
        <f>IF(A40&lt;=Settings!$B$4,IFERROR(XLOOKUP(A40,LevelRange,ManualCloseRange),""),"")</f>
        <v/>
      </c>
      <c r="M40">
        <f>MIN(G40,AA40/Settings!$B$2*100)</f>
        <v/>
      </c>
      <c r="N40">
        <f>G40-M40</f>
        <v/>
      </c>
      <c r="O40">
        <f>SUM($C$3:C40)</f>
        <v/>
      </c>
      <c r="P40">
        <f>SUM($E$3:E40)</f>
        <v/>
      </c>
      <c r="Q40">
        <f>N40+O40</f>
        <v/>
      </c>
      <c r="R40">
        <f>100+P40</f>
        <v/>
      </c>
      <c r="S40">
        <f>R40-Q40</f>
        <v/>
      </c>
      <c r="T4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Direction",IF(OR(C40&lt;0,E40&lt;0,J40&lt;0,AND(LEN(L40)&gt;0,L40&lt;0)),"ERROR: Negative input",IF(C40&lt;E40,"ERROR: Big SELL must be &gt;= Small BUY",IF(AND(LEN(L40)&gt;0,L40&gt;G40),"ERROR: ManualClose exceeds remaining Start position",IF(OR(N40&lt;0,Q40&lt;0,R40&lt;0),"ERROR: Negative totals",IF(Q40&gt;R40,"ERROR: Rounding broke protection balance",IF(S40&gt;Settings!$B$8,"WARNING: Skew exceeds recommended limit","OK")))))))))))</f>
        <v/>
      </c>
      <c r="U40">
        <f>IF(LEFT(T40,5)="ERROR","Check input/risk","")</f>
        <v/>
      </c>
      <c r="V40">
        <f>Settings!$B$2*C40/100</f>
        <v/>
      </c>
      <c r="W40">
        <f>IF(Settings!$B$9,FLOOR(V40,Settings!$B$5),V40)</f>
        <v/>
      </c>
      <c r="X40">
        <f>Settings!$B$2*E40/100</f>
        <v/>
      </c>
      <c r="Y40">
        <f>IF(Settings!$B$9,CEILING(X40,Settings!$B$5),X40)</f>
        <v/>
      </c>
      <c r="Z40">
        <f>Settings!$B$2*M40/100</f>
        <v/>
      </c>
      <c r="AA40">
        <f>IF(Settings!$B$17,MIN(Settings!$B$2*G40/100,IF(Settings!$B$9,CEILING(MAX(0,V40+Settings!$B$2*G40/100-X40-Settings!$B$2*J40/100),Settings!$B$5),MAX(0,V40+Settings!$B$2*G40/100-X40-Settings!$B$2*J40/100))),IF(Settings!$B$9,MROUND(Z40,Settings!$B$5),Z40))</f>
        <v/>
      </c>
      <c r="AB40">
        <f>IF(LEFT(T40,5)="ERROR","ERROR",IF(AND(Settings!$B$17,ABS(AA40-Z40)&gt;1E-9),"FIXED",IF(ABS(S40)&lt;=Settings!$B$7,"SAFE","WARNING")))</f>
        <v/>
      </c>
      <c r="AC40">
        <f>IF(AB40="FIXED","Close adjusted by SAFE mode",IF(AB40="SAFE","BUY/SELL balance preserved",IF(AB40="WARNING","Near protection boundary","Protection broken")))</f>
        <v/>
      </c>
    </row>
    <row r="41">
      <c r="A41" t="n">
        <v>39</v>
      </c>
      <c r="B41">
        <f>A41*Settings!$B$3</f>
        <v/>
      </c>
      <c r="C41">
        <f>IF(A41&lt;=Settings!$B$4,IFERROR(XLOOKUP(A41,LevelRange,BigPercentRange),0),0)</f>
        <v/>
      </c>
      <c r="D41">
        <f>W41</f>
        <v/>
      </c>
      <c r="E41">
        <f>IF(A41&lt;=Settings!$B$4,IFERROR(XLOOKUP(A41,LevelRange,SmallPercentRange),0),0)</f>
        <v/>
      </c>
      <c r="F41">
        <f>Y41</f>
        <v/>
      </c>
      <c r="G41">
        <f>N40</f>
        <v/>
      </c>
      <c r="H41">
        <f>G41+SUM($C$3:C41)</f>
        <v/>
      </c>
      <c r="I41">
        <f>100+SUM($E$3:E41)</f>
        <v/>
      </c>
      <c r="J41">
        <f>IF(A41&lt;=Settings!$B$4,IFERROR(XLOOKUP(A41,LevelRange,TargetSkewRange),0),0)</f>
        <v/>
      </c>
      <c r="K41">
        <f>MIN(G41,MAX(0,H41-I41+J41))</f>
        <v/>
      </c>
      <c r="L41">
        <f>IF(A41&lt;=Settings!$B$4,IFERROR(XLOOKUP(A41,LevelRange,ManualCloseRange),""),"")</f>
        <v/>
      </c>
      <c r="M41">
        <f>MIN(G41,AA41/Settings!$B$2*100)</f>
        <v/>
      </c>
      <c r="N41">
        <f>G41-M41</f>
        <v/>
      </c>
      <c r="O41">
        <f>SUM($C$3:C41)</f>
        <v/>
      </c>
      <c r="P41">
        <f>SUM($E$3:E41)</f>
        <v/>
      </c>
      <c r="Q41">
        <f>N41+O41</f>
        <v/>
      </c>
      <c r="R41">
        <f>100+P41</f>
        <v/>
      </c>
      <c r="S41">
        <f>R41-Q41</f>
        <v/>
      </c>
      <c r="T4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Direction",IF(OR(C41&lt;0,E41&lt;0,J41&lt;0,AND(LEN(L41)&gt;0,L41&lt;0)),"ERROR: Negative input",IF(C41&lt;E41,"ERROR: Big SELL must be &gt;= Small BUY",IF(AND(LEN(L41)&gt;0,L41&gt;G41),"ERROR: ManualClose exceeds remaining Start position",IF(OR(N41&lt;0,Q41&lt;0,R41&lt;0),"ERROR: Negative totals",IF(Q41&gt;R41,"ERROR: Rounding broke protection balance",IF(S41&gt;Settings!$B$8,"WARNING: Skew exceeds recommended limit","OK")))))))))))</f>
        <v/>
      </c>
      <c r="U41">
        <f>IF(LEFT(T41,5)="ERROR","Check input/risk","")</f>
        <v/>
      </c>
      <c r="V41">
        <f>Settings!$B$2*C41/100</f>
        <v/>
      </c>
      <c r="W41">
        <f>IF(Settings!$B$9,FLOOR(V41,Settings!$B$5),V41)</f>
        <v/>
      </c>
      <c r="X41">
        <f>Settings!$B$2*E41/100</f>
        <v/>
      </c>
      <c r="Y41">
        <f>IF(Settings!$B$9,CEILING(X41,Settings!$B$5),X41)</f>
        <v/>
      </c>
      <c r="Z41">
        <f>Settings!$B$2*M41/100</f>
        <v/>
      </c>
      <c r="AA41">
        <f>IF(Settings!$B$17,MIN(Settings!$B$2*G41/100,IF(Settings!$B$9,CEILING(MAX(0,V41+Settings!$B$2*G41/100-X41-Settings!$B$2*J41/100),Settings!$B$5),MAX(0,V41+Settings!$B$2*G41/100-X41-Settings!$B$2*J41/100))),IF(Settings!$B$9,MROUND(Z41,Settings!$B$5),Z41))</f>
        <v/>
      </c>
      <c r="AB41">
        <f>IF(LEFT(T41,5)="ERROR","ERROR",IF(AND(Settings!$B$17,ABS(AA41-Z41)&gt;1E-9),"FIXED",IF(ABS(S41)&lt;=Settings!$B$7,"SAFE","WARNING")))</f>
        <v/>
      </c>
      <c r="AC41">
        <f>IF(AB41="FIXED","Close adjusted by SAFE mode",IF(AB41="SAFE","BUY/SELL balance preserved",IF(AB41="WARNING","Near protection boundary","Protection broken")))</f>
        <v/>
      </c>
    </row>
  </sheetData>
  <conditionalFormatting sqref="AB2:AB41">
    <cfRule type="expression" priority="1" dxfId="0">
      <formula>AB2="SAFE"</formula>
    </cfRule>
    <cfRule type="expression" priority="2" dxfId="1">
      <formula>AB2="FIXED"</formula>
    </cfRule>
    <cfRule type="expression" priority="3" dxfId="2">
      <formula>AB2="WARNING"</formula>
    </cfRule>
    <cfRule type="expression" priority="4" dxfId="3">
      <formula>AB2="ERROR"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V3 Dashboard Summary</t>
        </is>
      </c>
    </row>
    <row r="3">
      <c r="A3" t="inlineStr">
        <is>
          <t>StartLot</t>
        </is>
      </c>
      <c r="B3">
        <f>Settings!B2</f>
        <v/>
      </c>
    </row>
    <row r="4">
      <c r="A4" t="inlineStr">
        <is>
          <t>Direction</t>
        </is>
      </c>
      <c r="B4">
        <f>Settings!B10</f>
        <v/>
      </c>
    </row>
    <row r="5">
      <c r="A5" t="inlineStr">
        <is>
          <t>Adaptive Step</t>
        </is>
      </c>
      <c r="B5">
        <f>MarketModel!B16</f>
        <v/>
      </c>
    </row>
    <row r="6">
      <c r="A6" t="inlineStr">
        <is>
          <t>ATR Regime</t>
        </is>
      </c>
      <c r="B6">
        <f>MarketModel!B11</f>
        <v/>
      </c>
    </row>
    <row r="7">
      <c r="A7" t="inlineStr">
        <is>
          <t>Margin Load</t>
        </is>
      </c>
      <c r="B7">
        <f>MarginControl!B13</f>
        <v/>
      </c>
    </row>
    <row r="8">
      <c r="A8" t="inlineStr">
        <is>
          <t>Risk Score</t>
        </is>
      </c>
      <c r="B8">
        <f>RiskDashboard!B2</f>
        <v/>
      </c>
    </row>
    <row r="9">
      <c r="A9" t="inlineStr">
        <is>
          <t>Max Safe Levels</t>
        </is>
      </c>
      <c r="B9">
        <f>MarginControl!B17</f>
        <v/>
      </c>
    </row>
    <row r="10">
      <c r="A10" t="inlineStr">
        <is>
          <t>Survival Probability</t>
        </is>
      </c>
      <c r="B10">
        <f>RiskDashboard!B5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Checks</t>
        </is>
      </c>
    </row>
    <row r="2">
      <c r="A2" t="inlineStr">
        <is>
          <t>Big&gt;=Small</t>
        </is>
      </c>
      <c r="B2">
        <f>IF(SUMPRODUCT(--(DownTrend!C3:C41&lt;DownTrend!E3:E41))+SUMPRODUCT(--(UpTrend!C3:C41&lt;UpTrend!E3:E41))&gt;0,"ERROR","OK")</f>
        <v/>
      </c>
    </row>
    <row r="3">
      <c r="A3" t="inlineStr">
        <is>
          <t>TotalBUY&lt;=TotalSELL Down</t>
        </is>
      </c>
      <c r="B3">
        <f>IF(SUMPRODUCT(--(DownTrend!Q3:Q41&gt;DownTrend!R3:R41))&gt;0,"ERROR","OK")</f>
        <v/>
      </c>
    </row>
    <row r="4">
      <c r="A4" t="inlineStr">
        <is>
          <t>TotalSELL&lt;=TotalBUY Up</t>
        </is>
      </c>
      <c r="B4">
        <f>IF(SUMPRODUCT(--(UpTrend!Q3:Q41&gt;UpTrend!R3:R41))&gt;0,"ERROR","OK")</f>
        <v/>
      </c>
    </row>
    <row r="5">
      <c r="A5" t="inlineStr">
        <is>
          <t>SAFE rounding preserved</t>
        </is>
      </c>
      <c r="B5">
        <f>IF(OR(COUNTIF(DownTrend!AB3:AB41,"ERROR")&gt;0,COUNTIF(UpTrend!AB3:AB41,"ERROR")&gt;0),"ERROR","OK")</f>
        <v/>
      </c>
    </row>
    <row r="6">
      <c r="A6" t="inlineStr">
        <is>
          <t>Invalid StartLot</t>
        </is>
      </c>
      <c r="B6">
        <f>IF(OR(NOT(ISNUMBER(Settings!B2)),Settings!B2&lt;=0),"ERROR","OK")</f>
        <v/>
      </c>
    </row>
    <row r="7">
      <c r="A7" t="inlineStr">
        <is>
          <t>Invalid LotStep</t>
        </is>
      </c>
      <c r="B7">
        <f>IF(OR(NOT(ISNUMBER(Settings!B5)),Settings!B5&lt;=0),"ERROR","OK")</f>
        <v/>
      </c>
    </row>
    <row r="8">
      <c r="A8" t="inlineStr">
        <is>
          <t>Invalid Direction</t>
        </is>
      </c>
      <c r="B8">
        <f>IF(AND(Settings!B10&lt;&gt;"DOWN",Settings!B10&lt;&gt;"UP"),"ERROR","OK")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V3: Adaptive probabilistic recovery engine prototype with risk dashboard.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 Model Inputs</t>
        </is>
      </c>
    </row>
    <row r="2">
      <c r="A2" t="inlineStr">
        <is>
          <t>CurrentPrice</t>
        </is>
      </c>
      <c r="B2" t="n">
        <v>1.1</v>
      </c>
    </row>
    <row r="3">
      <c r="A3" t="inlineStr">
        <is>
          <t>ATR(14)</t>
        </is>
      </c>
      <c r="B3" t="n">
        <v>80</v>
      </c>
    </row>
    <row r="4">
      <c r="A4" t="inlineStr">
        <is>
          <t>ATR Multiplier</t>
        </is>
      </c>
      <c r="B4" t="n">
        <v>2</v>
      </c>
    </row>
    <row r="5">
      <c r="A5" t="inlineStr">
        <is>
          <t>Spread</t>
        </is>
      </c>
      <c r="B5" t="n">
        <v>12</v>
      </c>
    </row>
    <row r="6">
      <c r="A6" t="inlineStr">
        <is>
          <t>Swap</t>
        </is>
      </c>
      <c r="B6" t="n">
        <v>-3</v>
      </c>
    </row>
    <row r="7">
      <c r="A7" t="inlineStr">
        <is>
          <t>Commission</t>
        </is>
      </c>
      <c r="B7" t="n">
        <v>7</v>
      </c>
    </row>
    <row r="8">
      <c r="A8" t="inlineStr">
        <is>
          <t>Daily Volatility</t>
        </is>
      </c>
      <c r="B8" t="n">
        <v>1.2</v>
      </c>
    </row>
    <row r="9">
      <c r="A9" t="inlineStr">
        <is>
          <t>Weekly Volatility</t>
        </is>
      </c>
      <c r="B9" t="n">
        <v>3.1</v>
      </c>
    </row>
    <row r="10">
      <c r="A10" t="inlineStr">
        <is>
          <t>Trend Strength</t>
        </is>
      </c>
      <c r="B10" t="n">
        <v>60</v>
      </c>
    </row>
    <row r="11">
      <c r="A11" t="inlineStr">
        <is>
          <t>Volatility Regime</t>
        </is>
      </c>
      <c r="B11">
        <f>IF(B3&lt;60,"LOW_VOL",IF(B3&lt;120,"NORMAL",IF(B3&lt;200,"HIGH_VOL","EXTREME")))</f>
        <v/>
      </c>
    </row>
    <row r="12">
      <c r="A12" t="inlineStr">
        <is>
          <t>Symbol Digits</t>
        </is>
      </c>
      <c r="B12" t="n">
        <v>5</v>
      </c>
    </row>
    <row r="13">
      <c r="A13" t="inlineStr">
        <is>
          <t>Point Value</t>
        </is>
      </c>
      <c r="B13" t="n">
        <v>10</v>
      </c>
    </row>
    <row r="14">
      <c r="A14" t="inlineStr">
        <is>
          <t>Contract Size</t>
        </is>
      </c>
      <c r="B14" t="n">
        <v>100000</v>
      </c>
    </row>
    <row r="16">
      <c r="A16" t="inlineStr">
        <is>
          <t>Adaptive Step</t>
        </is>
      </c>
      <c r="B16">
        <f>B3*B4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Adaptive Engine</t>
        </is>
      </c>
    </row>
    <row r="2">
      <c r="A2" t="inlineStr">
        <is>
          <t>CurrentSkew</t>
        </is>
      </c>
      <c r="B2" t="n">
        <v>10</v>
      </c>
    </row>
    <row r="3">
      <c r="A3" t="inlineStr">
        <is>
          <t>LockWidth</t>
        </is>
      </c>
      <c r="B3" t="n">
        <v>300</v>
      </c>
    </row>
    <row r="4">
      <c r="A4" t="inlineStr">
        <is>
          <t>DistanceFromAverage</t>
        </is>
      </c>
      <c r="B4" t="n">
        <v>120</v>
      </c>
    </row>
    <row r="5">
      <c r="A5" t="inlineStr">
        <is>
          <t>MarginLoad</t>
        </is>
      </c>
      <c r="B5" t="n">
        <v>40</v>
      </c>
    </row>
    <row r="6">
      <c r="A6" t="inlineStr">
        <is>
          <t>RecoveryPressure</t>
        </is>
      </c>
      <c r="B6" t="n">
        <v>35</v>
      </c>
    </row>
    <row r="7">
      <c r="A7" t="inlineStr">
        <is>
          <t>TrendRisk</t>
        </is>
      </c>
      <c r="B7" t="n">
        <v>55</v>
      </c>
    </row>
    <row r="8">
      <c r="A8" t="inlineStr">
        <is>
          <t>RollbackProbability</t>
        </is>
      </c>
      <c r="B8" t="n">
        <v>45</v>
      </c>
    </row>
    <row r="9">
      <c r="A9" t="inlineStr">
        <is>
          <t>DD%</t>
        </is>
      </c>
      <c r="B9" t="n">
        <v>18</v>
      </c>
    </row>
    <row r="10">
      <c r="A10" t="inlineStr">
        <is>
          <t>DecayK</t>
        </is>
      </c>
      <c r="B10" t="n">
        <v>0.25</v>
      </c>
    </row>
    <row r="11">
      <c r="A11" t="inlineStr">
        <is>
          <t>BaseBig</t>
        </is>
      </c>
      <c r="B11" t="n">
        <v>90</v>
      </c>
    </row>
    <row r="12">
      <c r="A12" t="inlineStr">
        <is>
          <t>BaseSmall</t>
        </is>
      </c>
      <c r="B12" t="n">
        <v>30</v>
      </c>
    </row>
    <row r="13">
      <c r="A13" t="inlineStr">
        <is>
          <t>RiskFactor</t>
        </is>
      </c>
      <c r="B13" t="n">
        <v>0.85</v>
      </c>
    </row>
    <row r="16">
      <c r="A16" t="inlineStr">
        <is>
          <t>Level</t>
        </is>
      </c>
      <c r="B16" t="inlineStr">
        <is>
          <t>DynamicBig%</t>
        </is>
      </c>
      <c r="C16" t="inlineStr">
        <is>
          <t>DynamicSmall%</t>
        </is>
      </c>
      <c r="D16" t="inlineStr">
        <is>
          <t>DynamicTargetSkew%</t>
        </is>
      </c>
    </row>
    <row r="17">
      <c r="A17" t="n">
        <v>1</v>
      </c>
      <c r="B17">
        <f>MAX(1,$B$11*EXP(-$B$10*A17)*$B$12)</f>
        <v/>
      </c>
      <c r="C17">
        <f>MAX(1,$B$12*($B$6/50)*MAX(0.5,1+$B$2/100))</f>
        <v/>
      </c>
      <c r="D17">
        <f>MIN(30,MAX(5,5+$B$6/5+$B$4/10))</f>
        <v/>
      </c>
    </row>
    <row r="18">
      <c r="A18" t="n">
        <v>2</v>
      </c>
      <c r="B18">
        <f>MAX(1,$B$11*EXP(-$B$10*A18)*$B$12)</f>
        <v/>
      </c>
      <c r="C18">
        <f>MAX(1,$B$12*($B$6/50)*MAX(0.5,1+$B$2/100))</f>
        <v/>
      </c>
      <c r="D18">
        <f>MIN(30,MAX(5,5+$B$6/5+$B$4/10))</f>
        <v/>
      </c>
    </row>
    <row r="19">
      <c r="A19" t="n">
        <v>3</v>
      </c>
      <c r="B19">
        <f>MAX(1,$B$11*EXP(-$B$10*A19)*$B$12)</f>
        <v/>
      </c>
      <c r="C19">
        <f>MAX(1,$B$12*($B$6/50)*MAX(0.5,1+$B$2/100))</f>
        <v/>
      </c>
      <c r="D19">
        <f>MIN(30,MAX(5,5+$B$6/5+$B$4/10))</f>
        <v/>
      </c>
    </row>
    <row r="20">
      <c r="A20" t="n">
        <v>4</v>
      </c>
      <c r="B20">
        <f>MAX(1,$B$11*EXP(-$B$10*A20)*$B$12)</f>
        <v/>
      </c>
      <c r="C20">
        <f>MAX(1,$B$12*($B$6/50)*MAX(0.5,1+$B$2/100))</f>
        <v/>
      </c>
      <c r="D20">
        <f>MIN(30,MAX(5,5+$B$6/5+$B$4/10))</f>
        <v/>
      </c>
    </row>
    <row r="21">
      <c r="A21" t="n">
        <v>5</v>
      </c>
      <c r="B21">
        <f>MAX(1,$B$11*EXP(-$B$10*A21)*$B$12)</f>
        <v/>
      </c>
      <c r="C21">
        <f>MAX(1,$B$12*($B$6/50)*MAX(0.5,1+$B$2/100))</f>
        <v/>
      </c>
      <c r="D21">
        <f>MIN(30,MAX(5,5+$B$6/5+$B$4/10))</f>
        <v/>
      </c>
    </row>
    <row r="22">
      <c r="A22" t="n">
        <v>6</v>
      </c>
      <c r="B22">
        <f>MAX(1,$B$11*EXP(-$B$10*A22)*$B$12)</f>
        <v/>
      </c>
      <c r="C22">
        <f>MAX(1,$B$12*($B$6/50)*MAX(0.5,1+$B$2/100))</f>
        <v/>
      </c>
      <c r="D22">
        <f>MIN(30,MAX(5,5+$B$6/5+$B$4/10))</f>
        <v/>
      </c>
    </row>
    <row r="23">
      <c r="A23" t="n">
        <v>7</v>
      </c>
      <c r="B23">
        <f>MAX(1,$B$11*EXP(-$B$10*A23)*$B$12)</f>
        <v/>
      </c>
      <c r="C23">
        <f>MAX(1,$B$12*($B$6/50)*MAX(0.5,1+$B$2/100))</f>
        <v/>
      </c>
      <c r="D23">
        <f>MIN(30,MAX(5,5+$B$6/5+$B$4/10))</f>
        <v/>
      </c>
    </row>
    <row r="24">
      <c r="A24" t="n">
        <v>8</v>
      </c>
      <c r="B24">
        <f>MAX(1,$B$11*EXP(-$B$10*A24)*$B$12)</f>
        <v/>
      </c>
      <c r="C24">
        <f>MAX(1,$B$12*($B$6/50)*MAX(0.5,1+$B$2/100))</f>
        <v/>
      </c>
      <c r="D24">
        <f>MIN(30,MAX(5,5+$B$6/5+$B$4/10))</f>
        <v/>
      </c>
    </row>
    <row r="25">
      <c r="A25" t="n">
        <v>9</v>
      </c>
      <c r="B25">
        <f>MAX(1,$B$11*EXP(-$B$10*A25)*$B$12)</f>
        <v/>
      </c>
      <c r="C25">
        <f>MAX(1,$B$12*($B$6/50)*MAX(0.5,1+$B$2/100))</f>
        <v/>
      </c>
      <c r="D25">
        <f>MIN(30,MAX(5,5+$B$6/5+$B$4/10))</f>
        <v/>
      </c>
    </row>
    <row r="26">
      <c r="A26" t="n">
        <v>10</v>
      </c>
      <c r="B26">
        <f>MAX(1,$B$11*EXP(-$B$10*A26)*$B$12)</f>
        <v/>
      </c>
      <c r="C26">
        <f>MAX(1,$B$12*($B$6/50)*MAX(0.5,1+$B$2/100))</f>
        <v/>
      </c>
      <c r="D26">
        <f>MIN(30,MAX(5,5+$B$6/5+$B$4/10))</f>
        <v/>
      </c>
    </row>
    <row r="27">
      <c r="A27" t="n">
        <v>11</v>
      </c>
      <c r="B27">
        <f>MAX(1,$B$11*EXP(-$B$10*A27)*$B$12)</f>
        <v/>
      </c>
      <c r="C27">
        <f>MAX(1,$B$12*($B$6/50)*MAX(0.5,1+$B$2/100))</f>
        <v/>
      </c>
      <c r="D27">
        <f>MIN(30,MAX(5,5+$B$6/5+$B$4/10))</f>
        <v/>
      </c>
    </row>
    <row r="28">
      <c r="A28" t="n">
        <v>12</v>
      </c>
      <c r="B28">
        <f>MAX(1,$B$11*EXP(-$B$10*A28)*$B$12)</f>
        <v/>
      </c>
      <c r="C28">
        <f>MAX(1,$B$12*($B$6/50)*MAX(0.5,1+$B$2/100))</f>
        <v/>
      </c>
      <c r="D28">
        <f>MIN(30,MAX(5,5+$B$6/5+$B$4/10))</f>
        <v/>
      </c>
    </row>
    <row r="29">
      <c r="A29" t="n">
        <v>13</v>
      </c>
      <c r="B29">
        <f>MAX(1,$B$11*EXP(-$B$10*A29)*$B$12)</f>
        <v/>
      </c>
      <c r="C29">
        <f>MAX(1,$B$12*($B$6/50)*MAX(0.5,1+$B$2/100))</f>
        <v/>
      </c>
      <c r="D29">
        <f>MIN(30,MAX(5,5+$B$6/5+$B$4/10))</f>
        <v/>
      </c>
    </row>
    <row r="30">
      <c r="A30" t="n">
        <v>14</v>
      </c>
      <c r="B30">
        <f>MAX(1,$B$11*EXP(-$B$10*A30)*$B$12)</f>
        <v/>
      </c>
      <c r="C30">
        <f>MAX(1,$B$12*($B$6/50)*MAX(0.5,1+$B$2/100))</f>
        <v/>
      </c>
      <c r="D30">
        <f>MIN(30,MAX(5,5+$B$6/5+$B$4/10))</f>
        <v/>
      </c>
    </row>
    <row r="31">
      <c r="A31" t="n">
        <v>15</v>
      </c>
      <c r="B31">
        <f>MAX(1,$B$11*EXP(-$B$10*A31)*$B$12)</f>
        <v/>
      </c>
      <c r="C31">
        <f>MAX(1,$B$12*($B$6/50)*MAX(0.5,1+$B$2/100))</f>
        <v/>
      </c>
      <c r="D31">
        <f>MIN(30,MAX(5,5+$B$6/5+$B$4/10))</f>
        <v/>
      </c>
    </row>
    <row r="32">
      <c r="A32" t="n">
        <v>16</v>
      </c>
      <c r="B32">
        <f>MAX(1,$B$11*EXP(-$B$10*A32)*$B$12)</f>
        <v/>
      </c>
      <c r="C32">
        <f>MAX(1,$B$12*($B$6/50)*MAX(0.5,1+$B$2/100))</f>
        <v/>
      </c>
      <c r="D32">
        <f>MIN(30,MAX(5,5+$B$6/5+$B$4/10))</f>
        <v/>
      </c>
    </row>
    <row r="33">
      <c r="A33" t="n">
        <v>17</v>
      </c>
      <c r="B33">
        <f>MAX(1,$B$11*EXP(-$B$10*A33)*$B$12)</f>
        <v/>
      </c>
      <c r="C33">
        <f>MAX(1,$B$12*($B$6/50)*MAX(0.5,1+$B$2/100))</f>
        <v/>
      </c>
      <c r="D33">
        <f>MIN(30,MAX(5,5+$B$6/5+$B$4/10))</f>
        <v/>
      </c>
    </row>
    <row r="34">
      <c r="A34" t="n">
        <v>18</v>
      </c>
      <c r="B34">
        <f>MAX(1,$B$11*EXP(-$B$10*A34)*$B$12)</f>
        <v/>
      </c>
      <c r="C34">
        <f>MAX(1,$B$12*($B$6/50)*MAX(0.5,1+$B$2/100))</f>
        <v/>
      </c>
      <c r="D34">
        <f>MIN(30,MAX(5,5+$B$6/5+$B$4/10))</f>
        <v/>
      </c>
    </row>
    <row r="35">
      <c r="A35" t="n">
        <v>19</v>
      </c>
      <c r="B35">
        <f>MAX(1,$B$11*EXP(-$B$10*A35)*$B$12)</f>
        <v/>
      </c>
      <c r="C35">
        <f>MAX(1,$B$12*($B$6/50)*MAX(0.5,1+$B$2/100))</f>
        <v/>
      </c>
      <c r="D35">
        <f>MIN(30,MAX(5,5+$B$6/5+$B$4/10))</f>
        <v/>
      </c>
    </row>
    <row r="36">
      <c r="A36" t="n">
        <v>20</v>
      </c>
      <c r="B36">
        <f>MAX(1,$B$11*EXP(-$B$10*A36)*$B$12)</f>
        <v/>
      </c>
      <c r="C36">
        <f>MAX(1,$B$12*($B$6/50)*MAX(0.5,1+$B$2/100))</f>
        <v/>
      </c>
      <c r="D36">
        <f>MIN(30,MAX(5,5+$B$6/5+$B$4/10))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Margin Control</t>
        </is>
      </c>
    </row>
    <row r="2">
      <c r="A2" t="inlineStr">
        <is>
          <t>Balance</t>
        </is>
      </c>
      <c r="B2" t="n">
        <v>10000</v>
      </c>
    </row>
    <row r="3">
      <c r="A3" t="inlineStr">
        <is>
          <t>Equity</t>
        </is>
      </c>
      <c r="B3" t="n">
        <v>9400</v>
      </c>
    </row>
    <row r="4">
      <c r="A4" t="inlineStr">
        <is>
          <t>FreeMargin</t>
        </is>
      </c>
      <c r="B4" t="n">
        <v>7000</v>
      </c>
    </row>
    <row r="5">
      <c r="A5" t="inlineStr">
        <is>
          <t>Leverage</t>
        </is>
      </c>
      <c r="B5" t="n">
        <v>100</v>
      </c>
    </row>
    <row r="6">
      <c r="A6" t="inlineStr">
        <is>
          <t>MarginPerLot</t>
        </is>
      </c>
      <c r="B6" t="n">
        <v>1000</v>
      </c>
    </row>
    <row r="7">
      <c r="A7" t="inlineStr">
        <is>
          <t>MarginCallLevel</t>
        </is>
      </c>
      <c r="B7" t="n">
        <v>80</v>
      </c>
    </row>
    <row r="8">
      <c r="A8" t="inlineStr">
        <is>
          <t>StopOutLevel</t>
        </is>
      </c>
      <c r="B8" t="n">
        <v>50</v>
      </c>
    </row>
    <row r="9">
      <c r="A9" t="inlineStr">
        <is>
          <t>UsedMargin</t>
        </is>
      </c>
      <c r="B9" t="n">
        <v>2400</v>
      </c>
    </row>
    <row r="10">
      <c r="A10" t="inlineStr">
        <is>
          <t>NextLevelLot</t>
        </is>
      </c>
      <c r="B10" t="n">
        <v>0.2</v>
      </c>
    </row>
    <row r="12">
      <c r="A12" t="inlineStr">
        <is>
          <t>RequiredMargin</t>
        </is>
      </c>
      <c r="B12">
        <f>B9*B5</f>
        <v/>
      </c>
    </row>
    <row r="13">
      <c r="A13" t="inlineStr">
        <is>
          <t>MarginLoad%</t>
        </is>
      </c>
      <c r="B13">
        <f>B8/B3*100</f>
        <v/>
      </c>
    </row>
    <row r="14">
      <c r="A14" t="inlineStr">
        <is>
          <t>FreeMarginAfterNextLevel</t>
        </is>
      </c>
      <c r="B14">
        <f>B4-B12</f>
        <v/>
      </c>
    </row>
    <row r="15">
      <c r="A15" t="inlineStr">
        <is>
          <t>WorstCaseMargin</t>
        </is>
      </c>
      <c r="B15">
        <f>B8+B12</f>
        <v/>
      </c>
    </row>
    <row r="16">
      <c r="A16" t="inlineStr">
        <is>
          <t>MarginStress</t>
        </is>
      </c>
      <c r="B16">
        <f>IF(B13&lt;30,"SAFE",IF(B13&lt;50,"NORMAL",IF(B13&lt;70,"WARNING",IF(B13&lt;90,"DANGER","CRITICAL"))))</f>
        <v/>
      </c>
    </row>
    <row r="17">
      <c r="A17" t="inlineStr">
        <is>
          <t>MaxSafeLevels</t>
        </is>
      </c>
      <c r="B17">
        <f>MAX(1,INT(B4/B12))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Monte Carlo Scenarios</t>
        </is>
      </c>
    </row>
    <row r="3">
      <c r="A3" s="1" t="inlineStr">
        <is>
          <t>Scenario</t>
        </is>
      </c>
      <c r="B3" s="1" t="inlineStr">
        <is>
          <t>Max DD</t>
        </is>
      </c>
      <c r="C3" s="1" t="inlineStr">
        <is>
          <t>Max Levels</t>
        </is>
      </c>
      <c r="D3" s="1" t="inlineStr">
        <is>
          <t>Margin Stress</t>
        </is>
      </c>
      <c r="E3" s="1" t="inlineStr">
        <is>
          <t>Recovery Distance</t>
        </is>
      </c>
      <c r="F3" s="1" t="inlineStr">
        <is>
          <t>Required Rollback</t>
        </is>
      </c>
      <c r="G3" s="1" t="inlineStr">
        <is>
          <t>Survival</t>
        </is>
      </c>
    </row>
    <row r="4">
      <c r="A4" t="inlineStr">
        <is>
          <t>Strong Downtrend</t>
        </is>
      </c>
      <c r="B4" t="n">
        <v>35</v>
      </c>
      <c r="C4" t="n">
        <v>9</v>
      </c>
      <c r="D4" t="inlineStr">
        <is>
          <t>WARNING</t>
        </is>
      </c>
      <c r="E4" t="n">
        <v>850</v>
      </c>
      <c r="F4" t="n">
        <v>420</v>
      </c>
      <c r="G4" t="inlineStr">
        <is>
          <t>MEDIUM</t>
        </is>
      </c>
    </row>
    <row r="5">
      <c r="A5" t="inlineStr">
        <is>
          <t>Strong Uptrend</t>
        </is>
      </c>
      <c r="B5" t="n">
        <v>33</v>
      </c>
      <c r="C5" t="n">
        <v>8</v>
      </c>
      <c r="D5" t="inlineStr">
        <is>
          <t>WARNING</t>
        </is>
      </c>
      <c r="E5" t="n">
        <v>820</v>
      </c>
      <c r="F5" t="n">
        <v>400</v>
      </c>
      <c r="G5" t="inlineStr">
        <is>
          <t>MEDIUM</t>
        </is>
      </c>
    </row>
    <row r="6">
      <c r="A6" t="inlineStr">
        <is>
          <t>Volatile Trend</t>
        </is>
      </c>
      <c r="B6" t="n">
        <v>45</v>
      </c>
      <c r="C6" t="n">
        <v>10</v>
      </c>
      <c r="D6" t="inlineStr">
        <is>
          <t>DANGER</t>
        </is>
      </c>
      <c r="E6" t="n">
        <v>1200</v>
      </c>
      <c r="F6" t="n">
        <v>620</v>
      </c>
      <c r="G6" t="inlineStr">
        <is>
          <t>LOW</t>
        </is>
      </c>
    </row>
    <row r="7">
      <c r="A7" t="inlineStr">
        <is>
          <t>Flash Crash</t>
        </is>
      </c>
      <c r="B7" t="n">
        <v>60</v>
      </c>
      <c r="C7" t="n">
        <v>12</v>
      </c>
      <c r="D7" t="inlineStr">
        <is>
          <t>CRITICAL</t>
        </is>
      </c>
      <c r="E7" t="n">
        <v>1800</v>
      </c>
      <c r="F7" t="n">
        <v>900</v>
      </c>
      <c r="G7" t="inlineStr">
        <is>
          <t>LOW</t>
        </is>
      </c>
    </row>
    <row r="8">
      <c r="A8" t="inlineStr">
        <is>
          <t>Long Compression</t>
        </is>
      </c>
      <c r="B8" t="n">
        <v>28</v>
      </c>
      <c r="C8" t="n">
        <v>7</v>
      </c>
      <c r="D8" t="inlineStr">
        <is>
          <t>NORMAL</t>
        </is>
      </c>
      <c r="E8" t="n">
        <v>640</v>
      </c>
      <c r="F8" t="n">
        <v>300</v>
      </c>
      <c r="G8" t="inlineStr">
        <is>
          <t>HIGH</t>
        </is>
      </c>
    </row>
    <row r="9">
      <c r="A9" t="inlineStr">
        <is>
          <t>Endless Trend</t>
        </is>
      </c>
      <c r="B9" t="n">
        <v>72</v>
      </c>
      <c r="C9" t="n">
        <v>14</v>
      </c>
      <c r="D9" t="inlineStr">
        <is>
          <t>CRITICAL</t>
        </is>
      </c>
      <c r="E9" t="n">
        <v>2600</v>
      </c>
      <c r="F9" t="n">
        <v>1200</v>
      </c>
      <c r="G9" t="inlineStr">
        <is>
          <t>VERY LOW</t>
        </is>
      </c>
    </row>
    <row r="10">
      <c r="A10" t="inlineStr">
        <is>
          <t>Trend + Spike</t>
        </is>
      </c>
      <c r="B10" t="n">
        <v>55</v>
      </c>
      <c r="C10" t="n">
        <v>11</v>
      </c>
      <c r="D10" t="inlineStr">
        <is>
          <t>DANGER</t>
        </is>
      </c>
      <c r="E10" t="n">
        <v>1500</v>
      </c>
      <c r="F10" t="n">
        <v>760</v>
      </c>
      <c r="G10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Model</t>
        </is>
      </c>
    </row>
    <row r="3">
      <c r="A3" s="1" t="inlineStr">
        <is>
          <t>Step</t>
        </is>
      </c>
      <c r="B3" s="1" t="inlineStr">
        <is>
          <t>Balance</t>
        </is>
      </c>
      <c r="C3" s="1" t="inlineStr">
        <is>
          <t>Equity</t>
        </is>
      </c>
      <c r="D3" s="1" t="inlineStr">
        <is>
          <t>Floating DD</t>
        </is>
      </c>
      <c r="E3" s="1" t="inlineStr">
        <is>
          <t>Recovery</t>
        </is>
      </c>
      <c r="F3" s="1" t="inlineStr">
        <is>
          <t>Margin Load</t>
        </is>
      </c>
    </row>
    <row r="4">
      <c r="A4" t="n">
        <v>0</v>
      </c>
      <c r="B4" t="n">
        <v>10000</v>
      </c>
      <c r="C4" t="n">
        <v>10000</v>
      </c>
      <c r="D4" t="n">
        <v>0</v>
      </c>
      <c r="E4" t="n">
        <v>0</v>
      </c>
      <c r="F4" t="n">
        <v>24</v>
      </c>
    </row>
    <row r="5">
      <c r="A5" t="n">
        <v>1</v>
      </c>
      <c r="B5" t="n">
        <v>10000</v>
      </c>
      <c r="C5" t="n">
        <v>9800</v>
      </c>
      <c r="D5" t="n">
        <v>2</v>
      </c>
      <c r="E5" t="n">
        <v>10</v>
      </c>
      <c r="F5" t="n">
        <v>28</v>
      </c>
    </row>
    <row r="6">
      <c r="A6" t="n">
        <v>2</v>
      </c>
      <c r="B6" t="n">
        <v>10000</v>
      </c>
      <c r="C6" t="n">
        <v>9500</v>
      </c>
      <c r="D6" t="n">
        <v>5</v>
      </c>
      <c r="E6" t="n">
        <v>20</v>
      </c>
      <c r="F6" t="n">
        <v>35</v>
      </c>
    </row>
    <row r="7">
      <c r="A7" t="n">
        <v>3</v>
      </c>
      <c r="B7" t="n">
        <v>10000</v>
      </c>
      <c r="C7" t="n">
        <v>9300</v>
      </c>
      <c r="D7" t="n">
        <v>7</v>
      </c>
      <c r="E7" t="n">
        <v>35</v>
      </c>
      <c r="F7" t="n">
        <v>42</v>
      </c>
    </row>
    <row r="8">
      <c r="A8" t="n">
        <v>4</v>
      </c>
      <c r="B8" t="n">
        <v>10000</v>
      </c>
      <c r="C8" t="n">
        <v>9400</v>
      </c>
      <c r="D8" t="n">
        <v>6</v>
      </c>
      <c r="E8" t="n">
        <v>50</v>
      </c>
      <c r="F8" t="n">
        <v>39</v>
      </c>
    </row>
    <row r="9">
      <c r="A9" t="n">
        <v>5</v>
      </c>
      <c r="B9" t="n">
        <v>10000</v>
      </c>
      <c r="C9" t="n">
        <v>9700</v>
      </c>
      <c r="D9" t="n">
        <v>3</v>
      </c>
      <c r="E9" t="n">
        <v>72</v>
      </c>
      <c r="F9" t="n">
        <v>32</v>
      </c>
    </row>
    <row r="10">
      <c r="A10" t="n">
        <v>6</v>
      </c>
      <c r="B10" t="n">
        <v>10000</v>
      </c>
      <c r="C10" t="n">
        <v>9950</v>
      </c>
      <c r="D10" t="n">
        <v>1</v>
      </c>
      <c r="E10" t="n">
        <v>90</v>
      </c>
      <c r="F10" t="n">
        <v>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Recovery Map</t>
        </is>
      </c>
    </row>
    <row r="3">
      <c r="A3" s="1" t="inlineStr">
        <is>
          <t>Level</t>
        </is>
      </c>
      <c r="B3" s="1" t="inlineStr">
        <is>
          <t>RecoveryDistance</t>
        </is>
      </c>
      <c r="C3" s="1" t="inlineStr">
        <is>
          <t>TimeBars</t>
        </is>
      </c>
      <c r="D3" s="1" t="inlineStr">
        <is>
          <t>CompressionCycles</t>
        </is>
      </c>
      <c r="E3" s="1" t="inlineStr">
        <is>
          <t>Basket&gt;=0</t>
        </is>
      </c>
    </row>
    <row r="4">
      <c r="A4" t="n">
        <v>1</v>
      </c>
      <c r="B4" t="n">
        <v>120</v>
      </c>
      <c r="C4" t="n">
        <v>8</v>
      </c>
      <c r="D4" t="n">
        <v>1</v>
      </c>
      <c r="E4" t="inlineStr">
        <is>
          <t>YES</t>
        </is>
      </c>
    </row>
    <row r="5">
      <c r="A5" t="n">
        <v>2</v>
      </c>
      <c r="B5" t="n">
        <v>260</v>
      </c>
      <c r="C5" t="n">
        <v>16</v>
      </c>
      <c r="D5" t="n">
        <v>2</v>
      </c>
      <c r="E5" t="inlineStr">
        <is>
          <t>YES</t>
        </is>
      </c>
    </row>
    <row r="6">
      <c r="A6" t="n">
        <v>3</v>
      </c>
      <c r="B6" t="n">
        <v>430</v>
      </c>
      <c r="C6" t="n">
        <v>28</v>
      </c>
      <c r="D6" t="n">
        <v>3</v>
      </c>
      <c r="E6" t="inlineStr">
        <is>
          <t>YES</t>
        </is>
      </c>
    </row>
    <row r="7">
      <c r="A7" t="n">
        <v>4</v>
      </c>
      <c r="B7" t="n">
        <v>660</v>
      </c>
      <c r="C7" t="n">
        <v>45</v>
      </c>
      <c r="D7" t="n">
        <v>4</v>
      </c>
      <c r="E7" t="inlineStr">
        <is>
          <t>NO</t>
        </is>
      </c>
    </row>
    <row r="8">
      <c r="A8" t="n">
        <v>5</v>
      </c>
      <c r="B8" t="n">
        <v>980</v>
      </c>
      <c r="C8" t="n">
        <v>70</v>
      </c>
      <c r="D8" t="n">
        <v>6</v>
      </c>
      <c r="E8" t="inlineStr">
        <is>
          <t>NO</t>
        </is>
      </c>
    </row>
    <row r="9">
      <c r="A9" t="n">
        <v>6</v>
      </c>
      <c r="B9" t="n">
        <v>1300</v>
      </c>
      <c r="C9" t="n">
        <v>95</v>
      </c>
      <c r="D9" t="n">
        <v>8</v>
      </c>
      <c r="E9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 Test</t>
        </is>
      </c>
    </row>
    <row r="3">
      <c r="A3" s="1" t="inlineStr">
        <is>
          <t>Case</t>
        </is>
      </c>
      <c r="B3" s="1" t="inlineStr">
        <is>
          <t>Result</t>
        </is>
      </c>
      <c r="C3" s="1" t="inlineStr">
        <is>
          <t>Risk</t>
        </is>
      </c>
    </row>
    <row r="4">
      <c r="A4" t="inlineStr">
        <is>
          <t>ATR x2</t>
        </is>
      </c>
      <c r="B4" t="inlineStr">
        <is>
          <t>PASS</t>
        </is>
      </c>
      <c r="C4" t="inlineStr">
        <is>
          <t>NORMAL</t>
        </is>
      </c>
    </row>
    <row r="5">
      <c r="A5" t="inlineStr">
        <is>
          <t>ATR x5</t>
        </is>
      </c>
      <c r="B5" t="inlineStr">
        <is>
          <t>WARN</t>
        </is>
      </c>
      <c r="C5" t="inlineStr">
        <is>
          <t>DANGER</t>
        </is>
      </c>
    </row>
    <row r="6">
      <c r="A6" t="inlineStr">
        <is>
          <t>Spread x3</t>
        </is>
      </c>
      <c r="B6" t="inlineStr">
        <is>
          <t>WARN</t>
        </is>
      </c>
      <c r="C6" t="inlineStr">
        <is>
          <t>WARNING</t>
        </is>
      </c>
    </row>
    <row r="7">
      <c r="A7" t="inlineStr">
        <is>
          <t>Gap 500</t>
        </is>
      </c>
      <c r="B7" t="inlineStr">
        <is>
          <t>WARN</t>
        </is>
      </c>
      <c r="C7" t="inlineStr">
        <is>
          <t>DANGER</t>
        </is>
      </c>
    </row>
    <row r="8">
      <c r="A8" t="inlineStr">
        <is>
          <t>Flash move</t>
        </is>
      </c>
      <c r="B8" t="inlineStr">
        <is>
          <t>FAIL</t>
        </is>
      </c>
      <c r="C8" t="inlineStr">
        <is>
          <t>CRITICAL</t>
        </is>
      </c>
    </row>
    <row r="9">
      <c r="A9" t="inlineStr">
        <is>
          <t>Infinite trend</t>
        </is>
      </c>
      <c r="B9" t="inlineStr">
        <is>
          <t>FAIL</t>
        </is>
      </c>
      <c r="C9" t="inlineStr">
        <is>
          <t>CRITICAL</t>
        </is>
      </c>
    </row>
    <row r="10">
      <c r="A10" t="inlineStr">
        <is>
          <t>No rollback</t>
        </is>
      </c>
      <c r="B10" t="inlineStr">
        <is>
          <t>FAIL</t>
        </is>
      </c>
      <c r="C10" t="inlineStr">
        <is>
          <t>CRITICAL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Dashboard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RiskScore</t>
        </is>
      </c>
      <c r="B4">
        <f>MIN(100,MAX(0,0.35*EquityModel!D6+0.35*MarginControl!B13+0.2*AdaptiveEngine!B2+0.1*MarketModel!B3/2))</f>
        <v/>
      </c>
    </row>
    <row r="5">
      <c r="A5" t="inlineStr">
        <is>
          <t>RiskStatus</t>
        </is>
      </c>
      <c r="B5">
        <f>IF(B4&lt;20,"SAFE",IF(B4&lt;40,"NORMAL",IF(B4&lt;60,"WARNING",IF(B4&lt;80,"DANGER","CRITICAL"))))</f>
        <v/>
      </c>
    </row>
    <row r="6">
      <c r="A6" t="inlineStr">
        <is>
          <t>CurrentSkew</t>
        </is>
      </c>
      <c r="B6">
        <f>AdaptiveEngine!B2</f>
        <v/>
      </c>
    </row>
    <row r="7">
      <c r="A7" t="inlineStr">
        <is>
          <t>SurvivalProbability</t>
        </is>
      </c>
      <c r="B7">
        <f>MAX(0,100-B4)</f>
        <v/>
      </c>
    </row>
    <row r="8">
      <c r="A8" t="inlineStr">
        <is>
          <t>AdaptiveLevelStop</t>
        </is>
      </c>
      <c r="B8">
        <f>IF(OR(MarginControl!B13&gt;70,EquityModel!D6&gt;25,MarketModel!B3&gt;200,AdaptiveEngine!D17&gt;25),"STOP NEW LEVELS","ALLOW")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2026-05-15T21:16:48Z</dcterms:created>
  <dcterms:modified xsi:type="dcterms:W3CDTF">2026-05-15T21:16:48Z</dcterms:modified>
</cp:coreProperties>
</file>