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ownTrend" sheetId="2" state="visible" r:id="rId2"/>
    <sheet name="UpTrend" sheetId="3" state="visible" r:id="rId3"/>
    <sheet name="Summary" sheetId="4" state="visible" r:id="rId4"/>
    <sheet name="Checks" sheetId="5" state="visible" r:id="rId5"/>
    <sheet name="Manual" sheetId="6" state="visible" r:id="rId6"/>
  </sheets>
  <definedNames>
    <definedName name="LevelRange">Settings!$A$22:$A$200</definedName>
    <definedName name="BigPercentRange">Settings!$B$22:$B$200</definedName>
    <definedName name="SmallPercentRange">Settings!$C$22:$C$200</definedName>
    <definedName name="TargetSkewRange">Settings!$D$22:$D$200</definedName>
    <definedName name="ManualCloseRange">Settings!$E$22:$E$200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9CC2E5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Raw vs Rounded Lots</a:t>
            </a:r>
          </a:p>
        </rich>
      </tx>
    </title>
    <plotArea>
      <lineChart>
        <grouping val="standard"/>
        <ser>
          <idx val="0"/>
          <order val="0"/>
          <tx>
            <strRef>
              <f>'DownTrend'!V2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'DownTrend'!$V$3:$V$8</f>
            </numRef>
          </val>
        </ser>
        <ser>
          <idx val="1"/>
          <order val="1"/>
          <tx>
            <strRef>
              <f>'DownTrend'!W2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'DownTrend'!$W$3:$W$8</f>
            </numRef>
          </val>
        </ser>
        <ser>
          <idx val="2"/>
          <order val="2"/>
          <tx>
            <strRef>
              <f>'DownTrend'!X2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'DownTrend'!$X$3:$X$8</f>
            </numRef>
          </val>
        </ser>
        <ser>
          <idx val="3"/>
          <order val="3"/>
          <tx>
            <strRef>
              <f>'DownTrend'!Y2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'DownTrend'!$Y$3:$Y$8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BUY/SELL after rounding</a:t>
            </a:r>
          </a:p>
        </rich>
      </tx>
    </title>
    <plotArea>
      <lineChart>
        <grouping val="standard"/>
        <ser>
          <idx val="0"/>
          <order val="0"/>
          <tx>
            <strRef>
              <f>'DownTrend'!Q2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'DownTrend'!$Q$3:$Q$8</f>
            </numRef>
          </val>
        </ser>
        <ser>
          <idx val="1"/>
          <order val="1"/>
          <tx>
            <strRef>
              <f>'DownTrend'!R2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'DownTrend'!$R$3:$R$8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SAFE adjustments count</a:t>
            </a:r>
          </a:p>
        </rich>
      </tx>
    </title>
    <plotArea>
      <lineChart>
        <grouping val="standard"/>
        <ser>
          <idx val="0"/>
          <order val="0"/>
          <tx>
            <strRef>
              <f>'DownTrend'!AB2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'DownTrend'!$AB$3:$AB$8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Skew before/after</a:t>
            </a:r>
          </a:p>
        </rich>
      </tx>
    </title>
    <plotArea>
      <lineChart>
        <grouping val="standard"/>
        <ser>
          <idx val="0"/>
          <order val="0"/>
          <tx>
            <strRef>
              <f>'DownTrend'!J2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'DownTrend'!$J$3:$J$8</f>
            </numRef>
          </val>
        </ser>
        <ser>
          <idx val="1"/>
          <order val="1"/>
          <tx>
            <strRef>
              <f>'DownTrend'!K2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'DownTrend'!$K$3:$K$8</f>
            </numRef>
          </val>
        </ser>
        <ser>
          <idx val="2"/>
          <order val="2"/>
          <tx>
            <strRef>
              <f>'DownTrend'!L2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'DownTrend'!$L$3:$L$8</f>
            </numRef>
          </val>
        </ser>
        <ser>
          <idx val="3"/>
          <order val="3"/>
          <tx>
            <strRef>
              <f>'DownTrend'!M2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'DownTrend'!$M$3:$M$8</f>
            </numRef>
          </val>
        </ser>
        <ser>
          <idx val="4"/>
          <order val="4"/>
          <tx>
            <strRef>
              <f>'DownTrend'!N2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'DownTrend'!$N$3:$N$8</f>
            </numRef>
          </val>
        </ser>
        <ser>
          <idx val="5"/>
          <order val="5"/>
          <tx>
            <strRef>
              <f>'DownTrend'!O2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'DownTrend'!$O$3:$O$8</f>
            </numRef>
          </val>
        </ser>
        <ser>
          <idx val="6"/>
          <order val="6"/>
          <tx>
            <strRef>
              <f>'DownTrend'!P2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'DownTrend'!$P$3:$P$8</f>
            </numRef>
          </val>
        </ser>
        <ser>
          <idx val="7"/>
          <order val="7"/>
          <tx>
            <strRef>
              <f>'DownTrend'!Q2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'DownTrend'!$Q$3:$Q$8</f>
            </numRef>
          </val>
        </ser>
        <ser>
          <idx val="8"/>
          <order val="8"/>
          <tx>
            <strRef>
              <f>'DownTrend'!R2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'DownTrend'!$R$3:$R$8</f>
            </numRef>
          </val>
        </ser>
        <ser>
          <idx val="9"/>
          <order val="9"/>
          <tx>
            <strRef>
              <f>'DownTrend'!S2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'DownTrend'!$S$3:$S$8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Skew after rounding</a:t>
            </a:r>
          </a:p>
        </rich>
      </tx>
    </title>
    <plotArea>
      <lineChart>
        <grouping val="standard"/>
        <ser>
          <idx val="0"/>
          <order val="0"/>
          <tx>
            <strRef>
              <f>'DownTrend'!S2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'DownTrend'!$A$3:$A$8</f>
            </numRef>
          </cat>
          <val>
            <numRef>
              <f>'DownTrend'!$S$3:$S$8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36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48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26"/>
  <sheetViews>
    <sheetView workbookViewId="0">
      <selection activeCell="A1" sqref="A1"/>
    </sheetView>
  </sheetViews>
  <sheetFormatPr baseColWidth="8" defaultRowHeight="15"/>
  <sheetData>
    <row r="2">
      <c r="A2" s="1" t="inlineStr">
        <is>
          <t>StartLot</t>
        </is>
      </c>
      <c r="B2" t="n">
        <v>1</v>
      </c>
    </row>
    <row r="3">
      <c r="A3" s="1" t="inlineStr">
        <is>
          <t>PointStep</t>
        </is>
      </c>
      <c r="B3" t="n">
        <v>100</v>
      </c>
    </row>
    <row r="4">
      <c r="A4" s="1" t="inlineStr">
        <is>
          <t>MaxLevels</t>
        </is>
      </c>
      <c r="B4" t="n">
        <v>5</v>
      </c>
    </row>
    <row r="5">
      <c r="A5" s="1" t="inlineStr">
        <is>
          <t>LotStep</t>
        </is>
      </c>
      <c r="B5" t="n">
        <v>0.01</v>
      </c>
    </row>
    <row r="6">
      <c r="A6" s="1" t="inlineStr">
        <is>
          <t>RoundMode</t>
        </is>
      </c>
      <c r="B6" t="inlineStr">
        <is>
          <t>Nearest</t>
        </is>
      </c>
    </row>
    <row r="7">
      <c r="A7" s="1" t="inlineStr">
        <is>
          <t>TargetSkewMin%</t>
        </is>
      </c>
      <c r="B7" t="n">
        <v>5</v>
      </c>
    </row>
    <row r="8">
      <c r="A8" s="1" t="inlineStr">
        <is>
          <t>TargetSkewMax%</t>
        </is>
      </c>
      <c r="B8" t="n">
        <v>25</v>
      </c>
    </row>
    <row r="9">
      <c r="A9" s="1" t="inlineStr">
        <is>
          <t>UseRounding</t>
        </is>
      </c>
      <c r="B9" t="b">
        <v>1</v>
      </c>
    </row>
    <row r="10">
      <c r="A10" s="1" t="inlineStr">
        <is>
          <t>Direction</t>
        </is>
      </c>
      <c r="B10" t="inlineStr">
        <is>
          <t>DOWN</t>
        </is>
      </c>
    </row>
    <row r="11">
      <c r="A11" s="1" t="inlineStr">
        <is>
          <t>BigRoundMode_DOWN</t>
        </is>
      </c>
      <c r="B11" t="inlineStr">
        <is>
          <t>DOWN</t>
        </is>
      </c>
    </row>
    <row r="12">
      <c r="A12" s="1" t="inlineStr">
        <is>
          <t>SmallRoundMode_DOWN</t>
        </is>
      </c>
      <c r="B12" t="inlineStr">
        <is>
          <t>UP</t>
        </is>
      </c>
    </row>
    <row r="13">
      <c r="A13" s="1" t="inlineStr">
        <is>
          <t>CloseRoundMode_DOWN</t>
        </is>
      </c>
      <c r="B13" t="inlineStr">
        <is>
          <t>SAFE</t>
        </is>
      </c>
    </row>
    <row r="14">
      <c r="A14" s="1" t="inlineStr">
        <is>
          <t>BigRoundMode_UP</t>
        </is>
      </c>
      <c r="B14" t="inlineStr">
        <is>
          <t>DOWN</t>
        </is>
      </c>
    </row>
    <row r="15">
      <c r="A15" s="1" t="inlineStr">
        <is>
          <t>SmallRoundMode_UP</t>
        </is>
      </c>
      <c r="B15" t="inlineStr">
        <is>
          <t>UP</t>
        </is>
      </c>
    </row>
    <row r="16">
      <c r="A16" s="1" t="inlineStr">
        <is>
          <t>CloseRoundMode_UP</t>
        </is>
      </c>
      <c r="B16" t="inlineStr">
        <is>
          <t>SAFE</t>
        </is>
      </c>
    </row>
    <row r="17">
      <c r="A17" s="1" t="inlineStr">
        <is>
          <t>EnableRiskSafeRounding</t>
        </is>
      </c>
      <c r="B17" t="b">
        <v>1</v>
      </c>
    </row>
    <row r="18">
      <c r="A18" s="1" t="inlineStr">
        <is>
          <t>EnableInputValidation</t>
        </is>
      </c>
      <c r="B18" t="b">
        <v>1</v>
      </c>
    </row>
    <row r="21">
      <c r="A21" s="1" t="inlineStr">
        <is>
          <t>Level</t>
        </is>
      </c>
      <c r="B21" s="1" t="inlineStr">
        <is>
          <t>Big%</t>
        </is>
      </c>
      <c r="C21" s="1" t="inlineStr">
        <is>
          <t>Small%</t>
        </is>
      </c>
      <c r="D21" s="1" t="inlineStr">
        <is>
          <t>TargetSkew%</t>
        </is>
      </c>
      <c r="E21" s="1" t="inlineStr">
        <is>
          <t>ManualClose%</t>
        </is>
      </c>
    </row>
    <row r="22">
      <c r="A22" t="n">
        <v>1</v>
      </c>
      <c r="B22" t="n">
        <v>90</v>
      </c>
      <c r="C22" t="n">
        <v>30</v>
      </c>
      <c r="D22" t="n">
        <v>0</v>
      </c>
    </row>
    <row r="23">
      <c r="A23" t="n">
        <v>2</v>
      </c>
      <c r="B23" t="n">
        <v>30</v>
      </c>
      <c r="C23" t="n">
        <v>15</v>
      </c>
      <c r="D23" t="n">
        <v>15</v>
      </c>
    </row>
    <row r="24">
      <c r="A24" t="n">
        <v>3</v>
      </c>
      <c r="B24" t="n">
        <v>20</v>
      </c>
      <c r="C24" t="n">
        <v>15</v>
      </c>
      <c r="D24" t="n">
        <v>10</v>
      </c>
    </row>
    <row r="25">
      <c r="A25" t="n">
        <v>4</v>
      </c>
      <c r="B25" t="n">
        <v>10</v>
      </c>
      <c r="C25" t="n">
        <v>10</v>
      </c>
      <c r="D25" t="n">
        <v>10</v>
      </c>
    </row>
    <row r="26">
      <c r="A26" t="n">
        <v>5</v>
      </c>
      <c r="B26" t="n">
        <v>5</v>
      </c>
      <c r="C26" t="n">
        <v>5</v>
      </c>
      <c r="D26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BUY %</t>
        </is>
      </c>
      <c r="D1" s="1" t="inlineStr">
        <is>
          <t>Big Lot</t>
        </is>
      </c>
      <c r="E1" s="1" t="inlineStr">
        <is>
          <t>Small SELL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BUY must be &gt;= Small SELL",IF(AND(LEN(L2)&gt;0,L2&gt;G2),"ERROR: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IF(T2="ERROR: Rounding broke protection balance","ERROR",IF(AND(Settings!$B$17,ABS(AA2-Z2)&gt;1E-9),"FIXED",IF(ABS(S2)&lt;=Settings!$B$7,"SAFE","WARNING")))</f>
        <v/>
      </c>
      <c r="AC2">
        <f>IF(AB2="FIXED","Close adjusted by SAFE mode",IF(AB2="SAFE","Balance preserved",IF(AB2="WARNING","Near protection boundary","Protection broken")))</f>
        <v/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BUY must be &gt;= Small SELL",IF(AND(LEN(L3)&gt;0,L3&gt;G3),"ERROR: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V3">
        <f>Settings!$B$2*C3/100</f>
        <v/>
      </c>
      <c r="W3">
        <f>IF(Settings!$B$17,IF(Settings!$B$9,FLOOR(V3,Settings!$B$5),V3),IF(Settings!$B$9,MROUND(V3,Settings!$B$5),V3))</f>
        <v/>
      </c>
      <c r="X3">
        <f>Settings!$B$2*E3/100</f>
        <v/>
      </c>
      <c r="Y3">
        <f>IF(Settings!$B$17,IF(Settings!$B$9,CEILING(X3,Settings!$B$5),X3),IF(Settings!$B$9,MROUND(X3,Settings!$B$5),X3))</f>
        <v/>
      </c>
      <c r="Z3">
        <f>Settings!$B$2*M3/100</f>
        <v/>
      </c>
      <c r="AA3">
        <f>IF(Settings!$B$17,MIN(Settings!$B$2*G3/100,IF(Settings!$B$9,CEILING(MAX(0,V3+Settings!$B$2*G3/100-X3-Settings!$B$2*J3/100),Settings!$B$5),MAX(0,V3+Settings!$B$2*G3/100-X3-Settings!$B$2*J3/100))),IF(Settings!$B$9,MROUND(Z3,Settings!$B$5),Z3))</f>
        <v/>
      </c>
      <c r="AB3">
        <f>IF(T3="ERROR: Rounding broke protection balance","ERROR",IF(AND(Settings!$B$17,ABS(AA3-Z3)&gt;1E-9),"FIXED",IF(ABS(S3)&lt;=Settings!$B$7,"SAFE","WARNING")))</f>
        <v/>
      </c>
      <c r="AC3">
        <f>IF(AB3="FIXED","Close adjusted by SAFE mode",IF(AB3="SAFE","Balance preserved",IF(AB3="WARNING","Near protection boundary","Protection broken")))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BUY must be &gt;= Small SELL",IF(AND(LEN(L4)&gt;0,L4&gt;G4),"ERROR: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V4">
        <f>Settings!$B$2*C4/100</f>
        <v/>
      </c>
      <c r="W4">
        <f>IF(Settings!$B$17,IF(Settings!$B$9,FLOOR(V4,Settings!$B$5),V4),IF(Settings!$B$9,MROUND(V4,Settings!$B$5),V4))</f>
        <v/>
      </c>
      <c r="X4">
        <f>Settings!$B$2*E4/100</f>
        <v/>
      </c>
      <c r="Y4">
        <f>IF(Settings!$B$17,IF(Settings!$B$9,CEILING(X4,Settings!$B$5),X4),IF(Settings!$B$9,MROUND(X4,Settings!$B$5),X4))</f>
        <v/>
      </c>
      <c r="Z4">
        <f>Settings!$B$2*M4/100</f>
        <v/>
      </c>
      <c r="AA4">
        <f>IF(Settings!$B$17,MIN(Settings!$B$2*G4/100,IF(Settings!$B$9,CEILING(MAX(0,V4+Settings!$B$2*G4/100-X4-Settings!$B$2*J4/100),Settings!$B$5),MAX(0,V4+Settings!$B$2*G4/100-X4-Settings!$B$2*J4/100))),IF(Settings!$B$9,MROUND(Z4,Settings!$B$5),Z4))</f>
        <v/>
      </c>
      <c r="AB4">
        <f>IF(T4="ERROR: Rounding broke protection balance","ERROR",IF(AND(Settings!$B$17,ABS(AA4-Z4)&gt;1E-9),"FIXED",IF(ABS(S4)&lt;=Settings!$B$7,"SAFE","WARNING")))</f>
        <v/>
      </c>
      <c r="AC4">
        <f>IF(AB4="FIXED","Close adjusted by SAFE mode",IF(AB4="SAFE","Balance preserved",IF(AB4="WARNING","Near protection boundary","Protection broken")))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BUY must be &gt;= Small SELL",IF(AND(LEN(L5)&gt;0,L5&gt;G5),"ERROR: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V5">
        <f>Settings!$B$2*C5/100</f>
        <v/>
      </c>
      <c r="W5">
        <f>IF(Settings!$B$17,IF(Settings!$B$9,FLOOR(V5,Settings!$B$5),V5),IF(Settings!$B$9,MROUND(V5,Settings!$B$5),V5))</f>
        <v/>
      </c>
      <c r="X5">
        <f>Settings!$B$2*E5/100</f>
        <v/>
      </c>
      <c r="Y5">
        <f>IF(Settings!$B$17,IF(Settings!$B$9,CEILING(X5,Settings!$B$5),X5),IF(Settings!$B$9,MROUND(X5,Settings!$B$5),X5))</f>
        <v/>
      </c>
      <c r="Z5">
        <f>Settings!$B$2*M5/100</f>
        <v/>
      </c>
      <c r="AA5">
        <f>IF(Settings!$B$17,MIN(Settings!$B$2*G5/100,IF(Settings!$B$9,CEILING(MAX(0,V5+Settings!$B$2*G5/100-X5-Settings!$B$2*J5/100),Settings!$B$5),MAX(0,V5+Settings!$B$2*G5/100-X5-Settings!$B$2*J5/100))),IF(Settings!$B$9,MROUND(Z5,Settings!$B$5),Z5))</f>
        <v/>
      </c>
      <c r="AB5">
        <f>IF(T5="ERROR: Rounding broke protection balance","ERROR",IF(AND(Settings!$B$17,ABS(AA5-Z5)&gt;1E-9),"FIXED",IF(ABS(S5)&lt;=Settings!$B$7,"SAFE","WARNING")))</f>
        <v/>
      </c>
      <c r="AC5">
        <f>IF(AB5="FIXED","Close adjusted by SAFE mode",IF(AB5="SAFE","Balance preserved",IF(AB5="WARNING","Near protection boundary","Protection broken")))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BUY must be &gt;= Small SELL",IF(AND(LEN(L6)&gt;0,L6&gt;G6),"ERROR: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V6">
        <f>Settings!$B$2*C6/100</f>
        <v/>
      </c>
      <c r="W6">
        <f>IF(Settings!$B$17,IF(Settings!$B$9,FLOOR(V6,Settings!$B$5),V6),IF(Settings!$B$9,MROUND(V6,Settings!$B$5),V6))</f>
        <v/>
      </c>
      <c r="X6">
        <f>Settings!$B$2*E6/100</f>
        <v/>
      </c>
      <c r="Y6">
        <f>IF(Settings!$B$17,IF(Settings!$B$9,CEILING(X6,Settings!$B$5),X6),IF(Settings!$B$9,MROUND(X6,Settings!$B$5),X6))</f>
        <v/>
      </c>
      <c r="Z6">
        <f>Settings!$B$2*M6/100</f>
        <v/>
      </c>
      <c r="AA6">
        <f>IF(Settings!$B$17,MIN(Settings!$B$2*G6/100,IF(Settings!$B$9,CEILING(MAX(0,V6+Settings!$B$2*G6/100-X6-Settings!$B$2*J6/100),Settings!$B$5),MAX(0,V6+Settings!$B$2*G6/100-X6-Settings!$B$2*J6/100))),IF(Settings!$B$9,MROUND(Z6,Settings!$B$5),Z6))</f>
        <v/>
      </c>
      <c r="AB6">
        <f>IF(T6="ERROR: Rounding broke protection balance","ERROR",IF(AND(Settings!$B$17,ABS(AA6-Z6)&gt;1E-9),"FIXED",IF(ABS(S6)&lt;=Settings!$B$7,"SAFE","WARNING")))</f>
        <v/>
      </c>
      <c r="AC6">
        <f>IF(AB6="FIXED","Close adjusted by SAFE mode",IF(AB6="SAFE","Balance preserved",IF(AB6="WARNING","Near protection boundary","Protection broken")))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BUY must be &gt;= Small SELL",IF(AND(LEN(L7)&gt;0,L7&gt;G7),"ERROR: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V7">
        <f>Settings!$B$2*C7/100</f>
        <v/>
      </c>
      <c r="W7">
        <f>IF(Settings!$B$17,IF(Settings!$B$9,FLOOR(V7,Settings!$B$5),V7),IF(Settings!$B$9,MROUND(V7,Settings!$B$5),V7))</f>
        <v/>
      </c>
      <c r="X7">
        <f>Settings!$B$2*E7/100</f>
        <v/>
      </c>
      <c r="Y7">
        <f>IF(Settings!$B$17,IF(Settings!$B$9,CEILING(X7,Settings!$B$5),X7),IF(Settings!$B$9,MROUND(X7,Settings!$B$5),X7))</f>
        <v/>
      </c>
      <c r="Z7">
        <f>Settings!$B$2*M7/100</f>
        <v/>
      </c>
      <c r="AA7">
        <f>IF(Settings!$B$17,MIN(Settings!$B$2*G7/100,IF(Settings!$B$9,CEILING(MAX(0,V7+Settings!$B$2*G7/100-X7-Settings!$B$2*J7/100),Settings!$B$5),MAX(0,V7+Settings!$B$2*G7/100-X7-Settings!$B$2*J7/100))),IF(Settings!$B$9,MROUND(Z7,Settings!$B$5),Z7))</f>
        <v/>
      </c>
      <c r="AB7">
        <f>IF(T7="ERROR: Rounding broke protection balance","ERROR",IF(AND(Settings!$B$17,ABS(AA7-Z7)&gt;1E-9),"FIXED",IF(ABS(S7)&lt;=Settings!$B$7,"SAFE","WARNING")))</f>
        <v/>
      </c>
      <c r="AC7">
        <f>IF(AB7="FIXED","Close adjusted by SAFE mode",IF(AB7="SAFE","Balance preserved",IF(AB7="WARNING","Near protection boundary","Protection broken")))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BUY must be &gt;= Small SELL",IF(AND(LEN(L8)&gt;0,L8&gt;G8),"ERROR: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V8">
        <f>Settings!$B$2*C8/100</f>
        <v/>
      </c>
      <c r="W8">
        <f>IF(Settings!$B$17,IF(Settings!$B$9,FLOOR(V8,Settings!$B$5),V8),IF(Settings!$B$9,MROUND(V8,Settings!$B$5),V8))</f>
        <v/>
      </c>
      <c r="X8">
        <f>Settings!$B$2*E8/100</f>
        <v/>
      </c>
      <c r="Y8">
        <f>IF(Settings!$B$17,IF(Settings!$B$9,CEILING(X8,Settings!$B$5),X8),IF(Settings!$B$9,MROUND(X8,Settings!$B$5),X8))</f>
        <v/>
      </c>
      <c r="Z8">
        <f>Settings!$B$2*M8/100</f>
        <v/>
      </c>
      <c r="AA8">
        <f>IF(Settings!$B$17,MIN(Settings!$B$2*G8/100,IF(Settings!$B$9,CEILING(MAX(0,V8+Settings!$B$2*G8/100-X8-Settings!$B$2*J8/100),Settings!$B$5),MAX(0,V8+Settings!$B$2*G8/100-X8-Settings!$B$2*J8/100))),IF(Settings!$B$9,MROUND(Z8,Settings!$B$5),Z8))</f>
        <v/>
      </c>
      <c r="AB8">
        <f>IF(T8="ERROR: Rounding broke protection balance","ERROR",IF(AND(Settings!$B$17,ABS(AA8-Z8)&gt;1E-9),"FIXED",IF(ABS(S8)&lt;=Settings!$B$7,"SAFE","WARNING")))</f>
        <v/>
      </c>
      <c r="AC8">
        <f>IF(AB8="FIXED","Close adjusted by SAFE mode",IF(AB8="SAFE","Balance preserved",IF(AB8="WARNING","Near protection boundary","Protection broken")))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BUY must be &gt;= Small SELL",IF(AND(LEN(L9)&gt;0,L9&gt;G9),"ERROR: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V9">
        <f>Settings!$B$2*C9/100</f>
        <v/>
      </c>
      <c r="W9">
        <f>IF(Settings!$B$17,IF(Settings!$B$9,FLOOR(V9,Settings!$B$5),V9),IF(Settings!$B$9,MROUND(V9,Settings!$B$5),V9))</f>
        <v/>
      </c>
      <c r="X9">
        <f>Settings!$B$2*E9/100</f>
        <v/>
      </c>
      <c r="Y9">
        <f>IF(Settings!$B$17,IF(Settings!$B$9,CEILING(X9,Settings!$B$5),X9),IF(Settings!$B$9,MROUND(X9,Settings!$B$5),X9))</f>
        <v/>
      </c>
      <c r="Z9">
        <f>Settings!$B$2*M9/100</f>
        <v/>
      </c>
      <c r="AA9">
        <f>IF(Settings!$B$17,MIN(Settings!$B$2*G9/100,IF(Settings!$B$9,CEILING(MAX(0,V9+Settings!$B$2*G9/100-X9-Settings!$B$2*J9/100),Settings!$B$5),MAX(0,V9+Settings!$B$2*G9/100-X9-Settings!$B$2*J9/100))),IF(Settings!$B$9,MROUND(Z9,Settings!$B$5),Z9))</f>
        <v/>
      </c>
      <c r="AB9">
        <f>IF(T9="ERROR: Rounding broke protection balance","ERROR",IF(AND(Settings!$B$17,ABS(AA9-Z9)&gt;1E-9),"FIXED",IF(ABS(S9)&lt;=Settings!$B$7,"SAFE","WARNING")))</f>
        <v/>
      </c>
      <c r="AC9">
        <f>IF(AB9="FIXED","Close adjusted by SAFE mode",IF(AB9="SAFE","Balance preserved",IF(AB9="WARNING","Near protection boundary","Protection broken")))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BUY must be &gt;= Small SELL",IF(AND(LEN(L10)&gt;0,L10&gt;G10),"ERROR: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V10">
        <f>Settings!$B$2*C10/100</f>
        <v/>
      </c>
      <c r="W10">
        <f>IF(Settings!$B$17,IF(Settings!$B$9,FLOOR(V10,Settings!$B$5),V10),IF(Settings!$B$9,MROUND(V10,Settings!$B$5),V10))</f>
        <v/>
      </c>
      <c r="X10">
        <f>Settings!$B$2*E10/100</f>
        <v/>
      </c>
      <c r="Y10">
        <f>IF(Settings!$B$17,IF(Settings!$B$9,CEILING(X10,Settings!$B$5),X10),IF(Settings!$B$9,MROUND(X10,Settings!$B$5),X10))</f>
        <v/>
      </c>
      <c r="Z10">
        <f>Settings!$B$2*M10/100</f>
        <v/>
      </c>
      <c r="AA10">
        <f>IF(Settings!$B$17,MIN(Settings!$B$2*G10/100,IF(Settings!$B$9,CEILING(MAX(0,V10+Settings!$B$2*G10/100-X10-Settings!$B$2*J10/100),Settings!$B$5),MAX(0,V10+Settings!$B$2*G10/100-X10-Settings!$B$2*J10/100))),IF(Settings!$B$9,MROUND(Z10,Settings!$B$5),Z10))</f>
        <v/>
      </c>
      <c r="AB10">
        <f>IF(T10="ERROR: Rounding broke protection balance","ERROR",IF(AND(Settings!$B$17,ABS(AA10-Z10)&gt;1E-9),"FIXED",IF(ABS(S10)&lt;=Settings!$B$7,"SAFE","WARNING")))</f>
        <v/>
      </c>
      <c r="AC10">
        <f>IF(AB10="FIXED","Close adjusted by SAFE mode",IF(AB10="SAFE","Balance preserved",IF(AB10="WARNING","Near protection boundary","Protection broken")))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BUY must be &gt;= Small SELL",IF(AND(LEN(L11)&gt;0,L11&gt;G11),"ERROR: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V11">
        <f>Settings!$B$2*C11/100</f>
        <v/>
      </c>
      <c r="W11">
        <f>IF(Settings!$B$17,IF(Settings!$B$9,FLOOR(V11,Settings!$B$5),V11),IF(Settings!$B$9,MROUND(V11,Settings!$B$5),V11))</f>
        <v/>
      </c>
      <c r="X11">
        <f>Settings!$B$2*E11/100</f>
        <v/>
      </c>
      <c r="Y11">
        <f>IF(Settings!$B$17,IF(Settings!$B$9,CEILING(X11,Settings!$B$5),X11),IF(Settings!$B$9,MROUND(X11,Settings!$B$5),X11))</f>
        <v/>
      </c>
      <c r="Z11">
        <f>Settings!$B$2*M11/100</f>
        <v/>
      </c>
      <c r="AA11">
        <f>IF(Settings!$B$17,MIN(Settings!$B$2*G11/100,IF(Settings!$B$9,CEILING(MAX(0,V11+Settings!$B$2*G11/100-X11-Settings!$B$2*J11/100),Settings!$B$5),MAX(0,V11+Settings!$B$2*G11/100-X11-Settings!$B$2*J11/100))),IF(Settings!$B$9,MROUND(Z11,Settings!$B$5),Z11))</f>
        <v/>
      </c>
      <c r="AB11">
        <f>IF(T11="ERROR: Rounding broke protection balance","ERROR",IF(AND(Settings!$B$17,ABS(AA11-Z11)&gt;1E-9),"FIXED",IF(ABS(S11)&lt;=Settings!$B$7,"SAFE","WARNING")))</f>
        <v/>
      </c>
      <c r="AC11">
        <f>IF(AB11="FIXED","Close adjusted by SAFE mode",IF(AB11="SAFE","Balance preserved",IF(AB11="WARNING","Near protection boundary","Protection broken")))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BUY must be &gt;= Small SELL",IF(AND(LEN(L12)&gt;0,L12&gt;G12),"ERROR: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V12">
        <f>Settings!$B$2*C12/100</f>
        <v/>
      </c>
      <c r="W12">
        <f>IF(Settings!$B$17,IF(Settings!$B$9,FLOOR(V12,Settings!$B$5),V12),IF(Settings!$B$9,MROUND(V12,Settings!$B$5),V12))</f>
        <v/>
      </c>
      <c r="X12">
        <f>Settings!$B$2*E12/100</f>
        <v/>
      </c>
      <c r="Y12">
        <f>IF(Settings!$B$17,IF(Settings!$B$9,CEILING(X12,Settings!$B$5),X12),IF(Settings!$B$9,MROUND(X12,Settings!$B$5),X12))</f>
        <v/>
      </c>
      <c r="Z12">
        <f>Settings!$B$2*M12/100</f>
        <v/>
      </c>
      <c r="AA12">
        <f>IF(Settings!$B$17,MIN(Settings!$B$2*G12/100,IF(Settings!$B$9,CEILING(MAX(0,V12+Settings!$B$2*G12/100-X12-Settings!$B$2*J12/100),Settings!$B$5),MAX(0,V12+Settings!$B$2*G12/100-X12-Settings!$B$2*J12/100))),IF(Settings!$B$9,MROUND(Z12,Settings!$B$5),Z12))</f>
        <v/>
      </c>
      <c r="AB12">
        <f>IF(T12="ERROR: Rounding broke protection balance","ERROR",IF(AND(Settings!$B$17,ABS(AA12-Z12)&gt;1E-9),"FIXED",IF(ABS(S12)&lt;=Settings!$B$7,"SAFE","WARNING")))</f>
        <v/>
      </c>
      <c r="AC12">
        <f>IF(AB12="FIXED","Close adjusted by SAFE mode",IF(AB12="SAFE","Balance preserved",IF(AB12="WARNING","Near protection boundary","Protection broken")))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BUY must be &gt;= Small SELL",IF(AND(LEN(L13)&gt;0,L13&gt;G13),"ERROR: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V13">
        <f>Settings!$B$2*C13/100</f>
        <v/>
      </c>
      <c r="W13">
        <f>IF(Settings!$B$17,IF(Settings!$B$9,FLOOR(V13,Settings!$B$5),V13),IF(Settings!$B$9,MROUND(V13,Settings!$B$5),V13))</f>
        <v/>
      </c>
      <c r="X13">
        <f>Settings!$B$2*E13/100</f>
        <v/>
      </c>
      <c r="Y13">
        <f>IF(Settings!$B$17,IF(Settings!$B$9,CEILING(X13,Settings!$B$5),X13),IF(Settings!$B$9,MROUND(X13,Settings!$B$5),X13))</f>
        <v/>
      </c>
      <c r="Z13">
        <f>Settings!$B$2*M13/100</f>
        <v/>
      </c>
      <c r="AA13">
        <f>IF(Settings!$B$17,MIN(Settings!$B$2*G13/100,IF(Settings!$B$9,CEILING(MAX(0,V13+Settings!$B$2*G13/100-X13-Settings!$B$2*J13/100),Settings!$B$5),MAX(0,V13+Settings!$B$2*G13/100-X13-Settings!$B$2*J13/100))),IF(Settings!$B$9,MROUND(Z13,Settings!$B$5),Z13))</f>
        <v/>
      </c>
      <c r="AB13">
        <f>IF(T13="ERROR: Rounding broke protection balance","ERROR",IF(AND(Settings!$B$17,ABS(AA13-Z13)&gt;1E-9),"FIXED",IF(ABS(S13)&lt;=Settings!$B$7,"SAFE","WARNING")))</f>
        <v/>
      </c>
      <c r="AC13">
        <f>IF(AB13="FIXED","Close adjusted by SAFE mode",IF(AB13="SAFE","Balance preserved",IF(AB13="WARNING","Near protection boundary","Protection broken")))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BUY must be &gt;= Small SELL",IF(AND(LEN(L14)&gt;0,L14&gt;G14),"ERROR: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V14">
        <f>Settings!$B$2*C14/100</f>
        <v/>
      </c>
      <c r="W14">
        <f>IF(Settings!$B$17,IF(Settings!$B$9,FLOOR(V14,Settings!$B$5),V14),IF(Settings!$B$9,MROUND(V14,Settings!$B$5),V14))</f>
        <v/>
      </c>
      <c r="X14">
        <f>Settings!$B$2*E14/100</f>
        <v/>
      </c>
      <c r="Y14">
        <f>IF(Settings!$B$17,IF(Settings!$B$9,CEILING(X14,Settings!$B$5),X14),IF(Settings!$B$9,MROUND(X14,Settings!$B$5),X14))</f>
        <v/>
      </c>
      <c r="Z14">
        <f>Settings!$B$2*M14/100</f>
        <v/>
      </c>
      <c r="AA14">
        <f>IF(Settings!$B$17,MIN(Settings!$B$2*G14/100,IF(Settings!$B$9,CEILING(MAX(0,V14+Settings!$B$2*G14/100-X14-Settings!$B$2*J14/100),Settings!$B$5),MAX(0,V14+Settings!$B$2*G14/100-X14-Settings!$B$2*J14/100))),IF(Settings!$B$9,MROUND(Z14,Settings!$B$5),Z14))</f>
        <v/>
      </c>
      <c r="AB14">
        <f>IF(T14="ERROR: Rounding broke protection balance","ERROR",IF(AND(Settings!$B$17,ABS(AA14-Z14)&gt;1E-9),"FIXED",IF(ABS(S14)&lt;=Settings!$B$7,"SAFE","WARNING")))</f>
        <v/>
      </c>
      <c r="AC14">
        <f>IF(AB14="FIXED","Close adjusted by SAFE mode",IF(AB14="SAFE","Balance preserved",IF(AB14="WARNING","Near protection boundary","Protection broken")))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BUY must be &gt;= Small SELL",IF(AND(LEN(L15)&gt;0,L15&gt;G15),"ERROR: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V15">
        <f>Settings!$B$2*C15/100</f>
        <v/>
      </c>
      <c r="W15">
        <f>IF(Settings!$B$17,IF(Settings!$B$9,FLOOR(V15,Settings!$B$5),V15),IF(Settings!$B$9,MROUND(V15,Settings!$B$5),V15))</f>
        <v/>
      </c>
      <c r="X15">
        <f>Settings!$B$2*E15/100</f>
        <v/>
      </c>
      <c r="Y15">
        <f>IF(Settings!$B$17,IF(Settings!$B$9,CEILING(X15,Settings!$B$5),X15),IF(Settings!$B$9,MROUND(X15,Settings!$B$5),X15))</f>
        <v/>
      </c>
      <c r="Z15">
        <f>Settings!$B$2*M15/100</f>
        <v/>
      </c>
      <c r="AA15">
        <f>IF(Settings!$B$17,MIN(Settings!$B$2*G15/100,IF(Settings!$B$9,CEILING(MAX(0,V15+Settings!$B$2*G15/100-X15-Settings!$B$2*J15/100),Settings!$B$5),MAX(0,V15+Settings!$B$2*G15/100-X15-Settings!$B$2*J15/100))),IF(Settings!$B$9,MROUND(Z15,Settings!$B$5),Z15))</f>
        <v/>
      </c>
      <c r="AB15">
        <f>IF(T15="ERROR: Rounding broke protection balance","ERROR",IF(AND(Settings!$B$17,ABS(AA15-Z15)&gt;1E-9),"FIXED",IF(ABS(S15)&lt;=Settings!$B$7,"SAFE","WARNING")))</f>
        <v/>
      </c>
      <c r="AC15">
        <f>IF(AB15="FIXED","Close adjusted by SAFE mode",IF(AB15="SAFE","Balance preserved",IF(AB15="WARNING","Near protection boundary","Protection broken")))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BUY must be &gt;= Small SELL",IF(AND(LEN(L16)&gt;0,L16&gt;G16),"ERROR: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V16">
        <f>Settings!$B$2*C16/100</f>
        <v/>
      </c>
      <c r="W16">
        <f>IF(Settings!$B$17,IF(Settings!$B$9,FLOOR(V16,Settings!$B$5),V16),IF(Settings!$B$9,MROUND(V16,Settings!$B$5),V16))</f>
        <v/>
      </c>
      <c r="X16">
        <f>Settings!$B$2*E16/100</f>
        <v/>
      </c>
      <c r="Y16">
        <f>IF(Settings!$B$17,IF(Settings!$B$9,CEILING(X16,Settings!$B$5),X16),IF(Settings!$B$9,MROUND(X16,Settings!$B$5),X16))</f>
        <v/>
      </c>
      <c r="Z16">
        <f>Settings!$B$2*M16/100</f>
        <v/>
      </c>
      <c r="AA16">
        <f>IF(Settings!$B$17,MIN(Settings!$B$2*G16/100,IF(Settings!$B$9,CEILING(MAX(0,V16+Settings!$B$2*G16/100-X16-Settings!$B$2*J16/100),Settings!$B$5),MAX(0,V16+Settings!$B$2*G16/100-X16-Settings!$B$2*J16/100))),IF(Settings!$B$9,MROUND(Z16,Settings!$B$5),Z16))</f>
        <v/>
      </c>
      <c r="AB16">
        <f>IF(T16="ERROR: Rounding broke protection balance","ERROR",IF(AND(Settings!$B$17,ABS(AA16-Z16)&gt;1E-9),"FIXED",IF(ABS(S16)&lt;=Settings!$B$7,"SAFE","WARNING")))</f>
        <v/>
      </c>
      <c r="AC16">
        <f>IF(AB16="FIXED","Close adjusted by SAFE mode",IF(AB16="SAFE","Balance preserved",IF(AB16="WARNING","Near protection boundary","Protection broken")))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BUY must be &gt;= Small SELL",IF(AND(LEN(L17)&gt;0,L17&gt;G17),"ERROR: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V17">
        <f>Settings!$B$2*C17/100</f>
        <v/>
      </c>
      <c r="W17">
        <f>IF(Settings!$B$17,IF(Settings!$B$9,FLOOR(V17,Settings!$B$5),V17),IF(Settings!$B$9,MROUND(V17,Settings!$B$5),V17))</f>
        <v/>
      </c>
      <c r="X17">
        <f>Settings!$B$2*E17/100</f>
        <v/>
      </c>
      <c r="Y17">
        <f>IF(Settings!$B$17,IF(Settings!$B$9,CEILING(X17,Settings!$B$5),X17),IF(Settings!$B$9,MROUND(X17,Settings!$B$5),X17))</f>
        <v/>
      </c>
      <c r="Z17">
        <f>Settings!$B$2*M17/100</f>
        <v/>
      </c>
      <c r="AA17">
        <f>IF(Settings!$B$17,MIN(Settings!$B$2*G17/100,IF(Settings!$B$9,CEILING(MAX(0,V17+Settings!$B$2*G17/100-X17-Settings!$B$2*J17/100),Settings!$B$5),MAX(0,V17+Settings!$B$2*G17/100-X17-Settings!$B$2*J17/100))),IF(Settings!$B$9,MROUND(Z17,Settings!$B$5),Z17))</f>
        <v/>
      </c>
      <c r="AB17">
        <f>IF(T17="ERROR: Rounding broke protection balance","ERROR",IF(AND(Settings!$B$17,ABS(AA17-Z17)&gt;1E-9),"FIXED",IF(ABS(S17)&lt;=Settings!$B$7,"SAFE","WARNING")))</f>
        <v/>
      </c>
      <c r="AC17">
        <f>IF(AB17="FIXED","Close adjusted by SAFE mode",IF(AB17="SAFE","Balance preserved",IF(AB17="WARNING","Near protection boundary","Protection broken")))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BUY must be &gt;= Small SELL",IF(AND(LEN(L18)&gt;0,L18&gt;G18),"ERROR: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V18">
        <f>Settings!$B$2*C18/100</f>
        <v/>
      </c>
      <c r="W18">
        <f>IF(Settings!$B$17,IF(Settings!$B$9,FLOOR(V18,Settings!$B$5),V18),IF(Settings!$B$9,MROUND(V18,Settings!$B$5),V18))</f>
        <v/>
      </c>
      <c r="X18">
        <f>Settings!$B$2*E18/100</f>
        <v/>
      </c>
      <c r="Y18">
        <f>IF(Settings!$B$17,IF(Settings!$B$9,CEILING(X18,Settings!$B$5),X18),IF(Settings!$B$9,MROUND(X18,Settings!$B$5),X18))</f>
        <v/>
      </c>
      <c r="Z18">
        <f>Settings!$B$2*M18/100</f>
        <v/>
      </c>
      <c r="AA18">
        <f>IF(Settings!$B$17,MIN(Settings!$B$2*G18/100,IF(Settings!$B$9,CEILING(MAX(0,V18+Settings!$B$2*G18/100-X18-Settings!$B$2*J18/100),Settings!$B$5),MAX(0,V18+Settings!$B$2*G18/100-X18-Settings!$B$2*J18/100))),IF(Settings!$B$9,MROUND(Z18,Settings!$B$5),Z18))</f>
        <v/>
      </c>
      <c r="AB18">
        <f>IF(T18="ERROR: Rounding broke protection balance","ERROR",IF(AND(Settings!$B$17,ABS(AA18-Z18)&gt;1E-9),"FIXED",IF(ABS(S18)&lt;=Settings!$B$7,"SAFE","WARNING")))</f>
        <v/>
      </c>
      <c r="AC18">
        <f>IF(AB18="FIXED","Close adjusted by SAFE mode",IF(AB18="SAFE","Balance preserved",IF(AB18="WARNING","Near protection boundary","Protection broken")))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BUY must be &gt;= Small SELL",IF(AND(LEN(L19)&gt;0,L19&gt;G19),"ERROR: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V19">
        <f>Settings!$B$2*C19/100</f>
        <v/>
      </c>
      <c r="W19">
        <f>IF(Settings!$B$17,IF(Settings!$B$9,FLOOR(V19,Settings!$B$5),V19),IF(Settings!$B$9,MROUND(V19,Settings!$B$5),V19))</f>
        <v/>
      </c>
      <c r="X19">
        <f>Settings!$B$2*E19/100</f>
        <v/>
      </c>
      <c r="Y19">
        <f>IF(Settings!$B$17,IF(Settings!$B$9,CEILING(X19,Settings!$B$5),X19),IF(Settings!$B$9,MROUND(X19,Settings!$B$5),X19))</f>
        <v/>
      </c>
      <c r="Z19">
        <f>Settings!$B$2*M19/100</f>
        <v/>
      </c>
      <c r="AA19">
        <f>IF(Settings!$B$17,MIN(Settings!$B$2*G19/100,IF(Settings!$B$9,CEILING(MAX(0,V19+Settings!$B$2*G19/100-X19-Settings!$B$2*J19/100),Settings!$B$5),MAX(0,V19+Settings!$B$2*G19/100-X19-Settings!$B$2*J19/100))),IF(Settings!$B$9,MROUND(Z19,Settings!$B$5),Z19))</f>
        <v/>
      </c>
      <c r="AB19">
        <f>IF(T19="ERROR: Rounding broke protection balance","ERROR",IF(AND(Settings!$B$17,ABS(AA19-Z19)&gt;1E-9),"FIXED",IF(ABS(S19)&lt;=Settings!$B$7,"SAFE","WARNING")))</f>
        <v/>
      </c>
      <c r="AC19">
        <f>IF(AB19="FIXED","Close adjusted by SAFE mode",IF(AB19="SAFE","Balance preserved",IF(AB19="WARNING","Near protection boundary","Protection broken")))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BUY must be &gt;= Small SELL",IF(AND(LEN(L20)&gt;0,L20&gt;G20),"ERROR: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V20">
        <f>Settings!$B$2*C20/100</f>
        <v/>
      </c>
      <c r="W20">
        <f>IF(Settings!$B$17,IF(Settings!$B$9,FLOOR(V20,Settings!$B$5),V20),IF(Settings!$B$9,MROUND(V20,Settings!$B$5),V20))</f>
        <v/>
      </c>
      <c r="X20">
        <f>Settings!$B$2*E20/100</f>
        <v/>
      </c>
      <c r="Y20">
        <f>IF(Settings!$B$17,IF(Settings!$B$9,CEILING(X20,Settings!$B$5),X20),IF(Settings!$B$9,MROUND(X20,Settings!$B$5),X20))</f>
        <v/>
      </c>
      <c r="Z20">
        <f>Settings!$B$2*M20/100</f>
        <v/>
      </c>
      <c r="AA20">
        <f>IF(Settings!$B$17,MIN(Settings!$B$2*G20/100,IF(Settings!$B$9,CEILING(MAX(0,V20+Settings!$B$2*G20/100-X20-Settings!$B$2*J20/100),Settings!$B$5),MAX(0,V20+Settings!$B$2*G20/100-X20-Settings!$B$2*J20/100))),IF(Settings!$B$9,MROUND(Z20,Settings!$B$5),Z20))</f>
        <v/>
      </c>
      <c r="AB20">
        <f>IF(T20="ERROR: Rounding broke protection balance","ERROR",IF(AND(Settings!$B$17,ABS(AA20-Z20)&gt;1E-9),"FIXED",IF(ABS(S20)&lt;=Settings!$B$7,"SAFE","WARNING")))</f>
        <v/>
      </c>
      <c r="AC20">
        <f>IF(AB20="FIXED","Close adjusted by SAFE mode",IF(AB20="SAFE","Balance preserved",IF(AB20="WARNING","Near protection boundary","Protection broken")))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BUY must be &gt;= Small SELL",IF(AND(LEN(L21)&gt;0,L21&gt;G21),"ERROR: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V21">
        <f>Settings!$B$2*C21/100</f>
        <v/>
      </c>
      <c r="W21">
        <f>IF(Settings!$B$17,IF(Settings!$B$9,FLOOR(V21,Settings!$B$5),V21),IF(Settings!$B$9,MROUND(V21,Settings!$B$5),V21))</f>
        <v/>
      </c>
      <c r="X21">
        <f>Settings!$B$2*E21/100</f>
        <v/>
      </c>
      <c r="Y21">
        <f>IF(Settings!$B$17,IF(Settings!$B$9,CEILING(X21,Settings!$B$5),X21),IF(Settings!$B$9,MROUND(X21,Settings!$B$5),X21))</f>
        <v/>
      </c>
      <c r="Z21">
        <f>Settings!$B$2*M21/100</f>
        <v/>
      </c>
      <c r="AA21">
        <f>IF(Settings!$B$17,MIN(Settings!$B$2*G21/100,IF(Settings!$B$9,CEILING(MAX(0,V21+Settings!$B$2*G21/100-X21-Settings!$B$2*J21/100),Settings!$B$5),MAX(0,V21+Settings!$B$2*G21/100-X21-Settings!$B$2*J21/100))),IF(Settings!$B$9,MROUND(Z21,Settings!$B$5),Z21))</f>
        <v/>
      </c>
      <c r="AB21">
        <f>IF(T21="ERROR: Rounding broke protection balance","ERROR",IF(AND(Settings!$B$17,ABS(AA21-Z21)&gt;1E-9),"FIXED",IF(ABS(S21)&lt;=Settings!$B$7,"SAFE","WARNING")))</f>
        <v/>
      </c>
      <c r="AC21">
        <f>IF(AB21="FIXED","Close adjusted by SAFE mode",IF(AB21="SAFE","Balance preserved",IF(AB21="WARNING","Near protection boundary","Protection broken")))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BUY must be &gt;= Small SELL",IF(AND(LEN(L22)&gt;0,L22&gt;G22),"ERROR: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V22">
        <f>Settings!$B$2*C22/100</f>
        <v/>
      </c>
      <c r="W22">
        <f>IF(Settings!$B$17,IF(Settings!$B$9,FLOOR(V22,Settings!$B$5),V22),IF(Settings!$B$9,MROUND(V22,Settings!$B$5),V22))</f>
        <v/>
      </c>
      <c r="X22">
        <f>Settings!$B$2*E22/100</f>
        <v/>
      </c>
      <c r="Y22">
        <f>IF(Settings!$B$17,IF(Settings!$B$9,CEILING(X22,Settings!$B$5),X22),IF(Settings!$B$9,MROUND(X22,Settings!$B$5),X22))</f>
        <v/>
      </c>
      <c r="Z22">
        <f>Settings!$B$2*M22/100</f>
        <v/>
      </c>
      <c r="AA22">
        <f>IF(Settings!$B$17,MIN(Settings!$B$2*G22/100,IF(Settings!$B$9,CEILING(MAX(0,V22+Settings!$B$2*G22/100-X22-Settings!$B$2*J22/100),Settings!$B$5),MAX(0,V22+Settings!$B$2*G22/100-X22-Settings!$B$2*J22/100))),IF(Settings!$B$9,MROUND(Z22,Settings!$B$5),Z22))</f>
        <v/>
      </c>
      <c r="AB22">
        <f>IF(T22="ERROR: Rounding broke protection balance","ERROR",IF(AND(Settings!$B$17,ABS(AA22-Z22)&gt;1E-9),"FIXED",IF(ABS(S22)&lt;=Settings!$B$7,"SAFE","WARNING")))</f>
        <v/>
      </c>
      <c r="AC22">
        <f>IF(AB22="FIXED","Close adjusted by SAFE mode",IF(AB22="SAFE","Balance preserved",IF(AB22="WARNING","Near protection boundary","Protection broken")))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BUY must be &gt;= Small SELL",IF(AND(LEN(L23)&gt;0,L23&gt;G23),"ERROR: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V23">
        <f>Settings!$B$2*C23/100</f>
        <v/>
      </c>
      <c r="W23">
        <f>IF(Settings!$B$17,IF(Settings!$B$9,FLOOR(V23,Settings!$B$5),V23),IF(Settings!$B$9,MROUND(V23,Settings!$B$5),V23))</f>
        <v/>
      </c>
      <c r="X23">
        <f>Settings!$B$2*E23/100</f>
        <v/>
      </c>
      <c r="Y23">
        <f>IF(Settings!$B$17,IF(Settings!$B$9,CEILING(X23,Settings!$B$5),X23),IF(Settings!$B$9,MROUND(X23,Settings!$B$5),X23))</f>
        <v/>
      </c>
      <c r="Z23">
        <f>Settings!$B$2*M23/100</f>
        <v/>
      </c>
      <c r="AA23">
        <f>IF(Settings!$B$17,MIN(Settings!$B$2*G23/100,IF(Settings!$B$9,CEILING(MAX(0,V23+Settings!$B$2*G23/100-X23-Settings!$B$2*J23/100),Settings!$B$5),MAX(0,V23+Settings!$B$2*G23/100-X23-Settings!$B$2*J23/100))),IF(Settings!$B$9,MROUND(Z23,Settings!$B$5),Z23))</f>
        <v/>
      </c>
      <c r="AB23">
        <f>IF(T23="ERROR: Rounding broke protection balance","ERROR",IF(AND(Settings!$B$17,ABS(AA23-Z23)&gt;1E-9),"FIXED",IF(ABS(S23)&lt;=Settings!$B$7,"SAFE","WARNING")))</f>
        <v/>
      </c>
      <c r="AC23">
        <f>IF(AB23="FIXED","Close adjusted by SAFE mode",IF(AB23="SAFE","Balance preserved",IF(AB23="WARNING","Near protection boundary","Protection broken")))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BUY must be &gt;= Small SELL",IF(AND(LEN(L24)&gt;0,L24&gt;G24),"ERROR: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V24">
        <f>Settings!$B$2*C24/100</f>
        <v/>
      </c>
      <c r="W24">
        <f>IF(Settings!$B$17,IF(Settings!$B$9,FLOOR(V24,Settings!$B$5),V24),IF(Settings!$B$9,MROUND(V24,Settings!$B$5),V24))</f>
        <v/>
      </c>
      <c r="X24">
        <f>Settings!$B$2*E24/100</f>
        <v/>
      </c>
      <c r="Y24">
        <f>IF(Settings!$B$17,IF(Settings!$B$9,CEILING(X24,Settings!$B$5),X24),IF(Settings!$B$9,MROUND(X24,Settings!$B$5),X24))</f>
        <v/>
      </c>
      <c r="Z24">
        <f>Settings!$B$2*M24/100</f>
        <v/>
      </c>
      <c r="AA24">
        <f>IF(Settings!$B$17,MIN(Settings!$B$2*G24/100,IF(Settings!$B$9,CEILING(MAX(0,V24+Settings!$B$2*G24/100-X24-Settings!$B$2*J24/100),Settings!$B$5),MAX(0,V24+Settings!$B$2*G24/100-X24-Settings!$B$2*J24/100))),IF(Settings!$B$9,MROUND(Z24,Settings!$B$5),Z24))</f>
        <v/>
      </c>
      <c r="AB24">
        <f>IF(T24="ERROR: Rounding broke protection balance","ERROR",IF(AND(Settings!$B$17,ABS(AA24-Z24)&gt;1E-9),"FIXED",IF(ABS(S24)&lt;=Settings!$B$7,"SAFE","WARNING")))</f>
        <v/>
      </c>
      <c r="AC24">
        <f>IF(AB24="FIXED","Close adjusted by SAFE mode",IF(AB24="SAFE","Balance preserved",IF(AB24="WARNING","Near protection boundary","Protection broken")))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BUY must be &gt;= Small SELL",IF(AND(LEN(L25)&gt;0,L25&gt;G25),"ERROR: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V25">
        <f>Settings!$B$2*C25/100</f>
        <v/>
      </c>
      <c r="W25">
        <f>IF(Settings!$B$17,IF(Settings!$B$9,FLOOR(V25,Settings!$B$5),V25),IF(Settings!$B$9,MROUND(V25,Settings!$B$5),V25))</f>
        <v/>
      </c>
      <c r="X25">
        <f>Settings!$B$2*E25/100</f>
        <v/>
      </c>
      <c r="Y25">
        <f>IF(Settings!$B$17,IF(Settings!$B$9,CEILING(X25,Settings!$B$5),X25),IF(Settings!$B$9,MROUND(X25,Settings!$B$5),X25))</f>
        <v/>
      </c>
      <c r="Z25">
        <f>Settings!$B$2*M25/100</f>
        <v/>
      </c>
      <c r="AA25">
        <f>IF(Settings!$B$17,MIN(Settings!$B$2*G25/100,IF(Settings!$B$9,CEILING(MAX(0,V25+Settings!$B$2*G25/100-X25-Settings!$B$2*J25/100),Settings!$B$5),MAX(0,V25+Settings!$B$2*G25/100-X25-Settings!$B$2*J25/100))),IF(Settings!$B$9,MROUND(Z25,Settings!$B$5),Z25))</f>
        <v/>
      </c>
      <c r="AB25">
        <f>IF(T25="ERROR: Rounding broke protection balance","ERROR",IF(AND(Settings!$B$17,ABS(AA25-Z25)&gt;1E-9),"FIXED",IF(ABS(S25)&lt;=Settings!$B$7,"SAFE","WARNING")))</f>
        <v/>
      </c>
      <c r="AC25">
        <f>IF(AB25="FIXED","Close adjusted by SAFE mode",IF(AB25="SAFE","Balance preserved",IF(AB25="WARNING","Near protection boundary","Protection broken")))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BUY must be &gt;= Small SELL",IF(AND(LEN(L26)&gt;0,L26&gt;G26),"ERROR: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V26">
        <f>Settings!$B$2*C26/100</f>
        <v/>
      </c>
      <c r="W26">
        <f>IF(Settings!$B$17,IF(Settings!$B$9,FLOOR(V26,Settings!$B$5),V26),IF(Settings!$B$9,MROUND(V26,Settings!$B$5),V26))</f>
        <v/>
      </c>
      <c r="X26">
        <f>Settings!$B$2*E26/100</f>
        <v/>
      </c>
      <c r="Y26">
        <f>IF(Settings!$B$17,IF(Settings!$B$9,CEILING(X26,Settings!$B$5),X26),IF(Settings!$B$9,MROUND(X26,Settings!$B$5),X26))</f>
        <v/>
      </c>
      <c r="Z26">
        <f>Settings!$B$2*M26/100</f>
        <v/>
      </c>
      <c r="AA26">
        <f>IF(Settings!$B$17,MIN(Settings!$B$2*G26/100,IF(Settings!$B$9,CEILING(MAX(0,V26+Settings!$B$2*G26/100-X26-Settings!$B$2*J26/100),Settings!$B$5),MAX(0,V26+Settings!$B$2*G26/100-X26-Settings!$B$2*J26/100))),IF(Settings!$B$9,MROUND(Z26,Settings!$B$5),Z26))</f>
        <v/>
      </c>
      <c r="AB26">
        <f>IF(T26="ERROR: Rounding broke protection balance","ERROR",IF(AND(Settings!$B$17,ABS(AA26-Z26)&gt;1E-9),"FIXED",IF(ABS(S26)&lt;=Settings!$B$7,"SAFE","WARNING")))</f>
        <v/>
      </c>
      <c r="AC26">
        <f>IF(AB26="FIXED","Close adjusted by SAFE mode",IF(AB26="SAFE","Balance preserved",IF(AB26="WARNING","Near protection boundary","Protection broken")))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BUY must be &gt;= Small SELL",IF(AND(LEN(L27)&gt;0,L27&gt;G27),"ERROR: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V27">
        <f>Settings!$B$2*C27/100</f>
        <v/>
      </c>
      <c r="W27">
        <f>IF(Settings!$B$17,IF(Settings!$B$9,FLOOR(V27,Settings!$B$5),V27),IF(Settings!$B$9,MROUND(V27,Settings!$B$5),V27))</f>
        <v/>
      </c>
      <c r="X27">
        <f>Settings!$B$2*E27/100</f>
        <v/>
      </c>
      <c r="Y27">
        <f>IF(Settings!$B$17,IF(Settings!$B$9,CEILING(X27,Settings!$B$5),X27),IF(Settings!$B$9,MROUND(X27,Settings!$B$5),X27))</f>
        <v/>
      </c>
      <c r="Z27">
        <f>Settings!$B$2*M27/100</f>
        <v/>
      </c>
      <c r="AA27">
        <f>IF(Settings!$B$17,MIN(Settings!$B$2*G27/100,IF(Settings!$B$9,CEILING(MAX(0,V27+Settings!$B$2*G27/100-X27-Settings!$B$2*J27/100),Settings!$B$5),MAX(0,V27+Settings!$B$2*G27/100-X27-Settings!$B$2*J27/100))),IF(Settings!$B$9,MROUND(Z27,Settings!$B$5),Z27))</f>
        <v/>
      </c>
      <c r="AB27">
        <f>IF(T27="ERROR: Rounding broke protection balance","ERROR",IF(AND(Settings!$B$17,ABS(AA27-Z27)&gt;1E-9),"FIXED",IF(ABS(S27)&lt;=Settings!$B$7,"SAFE","WARNING")))</f>
        <v/>
      </c>
      <c r="AC27">
        <f>IF(AB27="FIXED","Close adjusted by SAFE mode",IF(AB27="SAFE","Balance preserved",IF(AB27="WARNING","Near protection boundary","Protection broken")))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BUY must be &gt;= Small SELL",IF(AND(LEN(L28)&gt;0,L28&gt;G28),"ERROR: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V28">
        <f>Settings!$B$2*C28/100</f>
        <v/>
      </c>
      <c r="W28">
        <f>IF(Settings!$B$17,IF(Settings!$B$9,FLOOR(V28,Settings!$B$5),V28),IF(Settings!$B$9,MROUND(V28,Settings!$B$5),V28))</f>
        <v/>
      </c>
      <c r="X28">
        <f>Settings!$B$2*E28/100</f>
        <v/>
      </c>
      <c r="Y28">
        <f>IF(Settings!$B$17,IF(Settings!$B$9,CEILING(X28,Settings!$B$5),X28),IF(Settings!$B$9,MROUND(X28,Settings!$B$5),X28))</f>
        <v/>
      </c>
      <c r="Z28">
        <f>Settings!$B$2*M28/100</f>
        <v/>
      </c>
      <c r="AA28">
        <f>IF(Settings!$B$17,MIN(Settings!$B$2*G28/100,IF(Settings!$B$9,CEILING(MAX(0,V28+Settings!$B$2*G28/100-X28-Settings!$B$2*J28/100),Settings!$B$5),MAX(0,V28+Settings!$B$2*G28/100-X28-Settings!$B$2*J28/100))),IF(Settings!$B$9,MROUND(Z28,Settings!$B$5),Z28))</f>
        <v/>
      </c>
      <c r="AB28">
        <f>IF(T28="ERROR: Rounding broke protection balance","ERROR",IF(AND(Settings!$B$17,ABS(AA28-Z28)&gt;1E-9),"FIXED",IF(ABS(S28)&lt;=Settings!$B$7,"SAFE","WARNING")))</f>
        <v/>
      </c>
      <c r="AC28">
        <f>IF(AB28="FIXED","Close adjusted by SAFE mode",IF(AB28="SAFE","Balance preserved",IF(AB28="WARNING","Near protection boundary","Protection broken")))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BUY must be &gt;= Small SELL",IF(AND(LEN(L29)&gt;0,L29&gt;G29),"ERROR: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V29">
        <f>Settings!$B$2*C29/100</f>
        <v/>
      </c>
      <c r="W29">
        <f>IF(Settings!$B$17,IF(Settings!$B$9,FLOOR(V29,Settings!$B$5),V29),IF(Settings!$B$9,MROUND(V29,Settings!$B$5),V29))</f>
        <v/>
      </c>
      <c r="X29">
        <f>Settings!$B$2*E29/100</f>
        <v/>
      </c>
      <c r="Y29">
        <f>IF(Settings!$B$17,IF(Settings!$B$9,CEILING(X29,Settings!$B$5),X29),IF(Settings!$B$9,MROUND(X29,Settings!$B$5),X29))</f>
        <v/>
      </c>
      <c r="Z29">
        <f>Settings!$B$2*M29/100</f>
        <v/>
      </c>
      <c r="AA29">
        <f>IF(Settings!$B$17,MIN(Settings!$B$2*G29/100,IF(Settings!$B$9,CEILING(MAX(0,V29+Settings!$B$2*G29/100-X29-Settings!$B$2*J29/100),Settings!$B$5),MAX(0,V29+Settings!$B$2*G29/100-X29-Settings!$B$2*J29/100))),IF(Settings!$B$9,MROUND(Z29,Settings!$B$5),Z29))</f>
        <v/>
      </c>
      <c r="AB29">
        <f>IF(T29="ERROR: Rounding broke protection balance","ERROR",IF(AND(Settings!$B$17,ABS(AA29-Z29)&gt;1E-9),"FIXED",IF(ABS(S29)&lt;=Settings!$B$7,"SAFE","WARNING")))</f>
        <v/>
      </c>
      <c r="AC29">
        <f>IF(AB29="FIXED","Close adjusted by SAFE mode",IF(AB29="SAFE","Balance preserved",IF(AB29="WARNING","Near protection boundary","Protection broken")))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BUY must be &gt;= Small SELL",IF(AND(LEN(L30)&gt;0,L30&gt;G30),"ERROR: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V30">
        <f>Settings!$B$2*C30/100</f>
        <v/>
      </c>
      <c r="W30">
        <f>IF(Settings!$B$17,IF(Settings!$B$9,FLOOR(V30,Settings!$B$5),V30),IF(Settings!$B$9,MROUND(V30,Settings!$B$5),V30))</f>
        <v/>
      </c>
      <c r="X30">
        <f>Settings!$B$2*E30/100</f>
        <v/>
      </c>
      <c r="Y30">
        <f>IF(Settings!$B$17,IF(Settings!$B$9,CEILING(X30,Settings!$B$5),X30),IF(Settings!$B$9,MROUND(X30,Settings!$B$5),X30))</f>
        <v/>
      </c>
      <c r="Z30">
        <f>Settings!$B$2*M30/100</f>
        <v/>
      </c>
      <c r="AA30">
        <f>IF(Settings!$B$17,MIN(Settings!$B$2*G30/100,IF(Settings!$B$9,CEILING(MAX(0,V30+Settings!$B$2*G30/100-X30-Settings!$B$2*J30/100),Settings!$B$5),MAX(0,V30+Settings!$B$2*G30/100-X30-Settings!$B$2*J30/100))),IF(Settings!$B$9,MROUND(Z30,Settings!$B$5),Z30))</f>
        <v/>
      </c>
      <c r="AB30">
        <f>IF(T30="ERROR: Rounding broke protection balance","ERROR",IF(AND(Settings!$B$17,ABS(AA30-Z30)&gt;1E-9),"FIXED",IF(ABS(S30)&lt;=Settings!$B$7,"SAFE","WARNING")))</f>
        <v/>
      </c>
      <c r="AC30">
        <f>IF(AB30="FIXED","Close adjusted by SAFE mode",IF(AB30="SAFE","Balance preserved",IF(AB30="WARNING","Near protection boundary","Protection broken")))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BUY must be &gt;= Small SELL",IF(AND(LEN(L31)&gt;0,L31&gt;G31),"ERROR: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V31">
        <f>Settings!$B$2*C31/100</f>
        <v/>
      </c>
      <c r="W31">
        <f>IF(Settings!$B$17,IF(Settings!$B$9,FLOOR(V31,Settings!$B$5),V31),IF(Settings!$B$9,MROUND(V31,Settings!$B$5),V31))</f>
        <v/>
      </c>
      <c r="X31">
        <f>Settings!$B$2*E31/100</f>
        <v/>
      </c>
      <c r="Y31">
        <f>IF(Settings!$B$17,IF(Settings!$B$9,CEILING(X31,Settings!$B$5),X31),IF(Settings!$B$9,MROUND(X31,Settings!$B$5),X31))</f>
        <v/>
      </c>
      <c r="Z31">
        <f>Settings!$B$2*M31/100</f>
        <v/>
      </c>
      <c r="AA31">
        <f>IF(Settings!$B$17,MIN(Settings!$B$2*G31/100,IF(Settings!$B$9,CEILING(MAX(0,V31+Settings!$B$2*G31/100-X31-Settings!$B$2*J31/100),Settings!$B$5),MAX(0,V31+Settings!$B$2*G31/100-X31-Settings!$B$2*J31/100))),IF(Settings!$B$9,MROUND(Z31,Settings!$B$5),Z31))</f>
        <v/>
      </c>
      <c r="AB31">
        <f>IF(T31="ERROR: Rounding broke protection balance","ERROR",IF(AND(Settings!$B$17,ABS(AA31-Z31)&gt;1E-9),"FIXED",IF(ABS(S31)&lt;=Settings!$B$7,"SAFE","WARNING")))</f>
        <v/>
      </c>
      <c r="AC31">
        <f>IF(AB31="FIXED","Close adjusted by SAFE mode",IF(AB31="SAFE","Balance preserved",IF(AB31="WARNING","Near protection boundary","Protection broken")))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BUY must be &gt;= Small SELL",IF(AND(LEN(L32)&gt;0,L32&gt;G32),"ERROR: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V32">
        <f>Settings!$B$2*C32/100</f>
        <v/>
      </c>
      <c r="W32">
        <f>IF(Settings!$B$17,IF(Settings!$B$9,FLOOR(V32,Settings!$B$5),V32),IF(Settings!$B$9,MROUND(V32,Settings!$B$5),V32))</f>
        <v/>
      </c>
      <c r="X32">
        <f>Settings!$B$2*E32/100</f>
        <v/>
      </c>
      <c r="Y32">
        <f>IF(Settings!$B$17,IF(Settings!$B$9,CEILING(X32,Settings!$B$5),X32),IF(Settings!$B$9,MROUND(X32,Settings!$B$5),X32))</f>
        <v/>
      </c>
      <c r="Z32">
        <f>Settings!$B$2*M32/100</f>
        <v/>
      </c>
      <c r="AA32">
        <f>IF(Settings!$B$17,MIN(Settings!$B$2*G32/100,IF(Settings!$B$9,CEILING(MAX(0,V32+Settings!$B$2*G32/100-X32-Settings!$B$2*J32/100),Settings!$B$5),MAX(0,V32+Settings!$B$2*G32/100-X32-Settings!$B$2*J32/100))),IF(Settings!$B$9,MROUND(Z32,Settings!$B$5),Z32))</f>
        <v/>
      </c>
      <c r="AB32">
        <f>IF(T32="ERROR: Rounding broke protection balance","ERROR",IF(AND(Settings!$B$17,ABS(AA32-Z32)&gt;1E-9),"FIXED",IF(ABS(S32)&lt;=Settings!$B$7,"SAFE","WARNING")))</f>
        <v/>
      </c>
      <c r="AC32">
        <f>IF(AB32="FIXED","Close adjusted by SAFE mode",IF(AB32="SAFE","Balance preserved",IF(AB32="WARNING","Near protection boundary","Protection broken")))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BUY must be &gt;= Small SELL",IF(AND(LEN(L33)&gt;0,L33&gt;G33),"ERROR: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V33">
        <f>Settings!$B$2*C33/100</f>
        <v/>
      </c>
      <c r="W33">
        <f>IF(Settings!$B$17,IF(Settings!$B$9,FLOOR(V33,Settings!$B$5),V33),IF(Settings!$B$9,MROUND(V33,Settings!$B$5),V33))</f>
        <v/>
      </c>
      <c r="X33">
        <f>Settings!$B$2*E33/100</f>
        <v/>
      </c>
      <c r="Y33">
        <f>IF(Settings!$B$17,IF(Settings!$B$9,CEILING(X33,Settings!$B$5),X33),IF(Settings!$B$9,MROUND(X33,Settings!$B$5),X33))</f>
        <v/>
      </c>
      <c r="Z33">
        <f>Settings!$B$2*M33/100</f>
        <v/>
      </c>
      <c r="AA33">
        <f>IF(Settings!$B$17,MIN(Settings!$B$2*G33/100,IF(Settings!$B$9,CEILING(MAX(0,V33+Settings!$B$2*G33/100-X33-Settings!$B$2*J33/100),Settings!$B$5),MAX(0,V33+Settings!$B$2*G33/100-X33-Settings!$B$2*J33/100))),IF(Settings!$B$9,MROUND(Z33,Settings!$B$5),Z33))</f>
        <v/>
      </c>
      <c r="AB33">
        <f>IF(T33="ERROR: Rounding broke protection balance","ERROR",IF(AND(Settings!$B$17,ABS(AA33-Z33)&gt;1E-9),"FIXED",IF(ABS(S33)&lt;=Settings!$B$7,"SAFE","WARNING")))</f>
        <v/>
      </c>
      <c r="AC33">
        <f>IF(AB33="FIXED","Close adjusted by SAFE mode",IF(AB33="SAFE","Balance preserved",IF(AB33="WARNING","Near protection boundary","Protection broken")))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BUY must be &gt;= Small SELL",IF(AND(LEN(L34)&gt;0,L34&gt;G34),"ERROR: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V34">
        <f>Settings!$B$2*C34/100</f>
        <v/>
      </c>
      <c r="W34">
        <f>IF(Settings!$B$17,IF(Settings!$B$9,FLOOR(V34,Settings!$B$5),V34),IF(Settings!$B$9,MROUND(V34,Settings!$B$5),V34))</f>
        <v/>
      </c>
      <c r="X34">
        <f>Settings!$B$2*E34/100</f>
        <v/>
      </c>
      <c r="Y34">
        <f>IF(Settings!$B$17,IF(Settings!$B$9,CEILING(X34,Settings!$B$5),X34),IF(Settings!$B$9,MROUND(X34,Settings!$B$5),X34))</f>
        <v/>
      </c>
      <c r="Z34">
        <f>Settings!$B$2*M34/100</f>
        <v/>
      </c>
      <c r="AA34">
        <f>IF(Settings!$B$17,MIN(Settings!$B$2*G34/100,IF(Settings!$B$9,CEILING(MAX(0,V34+Settings!$B$2*G34/100-X34-Settings!$B$2*J34/100),Settings!$B$5),MAX(0,V34+Settings!$B$2*G34/100-X34-Settings!$B$2*J34/100))),IF(Settings!$B$9,MROUND(Z34,Settings!$B$5),Z34))</f>
        <v/>
      </c>
      <c r="AB34">
        <f>IF(T34="ERROR: Rounding broke protection balance","ERROR",IF(AND(Settings!$B$17,ABS(AA34-Z34)&gt;1E-9),"FIXED",IF(ABS(S34)&lt;=Settings!$B$7,"SAFE","WARNING")))</f>
        <v/>
      </c>
      <c r="AC34">
        <f>IF(AB34="FIXED","Close adjusted by SAFE mode",IF(AB34="SAFE","Balance preserved",IF(AB34="WARNING","Near protection boundary","Protection broken")))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BUY must be &gt;= Small SELL",IF(AND(LEN(L35)&gt;0,L35&gt;G35),"ERROR: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V35">
        <f>Settings!$B$2*C35/100</f>
        <v/>
      </c>
      <c r="W35">
        <f>IF(Settings!$B$17,IF(Settings!$B$9,FLOOR(V35,Settings!$B$5),V35),IF(Settings!$B$9,MROUND(V35,Settings!$B$5),V35))</f>
        <v/>
      </c>
      <c r="X35">
        <f>Settings!$B$2*E35/100</f>
        <v/>
      </c>
      <c r="Y35">
        <f>IF(Settings!$B$17,IF(Settings!$B$9,CEILING(X35,Settings!$B$5),X35),IF(Settings!$B$9,MROUND(X35,Settings!$B$5),X35))</f>
        <v/>
      </c>
      <c r="Z35">
        <f>Settings!$B$2*M35/100</f>
        <v/>
      </c>
      <c r="AA35">
        <f>IF(Settings!$B$17,MIN(Settings!$B$2*G35/100,IF(Settings!$B$9,CEILING(MAX(0,V35+Settings!$B$2*G35/100-X35-Settings!$B$2*J35/100),Settings!$B$5),MAX(0,V35+Settings!$B$2*G35/100-X35-Settings!$B$2*J35/100))),IF(Settings!$B$9,MROUND(Z35,Settings!$B$5),Z35))</f>
        <v/>
      </c>
      <c r="AB35">
        <f>IF(T35="ERROR: Rounding broke protection balance","ERROR",IF(AND(Settings!$B$17,ABS(AA35-Z35)&gt;1E-9),"FIXED",IF(ABS(S35)&lt;=Settings!$B$7,"SAFE","WARNING")))</f>
        <v/>
      </c>
      <c r="AC35">
        <f>IF(AB35="FIXED","Close adjusted by SAFE mode",IF(AB35="SAFE","Balance preserved",IF(AB35="WARNING","Near protection boundary","Protection broken")))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BUY must be &gt;= Small SELL",IF(AND(LEN(L36)&gt;0,L36&gt;G36),"ERROR: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V36">
        <f>Settings!$B$2*C36/100</f>
        <v/>
      </c>
      <c r="W36">
        <f>IF(Settings!$B$17,IF(Settings!$B$9,FLOOR(V36,Settings!$B$5),V36),IF(Settings!$B$9,MROUND(V36,Settings!$B$5),V36))</f>
        <v/>
      </c>
      <c r="X36">
        <f>Settings!$B$2*E36/100</f>
        <v/>
      </c>
      <c r="Y36">
        <f>IF(Settings!$B$17,IF(Settings!$B$9,CEILING(X36,Settings!$B$5),X36),IF(Settings!$B$9,MROUND(X36,Settings!$B$5),X36))</f>
        <v/>
      </c>
      <c r="Z36">
        <f>Settings!$B$2*M36/100</f>
        <v/>
      </c>
      <c r="AA36">
        <f>IF(Settings!$B$17,MIN(Settings!$B$2*G36/100,IF(Settings!$B$9,CEILING(MAX(0,V36+Settings!$B$2*G36/100-X36-Settings!$B$2*J36/100),Settings!$B$5),MAX(0,V36+Settings!$B$2*G36/100-X36-Settings!$B$2*J36/100))),IF(Settings!$B$9,MROUND(Z36,Settings!$B$5),Z36))</f>
        <v/>
      </c>
      <c r="AB36">
        <f>IF(T36="ERROR: Rounding broke protection balance","ERROR",IF(AND(Settings!$B$17,ABS(AA36-Z36)&gt;1E-9),"FIXED",IF(ABS(S36)&lt;=Settings!$B$7,"SAFE","WARNING")))</f>
        <v/>
      </c>
      <c r="AC36">
        <f>IF(AB36="FIXED","Close adjusted by SAFE mode",IF(AB36="SAFE","Balance preserved",IF(AB36="WARNING","Near protection boundary","Protection broken")))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BUY must be &gt;= Small SELL",IF(AND(LEN(L37)&gt;0,L37&gt;G37),"ERROR: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V37">
        <f>Settings!$B$2*C37/100</f>
        <v/>
      </c>
      <c r="W37">
        <f>IF(Settings!$B$17,IF(Settings!$B$9,FLOOR(V37,Settings!$B$5),V37),IF(Settings!$B$9,MROUND(V37,Settings!$B$5),V37))</f>
        <v/>
      </c>
      <c r="X37">
        <f>Settings!$B$2*E37/100</f>
        <v/>
      </c>
      <c r="Y37">
        <f>IF(Settings!$B$17,IF(Settings!$B$9,CEILING(X37,Settings!$B$5),X37),IF(Settings!$B$9,MROUND(X37,Settings!$B$5),X37))</f>
        <v/>
      </c>
      <c r="Z37">
        <f>Settings!$B$2*M37/100</f>
        <v/>
      </c>
      <c r="AA37">
        <f>IF(Settings!$B$17,MIN(Settings!$B$2*G37/100,IF(Settings!$B$9,CEILING(MAX(0,V37+Settings!$B$2*G37/100-X37-Settings!$B$2*J37/100),Settings!$B$5),MAX(0,V37+Settings!$B$2*G37/100-X37-Settings!$B$2*J37/100))),IF(Settings!$B$9,MROUND(Z37,Settings!$B$5),Z37))</f>
        <v/>
      </c>
      <c r="AB37">
        <f>IF(T37="ERROR: Rounding broke protection balance","ERROR",IF(AND(Settings!$B$17,ABS(AA37-Z37)&gt;1E-9),"FIXED",IF(ABS(S37)&lt;=Settings!$B$7,"SAFE","WARNING")))</f>
        <v/>
      </c>
      <c r="AC37">
        <f>IF(AB37="FIXED","Close adjusted by SAFE mode",IF(AB37="SAFE","Balance preserved",IF(AB37="WARNING","Near protection boundary","Protection broken")))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BUY must be &gt;= Small SELL",IF(AND(LEN(L38)&gt;0,L38&gt;G38),"ERROR: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V38">
        <f>Settings!$B$2*C38/100</f>
        <v/>
      </c>
      <c r="W38">
        <f>IF(Settings!$B$17,IF(Settings!$B$9,FLOOR(V38,Settings!$B$5),V38),IF(Settings!$B$9,MROUND(V38,Settings!$B$5),V38))</f>
        <v/>
      </c>
      <c r="X38">
        <f>Settings!$B$2*E38/100</f>
        <v/>
      </c>
      <c r="Y38">
        <f>IF(Settings!$B$17,IF(Settings!$B$9,CEILING(X38,Settings!$B$5),X38),IF(Settings!$B$9,MROUND(X38,Settings!$B$5),X38))</f>
        <v/>
      </c>
      <c r="Z38">
        <f>Settings!$B$2*M38/100</f>
        <v/>
      </c>
      <c r="AA38">
        <f>IF(Settings!$B$17,MIN(Settings!$B$2*G38/100,IF(Settings!$B$9,CEILING(MAX(0,V38+Settings!$B$2*G38/100-X38-Settings!$B$2*J38/100),Settings!$B$5),MAX(0,V38+Settings!$B$2*G38/100-X38-Settings!$B$2*J38/100))),IF(Settings!$B$9,MROUND(Z38,Settings!$B$5),Z38))</f>
        <v/>
      </c>
      <c r="AB38">
        <f>IF(T38="ERROR: Rounding broke protection balance","ERROR",IF(AND(Settings!$B$17,ABS(AA38-Z38)&gt;1E-9),"FIXED",IF(ABS(S38)&lt;=Settings!$B$7,"SAFE","WARNING")))</f>
        <v/>
      </c>
      <c r="AC38">
        <f>IF(AB38="FIXED","Close adjusted by SAFE mode",IF(AB38="SAFE","Balance preserved",IF(AB38="WARNING","Near protection boundary","Protection broken")))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BUY must be &gt;= Small SELL",IF(AND(LEN(L39)&gt;0,L39&gt;G39),"ERROR: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V39">
        <f>Settings!$B$2*C39/100</f>
        <v/>
      </c>
      <c r="W39">
        <f>IF(Settings!$B$17,IF(Settings!$B$9,FLOOR(V39,Settings!$B$5),V39),IF(Settings!$B$9,MROUND(V39,Settings!$B$5),V39))</f>
        <v/>
      </c>
      <c r="X39">
        <f>Settings!$B$2*E39/100</f>
        <v/>
      </c>
      <c r="Y39">
        <f>IF(Settings!$B$17,IF(Settings!$B$9,CEILING(X39,Settings!$B$5),X39),IF(Settings!$B$9,MROUND(X39,Settings!$B$5),X39))</f>
        <v/>
      </c>
      <c r="Z39">
        <f>Settings!$B$2*M39/100</f>
        <v/>
      </c>
      <c r="AA39">
        <f>IF(Settings!$B$17,MIN(Settings!$B$2*G39/100,IF(Settings!$B$9,CEILING(MAX(0,V39+Settings!$B$2*G39/100-X39-Settings!$B$2*J39/100),Settings!$B$5),MAX(0,V39+Settings!$B$2*G39/100-X39-Settings!$B$2*J39/100))),IF(Settings!$B$9,MROUND(Z39,Settings!$B$5),Z39))</f>
        <v/>
      </c>
      <c r="AB39">
        <f>IF(T39="ERROR: Rounding broke protection balance","ERROR",IF(AND(Settings!$B$17,ABS(AA39-Z39)&gt;1E-9),"FIXED",IF(ABS(S39)&lt;=Settings!$B$7,"SAFE","WARNING")))</f>
        <v/>
      </c>
      <c r="AC39">
        <f>IF(AB39="FIXED","Close adjusted by SAFE mode",IF(AB39="SAFE","Balance preserved",IF(AB39="WARNING","Near protection boundary","Protection broken")))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BUY must be &gt;= Small SELL",IF(AND(LEN(L40)&gt;0,L40&gt;G40),"ERROR: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V40">
        <f>Settings!$B$2*C40/100</f>
        <v/>
      </c>
      <c r="W40">
        <f>IF(Settings!$B$17,IF(Settings!$B$9,FLOOR(V40,Settings!$B$5),V40),IF(Settings!$B$9,MROUND(V40,Settings!$B$5),V40))</f>
        <v/>
      </c>
      <c r="X40">
        <f>Settings!$B$2*E40/100</f>
        <v/>
      </c>
      <c r="Y40">
        <f>IF(Settings!$B$17,IF(Settings!$B$9,CEILING(X40,Settings!$B$5),X40),IF(Settings!$B$9,MROUND(X40,Settings!$B$5),X40))</f>
        <v/>
      </c>
      <c r="Z40">
        <f>Settings!$B$2*M40/100</f>
        <v/>
      </c>
      <c r="AA40">
        <f>IF(Settings!$B$17,MIN(Settings!$B$2*G40/100,IF(Settings!$B$9,CEILING(MAX(0,V40+Settings!$B$2*G40/100-X40-Settings!$B$2*J40/100),Settings!$B$5),MAX(0,V40+Settings!$B$2*G40/100-X40-Settings!$B$2*J40/100))),IF(Settings!$B$9,MROUND(Z40,Settings!$B$5),Z40))</f>
        <v/>
      </c>
      <c r="AB40">
        <f>IF(T40="ERROR: Rounding broke protection balance","ERROR",IF(AND(Settings!$B$17,ABS(AA40-Z40)&gt;1E-9),"FIXED",IF(ABS(S40)&lt;=Settings!$B$7,"SAFE","WARNING")))</f>
        <v/>
      </c>
      <c r="AC40">
        <f>IF(AB40="FIXED","Close adjusted by SAFE mode",IF(AB40="SAFE","Balance preserved",IF(AB40="WARNING","Near protection boundary","Protection broken")))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BUY must be &gt;= Small SELL",IF(AND(LEN(L41)&gt;0,L41&gt;G41),"ERROR: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V41">
        <f>Settings!$B$2*C41/100</f>
        <v/>
      </c>
      <c r="W41">
        <f>IF(Settings!$B$17,IF(Settings!$B$9,FLOOR(V41,Settings!$B$5),V41),IF(Settings!$B$9,MROUND(V41,Settings!$B$5),V41))</f>
        <v/>
      </c>
      <c r="X41">
        <f>Settings!$B$2*E41/100</f>
        <v/>
      </c>
      <c r="Y41">
        <f>IF(Settings!$B$17,IF(Settings!$B$9,CEILING(X41,Settings!$B$5),X41),IF(Settings!$B$9,MROUND(X41,Settings!$B$5),X41))</f>
        <v/>
      </c>
      <c r="Z41">
        <f>Settings!$B$2*M41/100</f>
        <v/>
      </c>
      <c r="AA41">
        <f>IF(Settings!$B$17,MIN(Settings!$B$2*G41/100,IF(Settings!$B$9,CEILING(MAX(0,V41+Settings!$B$2*G41/100-X41-Settings!$B$2*J41/100),Settings!$B$5),MAX(0,V41+Settings!$B$2*G41/100-X41-Settings!$B$2*J41/100))),IF(Settings!$B$9,MROUND(Z41,Settings!$B$5),Z41))</f>
        <v/>
      </c>
      <c r="AB41">
        <f>IF(T41="ERROR: Rounding broke protection balance","ERROR",IF(AND(Settings!$B$17,ABS(AA41-Z41)&gt;1E-9),"FIXED",IF(ABS(S41)&lt;=Settings!$B$7,"SAFE","WARNING")))</f>
        <v/>
      </c>
      <c r="AC41">
        <f>IF(AB41="FIXED","Close adjusted by SAFE mode",IF(AB41="SAFE","Balance preserved",IF(AB41="WARNING","Near protection boundary","Protection broken")))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SELL %</t>
        </is>
      </c>
      <c r="D1" s="1" t="inlineStr">
        <is>
          <t>Big Lot</t>
        </is>
      </c>
      <c r="E1" s="1" t="inlineStr">
        <is>
          <t>Small BUY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SELL must be &gt;= Small BUY",IF(AND(LEN(L2)&gt;0,L2&gt;G2),"ERROR: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IF(T2="ERROR: Rounding broke protection balance","ERROR",IF(AND(Settings!$B$17,ABS(AA2-Z2)&gt;1E-9),"FIXED",IF(ABS(S2)&lt;=Settings!$B$7,"SAFE","WARNING")))</f>
        <v/>
      </c>
      <c r="AC2">
        <f>IF(AB2="FIXED","Close adjusted by SAFE mode",IF(AB2="SAFE","Balance preserved",IF(AB2="WARNING","Near protection boundary","Protection broken")))</f>
        <v/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SELL must be &gt;= Small BUY",IF(AND(LEN(L3)&gt;0,L3&gt;G3),"ERROR: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V3">
        <f>Settings!$B$2*C3/100</f>
        <v/>
      </c>
      <c r="W3">
        <f>IF(Settings!$B$17,IF(Settings!$B$9,FLOOR(V3,Settings!$B$5),V3),IF(Settings!$B$9,MROUND(V3,Settings!$B$5),V3))</f>
        <v/>
      </c>
      <c r="X3">
        <f>Settings!$B$2*E3/100</f>
        <v/>
      </c>
      <c r="Y3">
        <f>IF(Settings!$B$17,IF(Settings!$B$9,CEILING(X3,Settings!$B$5),X3),IF(Settings!$B$9,MROUND(X3,Settings!$B$5),X3))</f>
        <v/>
      </c>
      <c r="Z3">
        <f>Settings!$B$2*M3/100</f>
        <v/>
      </c>
      <c r="AA3">
        <f>IF(Settings!$B$17,MIN(Settings!$B$2*G3/100,IF(Settings!$B$9,CEILING(MAX(0,V3+Settings!$B$2*G3/100-X3-Settings!$B$2*J3/100),Settings!$B$5),MAX(0,V3+Settings!$B$2*G3/100-X3-Settings!$B$2*J3/100))),IF(Settings!$B$9,MROUND(Z3,Settings!$B$5),Z3))</f>
        <v/>
      </c>
      <c r="AB3">
        <f>IF(T3="ERROR: Rounding broke protection balance","ERROR",IF(AND(Settings!$B$17,ABS(AA3-Z3)&gt;1E-9),"FIXED",IF(ABS(S3)&lt;=Settings!$B$7,"SAFE","WARNING")))</f>
        <v/>
      </c>
      <c r="AC3">
        <f>IF(AB3="FIXED","Close adjusted by SAFE mode",IF(AB3="SAFE","Balance preserved",IF(AB3="WARNING","Near protection boundary","Protection broken")))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SELL must be &gt;= Small BUY",IF(AND(LEN(L4)&gt;0,L4&gt;G4),"ERROR: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V4">
        <f>Settings!$B$2*C4/100</f>
        <v/>
      </c>
      <c r="W4">
        <f>IF(Settings!$B$17,IF(Settings!$B$9,FLOOR(V4,Settings!$B$5),V4),IF(Settings!$B$9,MROUND(V4,Settings!$B$5),V4))</f>
        <v/>
      </c>
      <c r="X4">
        <f>Settings!$B$2*E4/100</f>
        <v/>
      </c>
      <c r="Y4">
        <f>IF(Settings!$B$17,IF(Settings!$B$9,CEILING(X4,Settings!$B$5),X4),IF(Settings!$B$9,MROUND(X4,Settings!$B$5),X4))</f>
        <v/>
      </c>
      <c r="Z4">
        <f>Settings!$B$2*M4/100</f>
        <v/>
      </c>
      <c r="AA4">
        <f>IF(Settings!$B$17,MIN(Settings!$B$2*G4/100,IF(Settings!$B$9,CEILING(MAX(0,V4+Settings!$B$2*G4/100-X4-Settings!$B$2*J4/100),Settings!$B$5),MAX(0,V4+Settings!$B$2*G4/100-X4-Settings!$B$2*J4/100))),IF(Settings!$B$9,MROUND(Z4,Settings!$B$5),Z4))</f>
        <v/>
      </c>
      <c r="AB4">
        <f>IF(T4="ERROR: Rounding broke protection balance","ERROR",IF(AND(Settings!$B$17,ABS(AA4-Z4)&gt;1E-9),"FIXED",IF(ABS(S4)&lt;=Settings!$B$7,"SAFE","WARNING")))</f>
        <v/>
      </c>
      <c r="AC4">
        <f>IF(AB4="FIXED","Close adjusted by SAFE mode",IF(AB4="SAFE","Balance preserved",IF(AB4="WARNING","Near protection boundary","Protection broken")))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SELL must be &gt;= Small BUY",IF(AND(LEN(L5)&gt;0,L5&gt;G5),"ERROR: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V5">
        <f>Settings!$B$2*C5/100</f>
        <v/>
      </c>
      <c r="W5">
        <f>IF(Settings!$B$17,IF(Settings!$B$9,FLOOR(V5,Settings!$B$5),V5),IF(Settings!$B$9,MROUND(V5,Settings!$B$5),V5))</f>
        <v/>
      </c>
      <c r="X5">
        <f>Settings!$B$2*E5/100</f>
        <v/>
      </c>
      <c r="Y5">
        <f>IF(Settings!$B$17,IF(Settings!$B$9,CEILING(X5,Settings!$B$5),X5),IF(Settings!$B$9,MROUND(X5,Settings!$B$5),X5))</f>
        <v/>
      </c>
      <c r="Z5">
        <f>Settings!$B$2*M5/100</f>
        <v/>
      </c>
      <c r="AA5">
        <f>IF(Settings!$B$17,MIN(Settings!$B$2*G5/100,IF(Settings!$B$9,CEILING(MAX(0,V5+Settings!$B$2*G5/100-X5-Settings!$B$2*J5/100),Settings!$B$5),MAX(0,V5+Settings!$B$2*G5/100-X5-Settings!$B$2*J5/100))),IF(Settings!$B$9,MROUND(Z5,Settings!$B$5),Z5))</f>
        <v/>
      </c>
      <c r="AB5">
        <f>IF(T5="ERROR: Rounding broke protection balance","ERROR",IF(AND(Settings!$B$17,ABS(AA5-Z5)&gt;1E-9),"FIXED",IF(ABS(S5)&lt;=Settings!$B$7,"SAFE","WARNING")))</f>
        <v/>
      </c>
      <c r="AC5">
        <f>IF(AB5="FIXED","Close adjusted by SAFE mode",IF(AB5="SAFE","Balance preserved",IF(AB5="WARNING","Near protection boundary","Protection broken")))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SELL must be &gt;= Small BUY",IF(AND(LEN(L6)&gt;0,L6&gt;G6),"ERROR: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V6">
        <f>Settings!$B$2*C6/100</f>
        <v/>
      </c>
      <c r="W6">
        <f>IF(Settings!$B$17,IF(Settings!$B$9,FLOOR(V6,Settings!$B$5),V6),IF(Settings!$B$9,MROUND(V6,Settings!$B$5),V6))</f>
        <v/>
      </c>
      <c r="X6">
        <f>Settings!$B$2*E6/100</f>
        <v/>
      </c>
      <c r="Y6">
        <f>IF(Settings!$B$17,IF(Settings!$B$9,CEILING(X6,Settings!$B$5),X6),IF(Settings!$B$9,MROUND(X6,Settings!$B$5),X6))</f>
        <v/>
      </c>
      <c r="Z6">
        <f>Settings!$B$2*M6/100</f>
        <v/>
      </c>
      <c r="AA6">
        <f>IF(Settings!$B$17,MIN(Settings!$B$2*G6/100,IF(Settings!$B$9,CEILING(MAX(0,V6+Settings!$B$2*G6/100-X6-Settings!$B$2*J6/100),Settings!$B$5),MAX(0,V6+Settings!$B$2*G6/100-X6-Settings!$B$2*J6/100))),IF(Settings!$B$9,MROUND(Z6,Settings!$B$5),Z6))</f>
        <v/>
      </c>
      <c r="AB6">
        <f>IF(T6="ERROR: Rounding broke protection balance","ERROR",IF(AND(Settings!$B$17,ABS(AA6-Z6)&gt;1E-9),"FIXED",IF(ABS(S6)&lt;=Settings!$B$7,"SAFE","WARNING")))</f>
        <v/>
      </c>
      <c r="AC6">
        <f>IF(AB6="FIXED","Close adjusted by SAFE mode",IF(AB6="SAFE","Balance preserved",IF(AB6="WARNING","Near protection boundary","Protection broken")))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SELL must be &gt;= Small BUY",IF(AND(LEN(L7)&gt;0,L7&gt;G7),"ERROR: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V7">
        <f>Settings!$B$2*C7/100</f>
        <v/>
      </c>
      <c r="W7">
        <f>IF(Settings!$B$17,IF(Settings!$B$9,FLOOR(V7,Settings!$B$5),V7),IF(Settings!$B$9,MROUND(V7,Settings!$B$5),V7))</f>
        <v/>
      </c>
      <c r="X7">
        <f>Settings!$B$2*E7/100</f>
        <v/>
      </c>
      <c r="Y7">
        <f>IF(Settings!$B$17,IF(Settings!$B$9,CEILING(X7,Settings!$B$5),X7),IF(Settings!$B$9,MROUND(X7,Settings!$B$5),X7))</f>
        <v/>
      </c>
      <c r="Z7">
        <f>Settings!$B$2*M7/100</f>
        <v/>
      </c>
      <c r="AA7">
        <f>IF(Settings!$B$17,MIN(Settings!$B$2*G7/100,IF(Settings!$B$9,CEILING(MAX(0,V7+Settings!$B$2*G7/100-X7-Settings!$B$2*J7/100),Settings!$B$5),MAX(0,V7+Settings!$B$2*G7/100-X7-Settings!$B$2*J7/100))),IF(Settings!$B$9,MROUND(Z7,Settings!$B$5),Z7))</f>
        <v/>
      </c>
      <c r="AB7">
        <f>IF(T7="ERROR: Rounding broke protection balance","ERROR",IF(AND(Settings!$B$17,ABS(AA7-Z7)&gt;1E-9),"FIXED",IF(ABS(S7)&lt;=Settings!$B$7,"SAFE","WARNING")))</f>
        <v/>
      </c>
      <c r="AC7">
        <f>IF(AB7="FIXED","Close adjusted by SAFE mode",IF(AB7="SAFE","Balance preserved",IF(AB7="WARNING","Near protection boundary","Protection broken")))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SELL must be &gt;= Small BUY",IF(AND(LEN(L8)&gt;0,L8&gt;G8),"ERROR: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V8">
        <f>Settings!$B$2*C8/100</f>
        <v/>
      </c>
      <c r="W8">
        <f>IF(Settings!$B$17,IF(Settings!$B$9,FLOOR(V8,Settings!$B$5),V8),IF(Settings!$B$9,MROUND(V8,Settings!$B$5),V8))</f>
        <v/>
      </c>
      <c r="X8">
        <f>Settings!$B$2*E8/100</f>
        <v/>
      </c>
      <c r="Y8">
        <f>IF(Settings!$B$17,IF(Settings!$B$9,CEILING(X8,Settings!$B$5),X8),IF(Settings!$B$9,MROUND(X8,Settings!$B$5),X8))</f>
        <v/>
      </c>
      <c r="Z8">
        <f>Settings!$B$2*M8/100</f>
        <v/>
      </c>
      <c r="AA8">
        <f>IF(Settings!$B$17,MIN(Settings!$B$2*G8/100,IF(Settings!$B$9,CEILING(MAX(0,V8+Settings!$B$2*G8/100-X8-Settings!$B$2*J8/100),Settings!$B$5),MAX(0,V8+Settings!$B$2*G8/100-X8-Settings!$B$2*J8/100))),IF(Settings!$B$9,MROUND(Z8,Settings!$B$5),Z8))</f>
        <v/>
      </c>
      <c r="AB8">
        <f>IF(T8="ERROR: Rounding broke protection balance","ERROR",IF(AND(Settings!$B$17,ABS(AA8-Z8)&gt;1E-9),"FIXED",IF(ABS(S8)&lt;=Settings!$B$7,"SAFE","WARNING")))</f>
        <v/>
      </c>
      <c r="AC8">
        <f>IF(AB8="FIXED","Close adjusted by SAFE mode",IF(AB8="SAFE","Balance preserved",IF(AB8="WARNING","Near protection boundary","Protection broken")))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SELL must be &gt;= Small BUY",IF(AND(LEN(L9)&gt;0,L9&gt;G9),"ERROR: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V9">
        <f>Settings!$B$2*C9/100</f>
        <v/>
      </c>
      <c r="W9">
        <f>IF(Settings!$B$17,IF(Settings!$B$9,FLOOR(V9,Settings!$B$5),V9),IF(Settings!$B$9,MROUND(V9,Settings!$B$5),V9))</f>
        <v/>
      </c>
      <c r="X9">
        <f>Settings!$B$2*E9/100</f>
        <v/>
      </c>
      <c r="Y9">
        <f>IF(Settings!$B$17,IF(Settings!$B$9,CEILING(X9,Settings!$B$5),X9),IF(Settings!$B$9,MROUND(X9,Settings!$B$5),X9))</f>
        <v/>
      </c>
      <c r="Z9">
        <f>Settings!$B$2*M9/100</f>
        <v/>
      </c>
      <c r="AA9">
        <f>IF(Settings!$B$17,MIN(Settings!$B$2*G9/100,IF(Settings!$B$9,CEILING(MAX(0,V9+Settings!$B$2*G9/100-X9-Settings!$B$2*J9/100),Settings!$B$5),MAX(0,V9+Settings!$B$2*G9/100-X9-Settings!$B$2*J9/100))),IF(Settings!$B$9,MROUND(Z9,Settings!$B$5),Z9))</f>
        <v/>
      </c>
      <c r="AB9">
        <f>IF(T9="ERROR: Rounding broke protection balance","ERROR",IF(AND(Settings!$B$17,ABS(AA9-Z9)&gt;1E-9),"FIXED",IF(ABS(S9)&lt;=Settings!$B$7,"SAFE","WARNING")))</f>
        <v/>
      </c>
      <c r="AC9">
        <f>IF(AB9="FIXED","Close adjusted by SAFE mode",IF(AB9="SAFE","Balance preserved",IF(AB9="WARNING","Near protection boundary","Protection broken")))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SELL must be &gt;= Small BUY",IF(AND(LEN(L10)&gt;0,L10&gt;G10),"ERROR: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V10">
        <f>Settings!$B$2*C10/100</f>
        <v/>
      </c>
      <c r="W10">
        <f>IF(Settings!$B$17,IF(Settings!$B$9,FLOOR(V10,Settings!$B$5),V10),IF(Settings!$B$9,MROUND(V10,Settings!$B$5),V10))</f>
        <v/>
      </c>
      <c r="X10">
        <f>Settings!$B$2*E10/100</f>
        <v/>
      </c>
      <c r="Y10">
        <f>IF(Settings!$B$17,IF(Settings!$B$9,CEILING(X10,Settings!$B$5),X10),IF(Settings!$B$9,MROUND(X10,Settings!$B$5),X10))</f>
        <v/>
      </c>
      <c r="Z10">
        <f>Settings!$B$2*M10/100</f>
        <v/>
      </c>
      <c r="AA10">
        <f>IF(Settings!$B$17,MIN(Settings!$B$2*G10/100,IF(Settings!$B$9,CEILING(MAX(0,V10+Settings!$B$2*G10/100-X10-Settings!$B$2*J10/100),Settings!$B$5),MAX(0,V10+Settings!$B$2*G10/100-X10-Settings!$B$2*J10/100))),IF(Settings!$B$9,MROUND(Z10,Settings!$B$5),Z10))</f>
        <v/>
      </c>
      <c r="AB10">
        <f>IF(T10="ERROR: Rounding broke protection balance","ERROR",IF(AND(Settings!$B$17,ABS(AA10-Z10)&gt;1E-9),"FIXED",IF(ABS(S10)&lt;=Settings!$B$7,"SAFE","WARNING")))</f>
        <v/>
      </c>
      <c r="AC10">
        <f>IF(AB10="FIXED","Close adjusted by SAFE mode",IF(AB10="SAFE","Balance preserved",IF(AB10="WARNING","Near protection boundary","Protection broken")))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SELL must be &gt;= Small BUY",IF(AND(LEN(L11)&gt;0,L11&gt;G11),"ERROR: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V11">
        <f>Settings!$B$2*C11/100</f>
        <v/>
      </c>
      <c r="W11">
        <f>IF(Settings!$B$17,IF(Settings!$B$9,FLOOR(V11,Settings!$B$5),V11),IF(Settings!$B$9,MROUND(V11,Settings!$B$5),V11))</f>
        <v/>
      </c>
      <c r="X11">
        <f>Settings!$B$2*E11/100</f>
        <v/>
      </c>
      <c r="Y11">
        <f>IF(Settings!$B$17,IF(Settings!$B$9,CEILING(X11,Settings!$B$5),X11),IF(Settings!$B$9,MROUND(X11,Settings!$B$5),X11))</f>
        <v/>
      </c>
      <c r="Z11">
        <f>Settings!$B$2*M11/100</f>
        <v/>
      </c>
      <c r="AA11">
        <f>IF(Settings!$B$17,MIN(Settings!$B$2*G11/100,IF(Settings!$B$9,CEILING(MAX(0,V11+Settings!$B$2*G11/100-X11-Settings!$B$2*J11/100),Settings!$B$5),MAX(0,V11+Settings!$B$2*G11/100-X11-Settings!$B$2*J11/100))),IF(Settings!$B$9,MROUND(Z11,Settings!$B$5),Z11))</f>
        <v/>
      </c>
      <c r="AB11">
        <f>IF(T11="ERROR: Rounding broke protection balance","ERROR",IF(AND(Settings!$B$17,ABS(AA11-Z11)&gt;1E-9),"FIXED",IF(ABS(S11)&lt;=Settings!$B$7,"SAFE","WARNING")))</f>
        <v/>
      </c>
      <c r="AC11">
        <f>IF(AB11="FIXED","Close adjusted by SAFE mode",IF(AB11="SAFE","Balance preserved",IF(AB11="WARNING","Near protection boundary","Protection broken")))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SELL must be &gt;= Small BUY",IF(AND(LEN(L12)&gt;0,L12&gt;G12),"ERROR: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V12">
        <f>Settings!$B$2*C12/100</f>
        <v/>
      </c>
      <c r="W12">
        <f>IF(Settings!$B$17,IF(Settings!$B$9,FLOOR(V12,Settings!$B$5),V12),IF(Settings!$B$9,MROUND(V12,Settings!$B$5),V12))</f>
        <v/>
      </c>
      <c r="X12">
        <f>Settings!$B$2*E12/100</f>
        <v/>
      </c>
      <c r="Y12">
        <f>IF(Settings!$B$17,IF(Settings!$B$9,CEILING(X12,Settings!$B$5),X12),IF(Settings!$B$9,MROUND(X12,Settings!$B$5),X12))</f>
        <v/>
      </c>
      <c r="Z12">
        <f>Settings!$B$2*M12/100</f>
        <v/>
      </c>
      <c r="AA12">
        <f>IF(Settings!$B$17,MIN(Settings!$B$2*G12/100,IF(Settings!$B$9,CEILING(MAX(0,V12+Settings!$B$2*G12/100-X12-Settings!$B$2*J12/100),Settings!$B$5),MAX(0,V12+Settings!$B$2*G12/100-X12-Settings!$B$2*J12/100))),IF(Settings!$B$9,MROUND(Z12,Settings!$B$5),Z12))</f>
        <v/>
      </c>
      <c r="AB12">
        <f>IF(T12="ERROR: Rounding broke protection balance","ERROR",IF(AND(Settings!$B$17,ABS(AA12-Z12)&gt;1E-9),"FIXED",IF(ABS(S12)&lt;=Settings!$B$7,"SAFE","WARNING")))</f>
        <v/>
      </c>
      <c r="AC12">
        <f>IF(AB12="FIXED","Close adjusted by SAFE mode",IF(AB12="SAFE","Balance preserved",IF(AB12="WARNING","Near protection boundary","Protection broken")))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SELL must be &gt;= Small BUY",IF(AND(LEN(L13)&gt;0,L13&gt;G13),"ERROR: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V13">
        <f>Settings!$B$2*C13/100</f>
        <v/>
      </c>
      <c r="W13">
        <f>IF(Settings!$B$17,IF(Settings!$B$9,FLOOR(V13,Settings!$B$5),V13),IF(Settings!$B$9,MROUND(V13,Settings!$B$5),V13))</f>
        <v/>
      </c>
      <c r="X13">
        <f>Settings!$B$2*E13/100</f>
        <v/>
      </c>
      <c r="Y13">
        <f>IF(Settings!$B$17,IF(Settings!$B$9,CEILING(X13,Settings!$B$5),X13),IF(Settings!$B$9,MROUND(X13,Settings!$B$5),X13))</f>
        <v/>
      </c>
      <c r="Z13">
        <f>Settings!$B$2*M13/100</f>
        <v/>
      </c>
      <c r="AA13">
        <f>IF(Settings!$B$17,MIN(Settings!$B$2*G13/100,IF(Settings!$B$9,CEILING(MAX(0,V13+Settings!$B$2*G13/100-X13-Settings!$B$2*J13/100),Settings!$B$5),MAX(0,V13+Settings!$B$2*G13/100-X13-Settings!$B$2*J13/100))),IF(Settings!$B$9,MROUND(Z13,Settings!$B$5),Z13))</f>
        <v/>
      </c>
      <c r="AB13">
        <f>IF(T13="ERROR: Rounding broke protection balance","ERROR",IF(AND(Settings!$B$17,ABS(AA13-Z13)&gt;1E-9),"FIXED",IF(ABS(S13)&lt;=Settings!$B$7,"SAFE","WARNING")))</f>
        <v/>
      </c>
      <c r="AC13">
        <f>IF(AB13="FIXED","Close adjusted by SAFE mode",IF(AB13="SAFE","Balance preserved",IF(AB13="WARNING","Near protection boundary","Protection broken")))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SELL must be &gt;= Small BUY",IF(AND(LEN(L14)&gt;0,L14&gt;G14),"ERROR: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V14">
        <f>Settings!$B$2*C14/100</f>
        <v/>
      </c>
      <c r="W14">
        <f>IF(Settings!$B$17,IF(Settings!$B$9,FLOOR(V14,Settings!$B$5),V14),IF(Settings!$B$9,MROUND(V14,Settings!$B$5),V14))</f>
        <v/>
      </c>
      <c r="X14">
        <f>Settings!$B$2*E14/100</f>
        <v/>
      </c>
      <c r="Y14">
        <f>IF(Settings!$B$17,IF(Settings!$B$9,CEILING(X14,Settings!$B$5),X14),IF(Settings!$B$9,MROUND(X14,Settings!$B$5),X14))</f>
        <v/>
      </c>
      <c r="Z14">
        <f>Settings!$B$2*M14/100</f>
        <v/>
      </c>
      <c r="AA14">
        <f>IF(Settings!$B$17,MIN(Settings!$B$2*G14/100,IF(Settings!$B$9,CEILING(MAX(0,V14+Settings!$B$2*G14/100-X14-Settings!$B$2*J14/100),Settings!$B$5),MAX(0,V14+Settings!$B$2*G14/100-X14-Settings!$B$2*J14/100))),IF(Settings!$B$9,MROUND(Z14,Settings!$B$5),Z14))</f>
        <v/>
      </c>
      <c r="AB14">
        <f>IF(T14="ERROR: Rounding broke protection balance","ERROR",IF(AND(Settings!$B$17,ABS(AA14-Z14)&gt;1E-9),"FIXED",IF(ABS(S14)&lt;=Settings!$B$7,"SAFE","WARNING")))</f>
        <v/>
      </c>
      <c r="AC14">
        <f>IF(AB14="FIXED","Close adjusted by SAFE mode",IF(AB14="SAFE","Balance preserved",IF(AB14="WARNING","Near protection boundary","Protection broken")))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SELL must be &gt;= Small BUY",IF(AND(LEN(L15)&gt;0,L15&gt;G15),"ERROR: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V15">
        <f>Settings!$B$2*C15/100</f>
        <v/>
      </c>
      <c r="W15">
        <f>IF(Settings!$B$17,IF(Settings!$B$9,FLOOR(V15,Settings!$B$5),V15),IF(Settings!$B$9,MROUND(V15,Settings!$B$5),V15))</f>
        <v/>
      </c>
      <c r="X15">
        <f>Settings!$B$2*E15/100</f>
        <v/>
      </c>
      <c r="Y15">
        <f>IF(Settings!$B$17,IF(Settings!$B$9,CEILING(X15,Settings!$B$5),X15),IF(Settings!$B$9,MROUND(X15,Settings!$B$5),X15))</f>
        <v/>
      </c>
      <c r="Z15">
        <f>Settings!$B$2*M15/100</f>
        <v/>
      </c>
      <c r="AA15">
        <f>IF(Settings!$B$17,MIN(Settings!$B$2*G15/100,IF(Settings!$B$9,CEILING(MAX(0,V15+Settings!$B$2*G15/100-X15-Settings!$B$2*J15/100),Settings!$B$5),MAX(0,V15+Settings!$B$2*G15/100-X15-Settings!$B$2*J15/100))),IF(Settings!$B$9,MROUND(Z15,Settings!$B$5),Z15))</f>
        <v/>
      </c>
      <c r="AB15">
        <f>IF(T15="ERROR: Rounding broke protection balance","ERROR",IF(AND(Settings!$B$17,ABS(AA15-Z15)&gt;1E-9),"FIXED",IF(ABS(S15)&lt;=Settings!$B$7,"SAFE","WARNING")))</f>
        <v/>
      </c>
      <c r="AC15">
        <f>IF(AB15="FIXED","Close adjusted by SAFE mode",IF(AB15="SAFE","Balance preserved",IF(AB15="WARNING","Near protection boundary","Protection broken")))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SELL must be &gt;= Small BUY",IF(AND(LEN(L16)&gt;0,L16&gt;G16),"ERROR: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V16">
        <f>Settings!$B$2*C16/100</f>
        <v/>
      </c>
      <c r="W16">
        <f>IF(Settings!$B$17,IF(Settings!$B$9,FLOOR(V16,Settings!$B$5),V16),IF(Settings!$B$9,MROUND(V16,Settings!$B$5),V16))</f>
        <v/>
      </c>
      <c r="X16">
        <f>Settings!$B$2*E16/100</f>
        <v/>
      </c>
      <c r="Y16">
        <f>IF(Settings!$B$17,IF(Settings!$B$9,CEILING(X16,Settings!$B$5),X16),IF(Settings!$B$9,MROUND(X16,Settings!$B$5),X16))</f>
        <v/>
      </c>
      <c r="Z16">
        <f>Settings!$B$2*M16/100</f>
        <v/>
      </c>
      <c r="AA16">
        <f>IF(Settings!$B$17,MIN(Settings!$B$2*G16/100,IF(Settings!$B$9,CEILING(MAX(0,V16+Settings!$B$2*G16/100-X16-Settings!$B$2*J16/100),Settings!$B$5),MAX(0,V16+Settings!$B$2*G16/100-X16-Settings!$B$2*J16/100))),IF(Settings!$B$9,MROUND(Z16,Settings!$B$5),Z16))</f>
        <v/>
      </c>
      <c r="AB16">
        <f>IF(T16="ERROR: Rounding broke protection balance","ERROR",IF(AND(Settings!$B$17,ABS(AA16-Z16)&gt;1E-9),"FIXED",IF(ABS(S16)&lt;=Settings!$B$7,"SAFE","WARNING")))</f>
        <v/>
      </c>
      <c r="AC16">
        <f>IF(AB16="FIXED","Close adjusted by SAFE mode",IF(AB16="SAFE","Balance preserved",IF(AB16="WARNING","Near protection boundary","Protection broken")))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SELL must be &gt;= Small BUY",IF(AND(LEN(L17)&gt;0,L17&gt;G17),"ERROR: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V17">
        <f>Settings!$B$2*C17/100</f>
        <v/>
      </c>
      <c r="W17">
        <f>IF(Settings!$B$17,IF(Settings!$B$9,FLOOR(V17,Settings!$B$5),V17),IF(Settings!$B$9,MROUND(V17,Settings!$B$5),V17))</f>
        <v/>
      </c>
      <c r="X17">
        <f>Settings!$B$2*E17/100</f>
        <v/>
      </c>
      <c r="Y17">
        <f>IF(Settings!$B$17,IF(Settings!$B$9,CEILING(X17,Settings!$B$5),X17),IF(Settings!$B$9,MROUND(X17,Settings!$B$5),X17))</f>
        <v/>
      </c>
      <c r="Z17">
        <f>Settings!$B$2*M17/100</f>
        <v/>
      </c>
      <c r="AA17">
        <f>IF(Settings!$B$17,MIN(Settings!$B$2*G17/100,IF(Settings!$B$9,CEILING(MAX(0,V17+Settings!$B$2*G17/100-X17-Settings!$B$2*J17/100),Settings!$B$5),MAX(0,V17+Settings!$B$2*G17/100-X17-Settings!$B$2*J17/100))),IF(Settings!$B$9,MROUND(Z17,Settings!$B$5),Z17))</f>
        <v/>
      </c>
      <c r="AB17">
        <f>IF(T17="ERROR: Rounding broke protection balance","ERROR",IF(AND(Settings!$B$17,ABS(AA17-Z17)&gt;1E-9),"FIXED",IF(ABS(S17)&lt;=Settings!$B$7,"SAFE","WARNING")))</f>
        <v/>
      </c>
      <c r="AC17">
        <f>IF(AB17="FIXED","Close adjusted by SAFE mode",IF(AB17="SAFE","Balance preserved",IF(AB17="WARNING","Near protection boundary","Protection broken")))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SELL must be &gt;= Small BUY",IF(AND(LEN(L18)&gt;0,L18&gt;G18),"ERROR: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V18">
        <f>Settings!$B$2*C18/100</f>
        <v/>
      </c>
      <c r="W18">
        <f>IF(Settings!$B$17,IF(Settings!$B$9,FLOOR(V18,Settings!$B$5),V18),IF(Settings!$B$9,MROUND(V18,Settings!$B$5),V18))</f>
        <v/>
      </c>
      <c r="X18">
        <f>Settings!$B$2*E18/100</f>
        <v/>
      </c>
      <c r="Y18">
        <f>IF(Settings!$B$17,IF(Settings!$B$9,CEILING(X18,Settings!$B$5),X18),IF(Settings!$B$9,MROUND(X18,Settings!$B$5),X18))</f>
        <v/>
      </c>
      <c r="Z18">
        <f>Settings!$B$2*M18/100</f>
        <v/>
      </c>
      <c r="AA18">
        <f>IF(Settings!$B$17,MIN(Settings!$B$2*G18/100,IF(Settings!$B$9,CEILING(MAX(0,V18+Settings!$B$2*G18/100-X18-Settings!$B$2*J18/100),Settings!$B$5),MAX(0,V18+Settings!$B$2*G18/100-X18-Settings!$B$2*J18/100))),IF(Settings!$B$9,MROUND(Z18,Settings!$B$5),Z18))</f>
        <v/>
      </c>
      <c r="AB18">
        <f>IF(T18="ERROR: Rounding broke protection balance","ERROR",IF(AND(Settings!$B$17,ABS(AA18-Z18)&gt;1E-9),"FIXED",IF(ABS(S18)&lt;=Settings!$B$7,"SAFE","WARNING")))</f>
        <v/>
      </c>
      <c r="AC18">
        <f>IF(AB18="FIXED","Close adjusted by SAFE mode",IF(AB18="SAFE","Balance preserved",IF(AB18="WARNING","Near protection boundary","Protection broken")))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SELL must be &gt;= Small BUY",IF(AND(LEN(L19)&gt;0,L19&gt;G19),"ERROR: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V19">
        <f>Settings!$B$2*C19/100</f>
        <v/>
      </c>
      <c r="W19">
        <f>IF(Settings!$B$17,IF(Settings!$B$9,FLOOR(V19,Settings!$B$5),V19),IF(Settings!$B$9,MROUND(V19,Settings!$B$5),V19))</f>
        <v/>
      </c>
      <c r="X19">
        <f>Settings!$B$2*E19/100</f>
        <v/>
      </c>
      <c r="Y19">
        <f>IF(Settings!$B$17,IF(Settings!$B$9,CEILING(X19,Settings!$B$5),X19),IF(Settings!$B$9,MROUND(X19,Settings!$B$5),X19))</f>
        <v/>
      </c>
      <c r="Z19">
        <f>Settings!$B$2*M19/100</f>
        <v/>
      </c>
      <c r="AA19">
        <f>IF(Settings!$B$17,MIN(Settings!$B$2*G19/100,IF(Settings!$B$9,CEILING(MAX(0,V19+Settings!$B$2*G19/100-X19-Settings!$B$2*J19/100),Settings!$B$5),MAX(0,V19+Settings!$B$2*G19/100-X19-Settings!$B$2*J19/100))),IF(Settings!$B$9,MROUND(Z19,Settings!$B$5),Z19))</f>
        <v/>
      </c>
      <c r="AB19">
        <f>IF(T19="ERROR: Rounding broke protection balance","ERROR",IF(AND(Settings!$B$17,ABS(AA19-Z19)&gt;1E-9),"FIXED",IF(ABS(S19)&lt;=Settings!$B$7,"SAFE","WARNING")))</f>
        <v/>
      </c>
      <c r="AC19">
        <f>IF(AB19="FIXED","Close adjusted by SAFE mode",IF(AB19="SAFE","Balance preserved",IF(AB19="WARNING","Near protection boundary","Protection broken")))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SELL must be &gt;= Small BUY",IF(AND(LEN(L20)&gt;0,L20&gt;G20),"ERROR: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V20">
        <f>Settings!$B$2*C20/100</f>
        <v/>
      </c>
      <c r="W20">
        <f>IF(Settings!$B$17,IF(Settings!$B$9,FLOOR(V20,Settings!$B$5),V20),IF(Settings!$B$9,MROUND(V20,Settings!$B$5),V20))</f>
        <v/>
      </c>
      <c r="X20">
        <f>Settings!$B$2*E20/100</f>
        <v/>
      </c>
      <c r="Y20">
        <f>IF(Settings!$B$17,IF(Settings!$B$9,CEILING(X20,Settings!$B$5),X20),IF(Settings!$B$9,MROUND(X20,Settings!$B$5),X20))</f>
        <v/>
      </c>
      <c r="Z20">
        <f>Settings!$B$2*M20/100</f>
        <v/>
      </c>
      <c r="AA20">
        <f>IF(Settings!$B$17,MIN(Settings!$B$2*G20/100,IF(Settings!$B$9,CEILING(MAX(0,V20+Settings!$B$2*G20/100-X20-Settings!$B$2*J20/100),Settings!$B$5),MAX(0,V20+Settings!$B$2*G20/100-X20-Settings!$B$2*J20/100))),IF(Settings!$B$9,MROUND(Z20,Settings!$B$5),Z20))</f>
        <v/>
      </c>
      <c r="AB20">
        <f>IF(T20="ERROR: Rounding broke protection balance","ERROR",IF(AND(Settings!$B$17,ABS(AA20-Z20)&gt;1E-9),"FIXED",IF(ABS(S20)&lt;=Settings!$B$7,"SAFE","WARNING")))</f>
        <v/>
      </c>
      <c r="AC20">
        <f>IF(AB20="FIXED","Close adjusted by SAFE mode",IF(AB20="SAFE","Balance preserved",IF(AB20="WARNING","Near protection boundary","Protection broken")))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SELL must be &gt;= Small BUY",IF(AND(LEN(L21)&gt;0,L21&gt;G21),"ERROR: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V21">
        <f>Settings!$B$2*C21/100</f>
        <v/>
      </c>
      <c r="W21">
        <f>IF(Settings!$B$17,IF(Settings!$B$9,FLOOR(V21,Settings!$B$5),V21),IF(Settings!$B$9,MROUND(V21,Settings!$B$5),V21))</f>
        <v/>
      </c>
      <c r="X21">
        <f>Settings!$B$2*E21/100</f>
        <v/>
      </c>
      <c r="Y21">
        <f>IF(Settings!$B$17,IF(Settings!$B$9,CEILING(X21,Settings!$B$5),X21),IF(Settings!$B$9,MROUND(X21,Settings!$B$5),X21))</f>
        <v/>
      </c>
      <c r="Z21">
        <f>Settings!$B$2*M21/100</f>
        <v/>
      </c>
      <c r="AA21">
        <f>IF(Settings!$B$17,MIN(Settings!$B$2*G21/100,IF(Settings!$B$9,CEILING(MAX(0,V21+Settings!$B$2*G21/100-X21-Settings!$B$2*J21/100),Settings!$B$5),MAX(0,V21+Settings!$B$2*G21/100-X21-Settings!$B$2*J21/100))),IF(Settings!$B$9,MROUND(Z21,Settings!$B$5),Z21))</f>
        <v/>
      </c>
      <c r="AB21">
        <f>IF(T21="ERROR: Rounding broke protection balance","ERROR",IF(AND(Settings!$B$17,ABS(AA21-Z21)&gt;1E-9),"FIXED",IF(ABS(S21)&lt;=Settings!$B$7,"SAFE","WARNING")))</f>
        <v/>
      </c>
      <c r="AC21">
        <f>IF(AB21="FIXED","Close adjusted by SAFE mode",IF(AB21="SAFE","Balance preserved",IF(AB21="WARNING","Near protection boundary","Protection broken")))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SELL must be &gt;= Small BUY",IF(AND(LEN(L22)&gt;0,L22&gt;G22),"ERROR: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V22">
        <f>Settings!$B$2*C22/100</f>
        <v/>
      </c>
      <c r="W22">
        <f>IF(Settings!$B$17,IF(Settings!$B$9,FLOOR(V22,Settings!$B$5),V22),IF(Settings!$B$9,MROUND(V22,Settings!$B$5),V22))</f>
        <v/>
      </c>
      <c r="X22">
        <f>Settings!$B$2*E22/100</f>
        <v/>
      </c>
      <c r="Y22">
        <f>IF(Settings!$B$17,IF(Settings!$B$9,CEILING(X22,Settings!$B$5),X22),IF(Settings!$B$9,MROUND(X22,Settings!$B$5),X22))</f>
        <v/>
      </c>
      <c r="Z22">
        <f>Settings!$B$2*M22/100</f>
        <v/>
      </c>
      <c r="AA22">
        <f>IF(Settings!$B$17,MIN(Settings!$B$2*G22/100,IF(Settings!$B$9,CEILING(MAX(0,V22+Settings!$B$2*G22/100-X22-Settings!$B$2*J22/100),Settings!$B$5),MAX(0,V22+Settings!$B$2*G22/100-X22-Settings!$B$2*J22/100))),IF(Settings!$B$9,MROUND(Z22,Settings!$B$5),Z22))</f>
        <v/>
      </c>
      <c r="AB22">
        <f>IF(T22="ERROR: Rounding broke protection balance","ERROR",IF(AND(Settings!$B$17,ABS(AA22-Z22)&gt;1E-9),"FIXED",IF(ABS(S22)&lt;=Settings!$B$7,"SAFE","WARNING")))</f>
        <v/>
      </c>
      <c r="AC22">
        <f>IF(AB22="FIXED","Close adjusted by SAFE mode",IF(AB22="SAFE","Balance preserved",IF(AB22="WARNING","Near protection boundary","Protection broken")))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SELL must be &gt;= Small BUY",IF(AND(LEN(L23)&gt;0,L23&gt;G23),"ERROR: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V23">
        <f>Settings!$B$2*C23/100</f>
        <v/>
      </c>
      <c r="W23">
        <f>IF(Settings!$B$17,IF(Settings!$B$9,FLOOR(V23,Settings!$B$5),V23),IF(Settings!$B$9,MROUND(V23,Settings!$B$5),V23))</f>
        <v/>
      </c>
      <c r="X23">
        <f>Settings!$B$2*E23/100</f>
        <v/>
      </c>
      <c r="Y23">
        <f>IF(Settings!$B$17,IF(Settings!$B$9,CEILING(X23,Settings!$B$5),X23),IF(Settings!$B$9,MROUND(X23,Settings!$B$5),X23))</f>
        <v/>
      </c>
      <c r="Z23">
        <f>Settings!$B$2*M23/100</f>
        <v/>
      </c>
      <c r="AA23">
        <f>IF(Settings!$B$17,MIN(Settings!$B$2*G23/100,IF(Settings!$B$9,CEILING(MAX(0,V23+Settings!$B$2*G23/100-X23-Settings!$B$2*J23/100),Settings!$B$5),MAX(0,V23+Settings!$B$2*G23/100-X23-Settings!$B$2*J23/100))),IF(Settings!$B$9,MROUND(Z23,Settings!$B$5),Z23))</f>
        <v/>
      </c>
      <c r="AB23">
        <f>IF(T23="ERROR: Rounding broke protection balance","ERROR",IF(AND(Settings!$B$17,ABS(AA23-Z23)&gt;1E-9),"FIXED",IF(ABS(S23)&lt;=Settings!$B$7,"SAFE","WARNING")))</f>
        <v/>
      </c>
      <c r="AC23">
        <f>IF(AB23="FIXED","Close adjusted by SAFE mode",IF(AB23="SAFE","Balance preserved",IF(AB23="WARNING","Near protection boundary","Protection broken")))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SELL must be &gt;= Small BUY",IF(AND(LEN(L24)&gt;0,L24&gt;G24),"ERROR: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V24">
        <f>Settings!$B$2*C24/100</f>
        <v/>
      </c>
      <c r="W24">
        <f>IF(Settings!$B$17,IF(Settings!$B$9,FLOOR(V24,Settings!$B$5),V24),IF(Settings!$B$9,MROUND(V24,Settings!$B$5),V24))</f>
        <v/>
      </c>
      <c r="X24">
        <f>Settings!$B$2*E24/100</f>
        <v/>
      </c>
      <c r="Y24">
        <f>IF(Settings!$B$17,IF(Settings!$B$9,CEILING(X24,Settings!$B$5),X24),IF(Settings!$B$9,MROUND(X24,Settings!$B$5),X24))</f>
        <v/>
      </c>
      <c r="Z24">
        <f>Settings!$B$2*M24/100</f>
        <v/>
      </c>
      <c r="AA24">
        <f>IF(Settings!$B$17,MIN(Settings!$B$2*G24/100,IF(Settings!$B$9,CEILING(MAX(0,V24+Settings!$B$2*G24/100-X24-Settings!$B$2*J24/100),Settings!$B$5),MAX(0,V24+Settings!$B$2*G24/100-X24-Settings!$B$2*J24/100))),IF(Settings!$B$9,MROUND(Z24,Settings!$B$5),Z24))</f>
        <v/>
      </c>
      <c r="AB24">
        <f>IF(T24="ERROR: Rounding broke protection balance","ERROR",IF(AND(Settings!$B$17,ABS(AA24-Z24)&gt;1E-9),"FIXED",IF(ABS(S24)&lt;=Settings!$B$7,"SAFE","WARNING")))</f>
        <v/>
      </c>
      <c r="AC24">
        <f>IF(AB24="FIXED","Close adjusted by SAFE mode",IF(AB24="SAFE","Balance preserved",IF(AB24="WARNING","Near protection boundary","Protection broken")))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SELL must be &gt;= Small BUY",IF(AND(LEN(L25)&gt;0,L25&gt;G25),"ERROR: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V25">
        <f>Settings!$B$2*C25/100</f>
        <v/>
      </c>
      <c r="W25">
        <f>IF(Settings!$B$17,IF(Settings!$B$9,FLOOR(V25,Settings!$B$5),V25),IF(Settings!$B$9,MROUND(V25,Settings!$B$5),V25))</f>
        <v/>
      </c>
      <c r="X25">
        <f>Settings!$B$2*E25/100</f>
        <v/>
      </c>
      <c r="Y25">
        <f>IF(Settings!$B$17,IF(Settings!$B$9,CEILING(X25,Settings!$B$5),X25),IF(Settings!$B$9,MROUND(X25,Settings!$B$5),X25))</f>
        <v/>
      </c>
      <c r="Z25">
        <f>Settings!$B$2*M25/100</f>
        <v/>
      </c>
      <c r="AA25">
        <f>IF(Settings!$B$17,MIN(Settings!$B$2*G25/100,IF(Settings!$B$9,CEILING(MAX(0,V25+Settings!$B$2*G25/100-X25-Settings!$B$2*J25/100),Settings!$B$5),MAX(0,V25+Settings!$B$2*G25/100-X25-Settings!$B$2*J25/100))),IF(Settings!$B$9,MROUND(Z25,Settings!$B$5),Z25))</f>
        <v/>
      </c>
      <c r="AB25">
        <f>IF(T25="ERROR: Rounding broke protection balance","ERROR",IF(AND(Settings!$B$17,ABS(AA25-Z25)&gt;1E-9),"FIXED",IF(ABS(S25)&lt;=Settings!$B$7,"SAFE","WARNING")))</f>
        <v/>
      </c>
      <c r="AC25">
        <f>IF(AB25="FIXED","Close adjusted by SAFE mode",IF(AB25="SAFE","Balance preserved",IF(AB25="WARNING","Near protection boundary","Protection broken")))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SELL must be &gt;= Small BUY",IF(AND(LEN(L26)&gt;0,L26&gt;G26),"ERROR: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V26">
        <f>Settings!$B$2*C26/100</f>
        <v/>
      </c>
      <c r="W26">
        <f>IF(Settings!$B$17,IF(Settings!$B$9,FLOOR(V26,Settings!$B$5),V26),IF(Settings!$B$9,MROUND(V26,Settings!$B$5),V26))</f>
        <v/>
      </c>
      <c r="X26">
        <f>Settings!$B$2*E26/100</f>
        <v/>
      </c>
      <c r="Y26">
        <f>IF(Settings!$B$17,IF(Settings!$B$9,CEILING(X26,Settings!$B$5),X26),IF(Settings!$B$9,MROUND(X26,Settings!$B$5),X26))</f>
        <v/>
      </c>
      <c r="Z26">
        <f>Settings!$B$2*M26/100</f>
        <v/>
      </c>
      <c r="AA26">
        <f>IF(Settings!$B$17,MIN(Settings!$B$2*G26/100,IF(Settings!$B$9,CEILING(MAX(0,V26+Settings!$B$2*G26/100-X26-Settings!$B$2*J26/100),Settings!$B$5),MAX(0,V26+Settings!$B$2*G26/100-X26-Settings!$B$2*J26/100))),IF(Settings!$B$9,MROUND(Z26,Settings!$B$5),Z26))</f>
        <v/>
      </c>
      <c r="AB26">
        <f>IF(T26="ERROR: Rounding broke protection balance","ERROR",IF(AND(Settings!$B$17,ABS(AA26-Z26)&gt;1E-9),"FIXED",IF(ABS(S26)&lt;=Settings!$B$7,"SAFE","WARNING")))</f>
        <v/>
      </c>
      <c r="AC26">
        <f>IF(AB26="FIXED","Close adjusted by SAFE mode",IF(AB26="SAFE","Balance preserved",IF(AB26="WARNING","Near protection boundary","Protection broken")))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SELL must be &gt;= Small BUY",IF(AND(LEN(L27)&gt;0,L27&gt;G27),"ERROR: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V27">
        <f>Settings!$B$2*C27/100</f>
        <v/>
      </c>
      <c r="W27">
        <f>IF(Settings!$B$17,IF(Settings!$B$9,FLOOR(V27,Settings!$B$5),V27),IF(Settings!$B$9,MROUND(V27,Settings!$B$5),V27))</f>
        <v/>
      </c>
      <c r="X27">
        <f>Settings!$B$2*E27/100</f>
        <v/>
      </c>
      <c r="Y27">
        <f>IF(Settings!$B$17,IF(Settings!$B$9,CEILING(X27,Settings!$B$5),X27),IF(Settings!$B$9,MROUND(X27,Settings!$B$5),X27))</f>
        <v/>
      </c>
      <c r="Z27">
        <f>Settings!$B$2*M27/100</f>
        <v/>
      </c>
      <c r="AA27">
        <f>IF(Settings!$B$17,MIN(Settings!$B$2*G27/100,IF(Settings!$B$9,CEILING(MAX(0,V27+Settings!$B$2*G27/100-X27-Settings!$B$2*J27/100),Settings!$B$5),MAX(0,V27+Settings!$B$2*G27/100-X27-Settings!$B$2*J27/100))),IF(Settings!$B$9,MROUND(Z27,Settings!$B$5),Z27))</f>
        <v/>
      </c>
      <c r="AB27">
        <f>IF(T27="ERROR: Rounding broke protection balance","ERROR",IF(AND(Settings!$B$17,ABS(AA27-Z27)&gt;1E-9),"FIXED",IF(ABS(S27)&lt;=Settings!$B$7,"SAFE","WARNING")))</f>
        <v/>
      </c>
      <c r="AC27">
        <f>IF(AB27="FIXED","Close adjusted by SAFE mode",IF(AB27="SAFE","Balance preserved",IF(AB27="WARNING","Near protection boundary","Protection broken")))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SELL must be &gt;= Small BUY",IF(AND(LEN(L28)&gt;0,L28&gt;G28),"ERROR: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V28">
        <f>Settings!$B$2*C28/100</f>
        <v/>
      </c>
      <c r="W28">
        <f>IF(Settings!$B$17,IF(Settings!$B$9,FLOOR(V28,Settings!$B$5),V28),IF(Settings!$B$9,MROUND(V28,Settings!$B$5),V28))</f>
        <v/>
      </c>
      <c r="X28">
        <f>Settings!$B$2*E28/100</f>
        <v/>
      </c>
      <c r="Y28">
        <f>IF(Settings!$B$17,IF(Settings!$B$9,CEILING(X28,Settings!$B$5),X28),IF(Settings!$B$9,MROUND(X28,Settings!$B$5),X28))</f>
        <v/>
      </c>
      <c r="Z28">
        <f>Settings!$B$2*M28/100</f>
        <v/>
      </c>
      <c r="AA28">
        <f>IF(Settings!$B$17,MIN(Settings!$B$2*G28/100,IF(Settings!$B$9,CEILING(MAX(0,V28+Settings!$B$2*G28/100-X28-Settings!$B$2*J28/100),Settings!$B$5),MAX(0,V28+Settings!$B$2*G28/100-X28-Settings!$B$2*J28/100))),IF(Settings!$B$9,MROUND(Z28,Settings!$B$5),Z28))</f>
        <v/>
      </c>
      <c r="AB28">
        <f>IF(T28="ERROR: Rounding broke protection balance","ERROR",IF(AND(Settings!$B$17,ABS(AA28-Z28)&gt;1E-9),"FIXED",IF(ABS(S28)&lt;=Settings!$B$7,"SAFE","WARNING")))</f>
        <v/>
      </c>
      <c r="AC28">
        <f>IF(AB28="FIXED","Close adjusted by SAFE mode",IF(AB28="SAFE","Balance preserved",IF(AB28="WARNING","Near protection boundary","Protection broken")))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SELL must be &gt;= Small BUY",IF(AND(LEN(L29)&gt;0,L29&gt;G29),"ERROR: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V29">
        <f>Settings!$B$2*C29/100</f>
        <v/>
      </c>
      <c r="W29">
        <f>IF(Settings!$B$17,IF(Settings!$B$9,FLOOR(V29,Settings!$B$5),V29),IF(Settings!$B$9,MROUND(V29,Settings!$B$5),V29))</f>
        <v/>
      </c>
      <c r="X29">
        <f>Settings!$B$2*E29/100</f>
        <v/>
      </c>
      <c r="Y29">
        <f>IF(Settings!$B$17,IF(Settings!$B$9,CEILING(X29,Settings!$B$5),X29),IF(Settings!$B$9,MROUND(X29,Settings!$B$5),X29))</f>
        <v/>
      </c>
      <c r="Z29">
        <f>Settings!$B$2*M29/100</f>
        <v/>
      </c>
      <c r="AA29">
        <f>IF(Settings!$B$17,MIN(Settings!$B$2*G29/100,IF(Settings!$B$9,CEILING(MAX(0,V29+Settings!$B$2*G29/100-X29-Settings!$B$2*J29/100),Settings!$B$5),MAX(0,V29+Settings!$B$2*G29/100-X29-Settings!$B$2*J29/100))),IF(Settings!$B$9,MROUND(Z29,Settings!$B$5),Z29))</f>
        <v/>
      </c>
      <c r="AB29">
        <f>IF(T29="ERROR: Rounding broke protection balance","ERROR",IF(AND(Settings!$B$17,ABS(AA29-Z29)&gt;1E-9),"FIXED",IF(ABS(S29)&lt;=Settings!$B$7,"SAFE","WARNING")))</f>
        <v/>
      </c>
      <c r="AC29">
        <f>IF(AB29="FIXED","Close adjusted by SAFE mode",IF(AB29="SAFE","Balance preserved",IF(AB29="WARNING","Near protection boundary","Protection broken")))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SELL must be &gt;= Small BUY",IF(AND(LEN(L30)&gt;0,L30&gt;G30),"ERROR: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V30">
        <f>Settings!$B$2*C30/100</f>
        <v/>
      </c>
      <c r="W30">
        <f>IF(Settings!$B$17,IF(Settings!$B$9,FLOOR(V30,Settings!$B$5),V30),IF(Settings!$B$9,MROUND(V30,Settings!$B$5),V30))</f>
        <v/>
      </c>
      <c r="X30">
        <f>Settings!$B$2*E30/100</f>
        <v/>
      </c>
      <c r="Y30">
        <f>IF(Settings!$B$17,IF(Settings!$B$9,CEILING(X30,Settings!$B$5),X30),IF(Settings!$B$9,MROUND(X30,Settings!$B$5),X30))</f>
        <v/>
      </c>
      <c r="Z30">
        <f>Settings!$B$2*M30/100</f>
        <v/>
      </c>
      <c r="AA30">
        <f>IF(Settings!$B$17,MIN(Settings!$B$2*G30/100,IF(Settings!$B$9,CEILING(MAX(0,V30+Settings!$B$2*G30/100-X30-Settings!$B$2*J30/100),Settings!$B$5),MAX(0,V30+Settings!$B$2*G30/100-X30-Settings!$B$2*J30/100))),IF(Settings!$B$9,MROUND(Z30,Settings!$B$5),Z30))</f>
        <v/>
      </c>
      <c r="AB30">
        <f>IF(T30="ERROR: Rounding broke protection balance","ERROR",IF(AND(Settings!$B$17,ABS(AA30-Z30)&gt;1E-9),"FIXED",IF(ABS(S30)&lt;=Settings!$B$7,"SAFE","WARNING")))</f>
        <v/>
      </c>
      <c r="AC30">
        <f>IF(AB30="FIXED","Close adjusted by SAFE mode",IF(AB30="SAFE","Balance preserved",IF(AB30="WARNING","Near protection boundary","Protection broken")))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SELL must be &gt;= Small BUY",IF(AND(LEN(L31)&gt;0,L31&gt;G31),"ERROR: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V31">
        <f>Settings!$B$2*C31/100</f>
        <v/>
      </c>
      <c r="W31">
        <f>IF(Settings!$B$17,IF(Settings!$B$9,FLOOR(V31,Settings!$B$5),V31),IF(Settings!$B$9,MROUND(V31,Settings!$B$5),V31))</f>
        <v/>
      </c>
      <c r="X31">
        <f>Settings!$B$2*E31/100</f>
        <v/>
      </c>
      <c r="Y31">
        <f>IF(Settings!$B$17,IF(Settings!$B$9,CEILING(X31,Settings!$B$5),X31),IF(Settings!$B$9,MROUND(X31,Settings!$B$5),X31))</f>
        <v/>
      </c>
      <c r="Z31">
        <f>Settings!$B$2*M31/100</f>
        <v/>
      </c>
      <c r="AA31">
        <f>IF(Settings!$B$17,MIN(Settings!$B$2*G31/100,IF(Settings!$B$9,CEILING(MAX(0,V31+Settings!$B$2*G31/100-X31-Settings!$B$2*J31/100),Settings!$B$5),MAX(0,V31+Settings!$B$2*G31/100-X31-Settings!$B$2*J31/100))),IF(Settings!$B$9,MROUND(Z31,Settings!$B$5),Z31))</f>
        <v/>
      </c>
      <c r="AB31">
        <f>IF(T31="ERROR: Rounding broke protection balance","ERROR",IF(AND(Settings!$B$17,ABS(AA31-Z31)&gt;1E-9),"FIXED",IF(ABS(S31)&lt;=Settings!$B$7,"SAFE","WARNING")))</f>
        <v/>
      </c>
      <c r="AC31">
        <f>IF(AB31="FIXED","Close adjusted by SAFE mode",IF(AB31="SAFE","Balance preserved",IF(AB31="WARNING","Near protection boundary","Protection broken")))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SELL must be &gt;= Small BUY",IF(AND(LEN(L32)&gt;0,L32&gt;G32),"ERROR: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V32">
        <f>Settings!$B$2*C32/100</f>
        <v/>
      </c>
      <c r="W32">
        <f>IF(Settings!$B$17,IF(Settings!$B$9,FLOOR(V32,Settings!$B$5),V32),IF(Settings!$B$9,MROUND(V32,Settings!$B$5),V32))</f>
        <v/>
      </c>
      <c r="X32">
        <f>Settings!$B$2*E32/100</f>
        <v/>
      </c>
      <c r="Y32">
        <f>IF(Settings!$B$17,IF(Settings!$B$9,CEILING(X32,Settings!$B$5),X32),IF(Settings!$B$9,MROUND(X32,Settings!$B$5),X32))</f>
        <v/>
      </c>
      <c r="Z32">
        <f>Settings!$B$2*M32/100</f>
        <v/>
      </c>
      <c r="AA32">
        <f>IF(Settings!$B$17,MIN(Settings!$B$2*G32/100,IF(Settings!$B$9,CEILING(MAX(0,V32+Settings!$B$2*G32/100-X32-Settings!$B$2*J32/100),Settings!$B$5),MAX(0,V32+Settings!$B$2*G32/100-X32-Settings!$B$2*J32/100))),IF(Settings!$B$9,MROUND(Z32,Settings!$B$5),Z32))</f>
        <v/>
      </c>
      <c r="AB32">
        <f>IF(T32="ERROR: Rounding broke protection balance","ERROR",IF(AND(Settings!$B$17,ABS(AA32-Z32)&gt;1E-9),"FIXED",IF(ABS(S32)&lt;=Settings!$B$7,"SAFE","WARNING")))</f>
        <v/>
      </c>
      <c r="AC32">
        <f>IF(AB32="FIXED","Close adjusted by SAFE mode",IF(AB32="SAFE","Balance preserved",IF(AB32="WARNING","Near protection boundary","Protection broken")))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SELL must be &gt;= Small BUY",IF(AND(LEN(L33)&gt;0,L33&gt;G33),"ERROR: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V33">
        <f>Settings!$B$2*C33/100</f>
        <v/>
      </c>
      <c r="W33">
        <f>IF(Settings!$B$17,IF(Settings!$B$9,FLOOR(V33,Settings!$B$5),V33),IF(Settings!$B$9,MROUND(V33,Settings!$B$5),V33))</f>
        <v/>
      </c>
      <c r="X33">
        <f>Settings!$B$2*E33/100</f>
        <v/>
      </c>
      <c r="Y33">
        <f>IF(Settings!$B$17,IF(Settings!$B$9,CEILING(X33,Settings!$B$5),X33),IF(Settings!$B$9,MROUND(X33,Settings!$B$5),X33))</f>
        <v/>
      </c>
      <c r="Z33">
        <f>Settings!$B$2*M33/100</f>
        <v/>
      </c>
      <c r="AA33">
        <f>IF(Settings!$B$17,MIN(Settings!$B$2*G33/100,IF(Settings!$B$9,CEILING(MAX(0,V33+Settings!$B$2*G33/100-X33-Settings!$B$2*J33/100),Settings!$B$5),MAX(0,V33+Settings!$B$2*G33/100-X33-Settings!$B$2*J33/100))),IF(Settings!$B$9,MROUND(Z33,Settings!$B$5),Z33))</f>
        <v/>
      </c>
      <c r="AB33">
        <f>IF(T33="ERROR: Rounding broke protection balance","ERROR",IF(AND(Settings!$B$17,ABS(AA33-Z33)&gt;1E-9),"FIXED",IF(ABS(S33)&lt;=Settings!$B$7,"SAFE","WARNING")))</f>
        <v/>
      </c>
      <c r="AC33">
        <f>IF(AB33="FIXED","Close adjusted by SAFE mode",IF(AB33="SAFE","Balance preserved",IF(AB33="WARNING","Near protection boundary","Protection broken")))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SELL must be &gt;= Small BUY",IF(AND(LEN(L34)&gt;0,L34&gt;G34),"ERROR: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V34">
        <f>Settings!$B$2*C34/100</f>
        <v/>
      </c>
      <c r="W34">
        <f>IF(Settings!$B$17,IF(Settings!$B$9,FLOOR(V34,Settings!$B$5),V34),IF(Settings!$B$9,MROUND(V34,Settings!$B$5),V34))</f>
        <v/>
      </c>
      <c r="X34">
        <f>Settings!$B$2*E34/100</f>
        <v/>
      </c>
      <c r="Y34">
        <f>IF(Settings!$B$17,IF(Settings!$B$9,CEILING(X34,Settings!$B$5),X34),IF(Settings!$B$9,MROUND(X34,Settings!$B$5),X34))</f>
        <v/>
      </c>
      <c r="Z34">
        <f>Settings!$B$2*M34/100</f>
        <v/>
      </c>
      <c r="AA34">
        <f>IF(Settings!$B$17,MIN(Settings!$B$2*G34/100,IF(Settings!$B$9,CEILING(MAX(0,V34+Settings!$B$2*G34/100-X34-Settings!$B$2*J34/100),Settings!$B$5),MAX(0,V34+Settings!$B$2*G34/100-X34-Settings!$B$2*J34/100))),IF(Settings!$B$9,MROUND(Z34,Settings!$B$5),Z34))</f>
        <v/>
      </c>
      <c r="AB34">
        <f>IF(T34="ERROR: Rounding broke protection balance","ERROR",IF(AND(Settings!$B$17,ABS(AA34-Z34)&gt;1E-9),"FIXED",IF(ABS(S34)&lt;=Settings!$B$7,"SAFE","WARNING")))</f>
        <v/>
      </c>
      <c r="AC34">
        <f>IF(AB34="FIXED","Close adjusted by SAFE mode",IF(AB34="SAFE","Balance preserved",IF(AB34="WARNING","Near protection boundary","Protection broken")))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SELL must be &gt;= Small BUY",IF(AND(LEN(L35)&gt;0,L35&gt;G35),"ERROR: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V35">
        <f>Settings!$B$2*C35/100</f>
        <v/>
      </c>
      <c r="W35">
        <f>IF(Settings!$B$17,IF(Settings!$B$9,FLOOR(V35,Settings!$B$5),V35),IF(Settings!$B$9,MROUND(V35,Settings!$B$5),V35))</f>
        <v/>
      </c>
      <c r="X35">
        <f>Settings!$B$2*E35/100</f>
        <v/>
      </c>
      <c r="Y35">
        <f>IF(Settings!$B$17,IF(Settings!$B$9,CEILING(X35,Settings!$B$5),X35),IF(Settings!$B$9,MROUND(X35,Settings!$B$5),X35))</f>
        <v/>
      </c>
      <c r="Z35">
        <f>Settings!$B$2*M35/100</f>
        <v/>
      </c>
      <c r="AA35">
        <f>IF(Settings!$B$17,MIN(Settings!$B$2*G35/100,IF(Settings!$B$9,CEILING(MAX(0,V35+Settings!$B$2*G35/100-X35-Settings!$B$2*J35/100),Settings!$B$5),MAX(0,V35+Settings!$B$2*G35/100-X35-Settings!$B$2*J35/100))),IF(Settings!$B$9,MROUND(Z35,Settings!$B$5),Z35))</f>
        <v/>
      </c>
      <c r="AB35">
        <f>IF(T35="ERROR: Rounding broke protection balance","ERROR",IF(AND(Settings!$B$17,ABS(AA35-Z35)&gt;1E-9),"FIXED",IF(ABS(S35)&lt;=Settings!$B$7,"SAFE","WARNING")))</f>
        <v/>
      </c>
      <c r="AC35">
        <f>IF(AB35="FIXED","Close adjusted by SAFE mode",IF(AB35="SAFE","Balance preserved",IF(AB35="WARNING","Near protection boundary","Protection broken")))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SELL must be &gt;= Small BUY",IF(AND(LEN(L36)&gt;0,L36&gt;G36),"ERROR: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V36">
        <f>Settings!$B$2*C36/100</f>
        <v/>
      </c>
      <c r="W36">
        <f>IF(Settings!$B$17,IF(Settings!$B$9,FLOOR(V36,Settings!$B$5),V36),IF(Settings!$B$9,MROUND(V36,Settings!$B$5),V36))</f>
        <v/>
      </c>
      <c r="X36">
        <f>Settings!$B$2*E36/100</f>
        <v/>
      </c>
      <c r="Y36">
        <f>IF(Settings!$B$17,IF(Settings!$B$9,CEILING(X36,Settings!$B$5),X36),IF(Settings!$B$9,MROUND(X36,Settings!$B$5),X36))</f>
        <v/>
      </c>
      <c r="Z36">
        <f>Settings!$B$2*M36/100</f>
        <v/>
      </c>
      <c r="AA36">
        <f>IF(Settings!$B$17,MIN(Settings!$B$2*G36/100,IF(Settings!$B$9,CEILING(MAX(0,V36+Settings!$B$2*G36/100-X36-Settings!$B$2*J36/100),Settings!$B$5),MAX(0,V36+Settings!$B$2*G36/100-X36-Settings!$B$2*J36/100))),IF(Settings!$B$9,MROUND(Z36,Settings!$B$5),Z36))</f>
        <v/>
      </c>
      <c r="AB36">
        <f>IF(T36="ERROR: Rounding broke protection balance","ERROR",IF(AND(Settings!$B$17,ABS(AA36-Z36)&gt;1E-9),"FIXED",IF(ABS(S36)&lt;=Settings!$B$7,"SAFE","WARNING")))</f>
        <v/>
      </c>
      <c r="AC36">
        <f>IF(AB36="FIXED","Close adjusted by SAFE mode",IF(AB36="SAFE","Balance preserved",IF(AB36="WARNING","Near protection boundary","Protection broken")))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SELL must be &gt;= Small BUY",IF(AND(LEN(L37)&gt;0,L37&gt;G37),"ERROR: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V37">
        <f>Settings!$B$2*C37/100</f>
        <v/>
      </c>
      <c r="W37">
        <f>IF(Settings!$B$17,IF(Settings!$B$9,FLOOR(V37,Settings!$B$5),V37),IF(Settings!$B$9,MROUND(V37,Settings!$B$5),V37))</f>
        <v/>
      </c>
      <c r="X37">
        <f>Settings!$B$2*E37/100</f>
        <v/>
      </c>
      <c r="Y37">
        <f>IF(Settings!$B$17,IF(Settings!$B$9,CEILING(X37,Settings!$B$5),X37),IF(Settings!$B$9,MROUND(X37,Settings!$B$5),X37))</f>
        <v/>
      </c>
      <c r="Z37">
        <f>Settings!$B$2*M37/100</f>
        <v/>
      </c>
      <c r="AA37">
        <f>IF(Settings!$B$17,MIN(Settings!$B$2*G37/100,IF(Settings!$B$9,CEILING(MAX(0,V37+Settings!$B$2*G37/100-X37-Settings!$B$2*J37/100),Settings!$B$5),MAX(0,V37+Settings!$B$2*G37/100-X37-Settings!$B$2*J37/100))),IF(Settings!$B$9,MROUND(Z37,Settings!$B$5),Z37))</f>
        <v/>
      </c>
      <c r="AB37">
        <f>IF(T37="ERROR: Rounding broke protection balance","ERROR",IF(AND(Settings!$B$17,ABS(AA37-Z37)&gt;1E-9),"FIXED",IF(ABS(S37)&lt;=Settings!$B$7,"SAFE","WARNING")))</f>
        <v/>
      </c>
      <c r="AC37">
        <f>IF(AB37="FIXED","Close adjusted by SAFE mode",IF(AB37="SAFE","Balance preserved",IF(AB37="WARNING","Near protection boundary","Protection broken")))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SELL must be &gt;= Small BUY",IF(AND(LEN(L38)&gt;0,L38&gt;G38),"ERROR: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V38">
        <f>Settings!$B$2*C38/100</f>
        <v/>
      </c>
      <c r="W38">
        <f>IF(Settings!$B$17,IF(Settings!$B$9,FLOOR(V38,Settings!$B$5),V38),IF(Settings!$B$9,MROUND(V38,Settings!$B$5),V38))</f>
        <v/>
      </c>
      <c r="X38">
        <f>Settings!$B$2*E38/100</f>
        <v/>
      </c>
      <c r="Y38">
        <f>IF(Settings!$B$17,IF(Settings!$B$9,CEILING(X38,Settings!$B$5),X38),IF(Settings!$B$9,MROUND(X38,Settings!$B$5),X38))</f>
        <v/>
      </c>
      <c r="Z38">
        <f>Settings!$B$2*M38/100</f>
        <v/>
      </c>
      <c r="AA38">
        <f>IF(Settings!$B$17,MIN(Settings!$B$2*G38/100,IF(Settings!$B$9,CEILING(MAX(0,V38+Settings!$B$2*G38/100-X38-Settings!$B$2*J38/100),Settings!$B$5),MAX(0,V38+Settings!$B$2*G38/100-X38-Settings!$B$2*J38/100))),IF(Settings!$B$9,MROUND(Z38,Settings!$B$5),Z38))</f>
        <v/>
      </c>
      <c r="AB38">
        <f>IF(T38="ERROR: Rounding broke protection balance","ERROR",IF(AND(Settings!$B$17,ABS(AA38-Z38)&gt;1E-9),"FIXED",IF(ABS(S38)&lt;=Settings!$B$7,"SAFE","WARNING")))</f>
        <v/>
      </c>
      <c r="AC38">
        <f>IF(AB38="FIXED","Close adjusted by SAFE mode",IF(AB38="SAFE","Balance preserved",IF(AB38="WARNING","Near protection boundary","Protection broken")))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SELL must be &gt;= Small BUY",IF(AND(LEN(L39)&gt;0,L39&gt;G39),"ERROR: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V39">
        <f>Settings!$B$2*C39/100</f>
        <v/>
      </c>
      <c r="W39">
        <f>IF(Settings!$B$17,IF(Settings!$B$9,FLOOR(V39,Settings!$B$5),V39),IF(Settings!$B$9,MROUND(V39,Settings!$B$5),V39))</f>
        <v/>
      </c>
      <c r="X39">
        <f>Settings!$B$2*E39/100</f>
        <v/>
      </c>
      <c r="Y39">
        <f>IF(Settings!$B$17,IF(Settings!$B$9,CEILING(X39,Settings!$B$5),X39),IF(Settings!$B$9,MROUND(X39,Settings!$B$5),X39))</f>
        <v/>
      </c>
      <c r="Z39">
        <f>Settings!$B$2*M39/100</f>
        <v/>
      </c>
      <c r="AA39">
        <f>IF(Settings!$B$17,MIN(Settings!$B$2*G39/100,IF(Settings!$B$9,CEILING(MAX(0,V39+Settings!$B$2*G39/100-X39-Settings!$B$2*J39/100),Settings!$B$5),MAX(0,V39+Settings!$B$2*G39/100-X39-Settings!$B$2*J39/100))),IF(Settings!$B$9,MROUND(Z39,Settings!$B$5),Z39))</f>
        <v/>
      </c>
      <c r="AB39">
        <f>IF(T39="ERROR: Rounding broke protection balance","ERROR",IF(AND(Settings!$B$17,ABS(AA39-Z39)&gt;1E-9),"FIXED",IF(ABS(S39)&lt;=Settings!$B$7,"SAFE","WARNING")))</f>
        <v/>
      </c>
      <c r="AC39">
        <f>IF(AB39="FIXED","Close adjusted by SAFE mode",IF(AB39="SAFE","Balance preserved",IF(AB39="WARNING","Near protection boundary","Protection broken")))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SELL must be &gt;= Small BUY",IF(AND(LEN(L40)&gt;0,L40&gt;G40),"ERROR: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V40">
        <f>Settings!$B$2*C40/100</f>
        <v/>
      </c>
      <c r="W40">
        <f>IF(Settings!$B$17,IF(Settings!$B$9,FLOOR(V40,Settings!$B$5),V40),IF(Settings!$B$9,MROUND(V40,Settings!$B$5),V40))</f>
        <v/>
      </c>
      <c r="X40">
        <f>Settings!$B$2*E40/100</f>
        <v/>
      </c>
      <c r="Y40">
        <f>IF(Settings!$B$17,IF(Settings!$B$9,CEILING(X40,Settings!$B$5),X40),IF(Settings!$B$9,MROUND(X40,Settings!$B$5),X40))</f>
        <v/>
      </c>
      <c r="Z40">
        <f>Settings!$B$2*M40/100</f>
        <v/>
      </c>
      <c r="AA40">
        <f>IF(Settings!$B$17,MIN(Settings!$B$2*G40/100,IF(Settings!$B$9,CEILING(MAX(0,V40+Settings!$B$2*G40/100-X40-Settings!$B$2*J40/100),Settings!$B$5),MAX(0,V40+Settings!$B$2*G40/100-X40-Settings!$B$2*J40/100))),IF(Settings!$B$9,MROUND(Z40,Settings!$B$5),Z40))</f>
        <v/>
      </c>
      <c r="AB40">
        <f>IF(T40="ERROR: Rounding broke protection balance","ERROR",IF(AND(Settings!$B$17,ABS(AA40-Z40)&gt;1E-9),"FIXED",IF(ABS(S40)&lt;=Settings!$B$7,"SAFE","WARNING")))</f>
        <v/>
      </c>
      <c r="AC40">
        <f>IF(AB40="FIXED","Close adjusted by SAFE mode",IF(AB40="SAFE","Balance preserved",IF(AB40="WARNING","Near protection boundary","Protection broken")))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SELL must be &gt;= Small BUY",IF(AND(LEN(L41)&gt;0,L41&gt;G41),"ERROR: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V41">
        <f>Settings!$B$2*C41/100</f>
        <v/>
      </c>
      <c r="W41">
        <f>IF(Settings!$B$17,IF(Settings!$B$9,FLOOR(V41,Settings!$B$5),V41),IF(Settings!$B$9,MROUND(V41,Settings!$B$5),V41))</f>
        <v/>
      </c>
      <c r="X41">
        <f>Settings!$B$2*E41/100</f>
        <v/>
      </c>
      <c r="Y41">
        <f>IF(Settings!$B$17,IF(Settings!$B$9,CEILING(X41,Settings!$B$5),X41),IF(Settings!$B$9,MROUND(X41,Settings!$B$5),X41))</f>
        <v/>
      </c>
      <c r="Z41">
        <f>Settings!$B$2*M41/100</f>
        <v/>
      </c>
      <c r="AA41">
        <f>IF(Settings!$B$17,MIN(Settings!$B$2*G41/100,IF(Settings!$B$9,CEILING(MAX(0,V41+Settings!$B$2*G41/100-X41-Settings!$B$2*J41/100),Settings!$B$5),MAX(0,V41+Settings!$B$2*G41/100-X41-Settings!$B$2*J41/100))),IF(Settings!$B$9,MROUND(Z41,Settings!$B$5),Z41))</f>
        <v/>
      </c>
      <c r="AB41">
        <f>IF(T41="ERROR: Rounding broke protection balance","ERROR",IF(AND(Settings!$B$17,ABS(AA41-Z41)&gt;1E-9),"FIXED",IF(ABS(S41)&lt;=Settings!$B$7,"SAFE","WARNING")))</f>
        <v/>
      </c>
      <c r="AC41">
        <f>IF(AB41="FIXED","Close adjusted by SAFE mode",IF(AB41="SAFE","Balance preserved",IF(AB41="WARNING","Near protection boundary","Protection broken")))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StartLot</t>
        </is>
      </c>
      <c r="B2">
        <f>Settings!B2</f>
        <v/>
      </c>
    </row>
    <row r="3">
      <c r="A3" t="inlineStr">
        <is>
          <t>Direction</t>
        </is>
      </c>
      <c r="B3">
        <f>Settings!B10</f>
        <v/>
      </c>
    </row>
    <row r="4">
      <c r="A4" t="inlineStr">
        <is>
          <t>MaxLevels</t>
        </is>
      </c>
      <c r="B4">
        <f>Settings!B4</f>
        <v/>
      </c>
    </row>
    <row r="5">
      <c r="A5" t="inlineStr">
        <is>
          <t>Final Total BUY %</t>
        </is>
      </c>
      <c r="B5">
        <f>IF(Settings!B10="DOWN",INDEX(DownTrend!Q:Q,Settings!B4+3),INDEX(UpTrend!R:R,Settings!B4+3))</f>
        <v/>
      </c>
    </row>
    <row r="6">
      <c r="A6" t="inlineStr">
        <is>
          <t>Final Total SELL %</t>
        </is>
      </c>
      <c r="B6">
        <f>IF(Settings!B10="DOWN",INDEX(DownTrend!R:R,Settings!B4+3),INDEX(UpTrend!Q:Q,Settings!B4+3))</f>
        <v/>
      </c>
    </row>
    <row r="7">
      <c r="A7" t="inlineStr">
        <is>
          <t>Final Skew %</t>
        </is>
      </c>
      <c r="B7">
        <f>ABS(B5-B4)</f>
        <v/>
      </c>
    </row>
    <row r="8">
      <c r="A8" t="inlineStr">
        <is>
          <t>Final Start Remaining %</t>
        </is>
      </c>
      <c r="B8">
        <f>IF(Settings!B10="DOWN",INDEX(DownTrend!N:N,Settings!B4+3),INDEX(UpTrend!N:N,Settings!B4+3))</f>
        <v/>
      </c>
    </row>
    <row r="9">
      <c r="A9" t="inlineStr">
        <is>
          <t>Final Status</t>
        </is>
      </c>
      <c r="B9">
        <f>IF(Settings!B10="DOWN",INDEX(DownTrend!T:T,Settings!B4+3),INDEX(UpTrend!T:T,Settings!B4+3))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</t>
        </is>
      </c>
      <c r="B1" s="1" t="inlineStr">
        <is>
          <t>Result</t>
        </is>
      </c>
    </row>
    <row r="2">
      <c r="A2" t="inlineStr">
        <is>
          <t>Invalid StartLot</t>
        </is>
      </c>
      <c r="B2">
        <f>IF(OR(NOT(ISNUMBER(Settings!B2)),Settings!B2&lt;=0),"ERROR","OK")</f>
        <v/>
      </c>
    </row>
    <row r="3">
      <c r="A3" t="inlineStr">
        <is>
          <t>Invalid LotStep</t>
        </is>
      </c>
      <c r="B3">
        <f>IF(OR(NOT(ISNUMBER(Settings!B5)),Settings!B5&lt;=0),"ERROR","OK")</f>
        <v/>
      </c>
    </row>
    <row r="4">
      <c r="A4" t="inlineStr">
        <is>
          <t>Invalid Direction</t>
        </is>
      </c>
      <c r="B4">
        <f>IF(AND(Settings!B10&lt;&gt;"DOWN",Settings!B10&lt;&gt;"UP"),"ERROR","OK")</f>
        <v/>
      </c>
    </row>
    <row r="5">
      <c r="A5" t="inlineStr">
        <is>
          <t>Big&gt;=Small Down/Up</t>
        </is>
      </c>
      <c r="B5">
        <f>IF(SUMPRODUCT(--(DownTrend!C3:C41&lt;DownTrend!E3:E41))+SUMPRODUCT(--(UpTrend!C3:C41&lt;UpTrend!E3:E41))&gt;0,"ERROR","OK")</f>
        <v/>
      </c>
    </row>
    <row r="6">
      <c r="A6" t="inlineStr">
        <is>
          <t>TotalBUY&lt;=TotalSELL Down</t>
        </is>
      </c>
      <c r="B6">
        <f>IF(SUMPRODUCT(--(DownTrend!Q3:Q41&gt;DownTrend!R3:R41))&gt;0,"ERROR","OK")</f>
        <v/>
      </c>
    </row>
    <row r="7">
      <c r="A7" t="inlineStr">
        <is>
          <t>TotalSELL&lt;=TotalBUY Up</t>
        </is>
      </c>
      <c r="B7">
        <f>IF(SUMPRODUCT(--(UpTrend!Q3:Q41&gt;UpTrend!R3:R41))&gt;0,"ERROR","OK")</f>
        <v/>
      </c>
    </row>
    <row r="8">
      <c r="A8" t="inlineStr">
        <is>
          <t>SAFE rounding preserved</t>
        </is>
      </c>
      <c r="B8">
        <f>IF(OR(COUNTIF(DownTrend!AB3:AB41,"ERROR")&gt;0,COUNTIF(UpTrend!AB3:AB41,"ERROR")&gt;0),"ERROR","OK")</f>
        <v/>
      </c>
    </row>
    <row r="9">
      <c r="A9" t="inlineStr">
        <is>
          <t>Negative values</t>
        </is>
      </c>
      <c r="B9">
        <f>IF(OR(MIN(DownTrend!N3:N41)&lt;0,MIN(UpTrend!N3:N41)&lt;0,MIN(DownTrend!Q3:R41)&lt;0,MIN(UpTrend!Q3:R41)&lt;0),"ERROR","OK")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v2: Risk-Safe Rounding + Full Input Validation enabled.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2026-05-15T20:54:03Z</dcterms:created>
  <dcterms:modified xsi:type="dcterms:W3CDTF">2026-05-15T20:54:03Z</dcterms:modified>
</cp:coreProperties>
</file>