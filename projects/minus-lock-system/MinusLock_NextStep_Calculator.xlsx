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  <sheet name="09_USER_GUIDE" sheetId="9" state="visible" r:id="rId9"/>
    <sheet name="10_PRECHECK" sheetId="10" state="visible" r:id="rId10"/>
    <sheet name="11_DECISION_LOG" sheetId="11" state="visible" r:id="rId11"/>
    <sheet name="12_ACTION_LOG" sheetId="12" state="visible" r:id="rId12"/>
    <sheet name="13_ANALYTICS" sheetId="13" state="visible" r:id="rId13"/>
    <sheet name="14_OPTIMIZER_INPUT" sheetId="14" state="visible" r:id="rId14"/>
    <sheet name="15_OPTIMIZER_TABLE" sheetId="15" state="visible" r:id="rId15"/>
    <sheet name="16_OPTIMIZER_RESULT" sheetId="16" state="visible" r:id="rId16"/>
    <sheet name="17_OPTIMIZER_REPORT" sheetId="17" state="visible" r:id="rId17"/>
    <sheet name="18_STRESS_INPUT" sheetId="18" state="visible" r:id="rId18"/>
    <sheet name="19_STRESS_PATH" sheetId="19" state="visible" r:id="rId19"/>
    <sheet name="20_STRESS_SIMULATION" sheetId="20" state="visible" r:id="rId20"/>
    <sheet name="21_STRESS_REPORT" sheetId="21" state="visible" r:id="rId21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  <definedName name="ValidationStatus">'01_INPUT'!$E$12</definedName>
    <definedName name="UserBaseLot">'01_INPUT'!$B$17</definedName>
    <definedName name="UserK">'01_INPUT'!$B$18</definedName>
    <definedName name="UserStep">'01_INPUT'!$B$19</definedName>
    <definedName name="UseRecommendedParams">'01_INPUT'!$B$40</definedName>
    <definedName name="RecommendedBaseLot">'16_OPTIMIZER_RESULT'!$B$7</definedName>
    <definedName name="RecommendedK">'16_OPTIMIZER_RESULT'!$B$5</definedName>
    <definedName name="RecommendedStep">'16_OPTIMIZER_RESULT'!$B$6</definedName>
    <definedName name="EffectiveBaseLot">'01_INPUT'!$D$17</definedName>
    <definedName name="EffectiveK">'01_INPUT'!$D$18</definedName>
    <definedName name="EffectiveStep">'01_INPUT'!$D$19</definedName>
    <definedName name="BaseLot">'01_INPUT'!$D$17</definedName>
    <definedName name="K">'01_INPUT'!$D$18</definedName>
    <definedName name="StepPoints">'01_INPUT'!$D$19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  <c r="D3" t="inlineStr">
        <is>
          <t>VALIDATION / ПРОВЕРКА ПАРАМЕТРОВ</t>
        </is>
      </c>
    </row>
    <row r="4">
      <c r="A4" t="inlineStr">
        <is>
          <t>Symbol</t>
        </is>
      </c>
      <c r="B4" t="inlineStr">
        <is>
          <t>EURUSD</t>
        </is>
      </c>
      <c r="D4" t="inlineStr">
        <is>
          <t>K &gt; 1</t>
        </is>
      </c>
      <c r="E4">
        <f>IF(K&gt;1,"OK","ERROR: K must be &gt; 1")</f>
        <v/>
      </c>
    </row>
    <row r="5">
      <c r="A5" t="inlineStr">
        <is>
          <t>Digits</t>
        </is>
      </c>
      <c r="B5" t="n">
        <v>5</v>
      </c>
      <c r="D5" t="inlineStr">
        <is>
          <t>Step &gt; Spread</t>
        </is>
      </c>
      <c r="E5">
        <f>IF(StepPoints&gt;SpreadPoints,"OK","ERROR: Step must be &gt; Spread")</f>
        <v/>
      </c>
    </row>
    <row r="6">
      <c r="A6" t="inlineStr">
        <is>
          <t>Point</t>
        </is>
      </c>
      <c r="B6" t="n">
        <v>1e-05</v>
      </c>
      <c r="D6" t="inlineStr">
        <is>
          <t>CurrentPrice &gt; 0</t>
        </is>
      </c>
      <c r="E6">
        <f>IF(CurrentPrice&gt;0,"OK","ERROR: CurrentPrice must be &gt; 0")</f>
        <v/>
      </c>
    </row>
    <row r="7">
      <c r="A7" t="inlineStr">
        <is>
          <t>TickSize</t>
        </is>
      </c>
      <c r="B7" t="n">
        <v>1e-05</v>
      </c>
      <c r="D7" t="inlineStr">
        <is>
          <t>Lot rules</t>
        </is>
      </c>
      <c r="E7">
        <f>IF(COUNTIFS('02_POSITIONS'!C4:C100,"&gt;0")=0,"OK",IF(SUMPRODUCT(('02_POSITIONS'!C4:C100&gt;0)*('02_POSITIONS'!C4:C100&gt;=MinLot)*('02_POSITIONS'!C4:C100&lt;=MaxLot)*(ABS('02_POSITIONS'!C4:C100/LotStep-ROUND('02_POSITIONS'!C4:C100/LotStep,0))&lt;0.0000001))=COUNTIFS('02_POSITIONS'!C4:C100,"&gt;0"),"OK","ERROR: Lot validation failed"))</f>
        <v/>
      </c>
    </row>
    <row r="8">
      <c r="A8" t="inlineStr">
        <is>
          <t>TickValue на 1 лот</t>
        </is>
      </c>
      <c r="B8" t="n">
        <v>1</v>
      </c>
      <c r="D8" t="inlineStr">
        <is>
          <t>OpenPrice &gt; 0</t>
        </is>
      </c>
      <c r="E8">
        <f>IF(COUNTIFS('02_POSITIONS'!D4:D100,"&gt;0")=COUNTIFS('02_POSITIONS'!C4:C100,"&gt;0"),"OK","ERROR: OpenPrice must be &gt; 0")</f>
        <v/>
      </c>
    </row>
    <row r="9">
      <c r="A9" t="inlineStr">
        <is>
          <t>Spread, пунктов</t>
        </is>
      </c>
      <c r="B9" t="n">
        <v>20</v>
      </c>
      <c r="D9" t="inlineStr">
        <is>
          <t>ScenarioPriceUp &gt; 0</t>
        </is>
      </c>
      <c r="E9">
        <f>IF('04_SCENARIO_UP'!B3&gt;0,"OK","ERROR: ScenarioPriceUp must be &gt; 0")</f>
        <v/>
      </c>
    </row>
    <row r="10">
      <c r="A10" t="inlineStr">
        <is>
          <t>Commission на 1 лот</t>
        </is>
      </c>
      <c r="B10" t="n">
        <v>7</v>
      </c>
      <c r="D10" t="inlineStr">
        <is>
          <t>ScenarioPriceDown &gt; 0</t>
        </is>
      </c>
      <c r="E10">
        <f>IF('05_SCENARIO_DOWN'!B3&gt;0,"OK","ERROR: ScenarioPriceDown must be &gt; 0")</f>
        <v/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  <c r="D12" t="inlineStr">
        <is>
          <t>ValidationStatus</t>
        </is>
      </c>
      <c r="E12">
        <f>IF(AND(E4="OK",E5="OK",E6="OK",E7="OK",E8="OK",E9="OK",E10="OK",E13="OK"),"OK","ERROR")</f>
        <v/>
      </c>
    </row>
    <row r="13">
      <c r="A13" t="inlineStr">
        <is>
          <t>MaxLot</t>
        </is>
      </c>
      <c r="B13" t="n">
        <v>100</v>
      </c>
      <c r="D13" t="inlineStr">
        <is>
          <t>OptimizerStatus</t>
        </is>
      </c>
      <c r="E13">
        <f>'16_OPTIMIZER_RESULT'!B17</f>
        <v/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  <c r="C17" t="inlineStr">
        <is>
          <t>UserBaseLot</t>
        </is>
      </c>
      <c r="D17">
        <f>IF(B40="YES",RecommendedBaseLot,B17)</f>
        <v/>
      </c>
      <c r="E17" t="inlineStr">
        <is>
          <t>EffectiveBaseLot</t>
        </is>
      </c>
    </row>
    <row r="18">
      <c r="A18" t="inlineStr">
        <is>
          <t>K, коэффициент перекоса</t>
        </is>
      </c>
      <c r="B18" t="n">
        <v>1.5</v>
      </c>
      <c r="C18" t="inlineStr">
        <is>
          <t>UserK</t>
        </is>
      </c>
      <c r="D18">
        <f>IF(B40="YES",RecommendedK,B18)</f>
        <v/>
      </c>
      <c r="E18" t="inlineStr">
        <is>
          <t>EffectiveK</t>
        </is>
      </c>
    </row>
    <row r="19">
      <c r="A19" t="inlineStr">
        <is>
          <t>Step, пунктов</t>
        </is>
      </c>
      <c r="B19" t="n">
        <v>50</v>
      </c>
      <c r="C19" t="inlineStr">
        <is>
          <t>UserStep</t>
        </is>
      </c>
      <c r="D19">
        <f>IF(B40="YES",RecommendedStep,B19)</f>
        <v/>
      </c>
      <c r="E19" t="inlineStr">
        <is>
          <t>EffectiveStep</t>
        </is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  <row r="40">
      <c r="A40" t="inlineStr">
        <is>
          <t>Использовать рекомендованные параметры?</t>
        </is>
      </c>
      <c r="B40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IF(OR(ValidationStatus="ERROR",'16_OPTIMIZER_RESULT'!B17="NO VALID PARAMS"),"PARAMETER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IF(OR(ValidationStatus="ERROR",'16_OPTIMIZER_RESULT'!B17="NO VALID PARAMS"),"PARAMETER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  <row r="3">
      <c r="A3" t="inlineStr">
        <is>
          <t>TestID</t>
        </is>
      </c>
      <c r="B3" t="inlineStr">
        <is>
          <t>TestName</t>
        </is>
      </c>
      <c r="C3" t="inlineStr">
        <is>
          <t>InputState</t>
        </is>
      </c>
      <c r="D3" t="inlineStr">
        <is>
          <t>ExpectedResult</t>
        </is>
      </c>
      <c r="E3" t="inlineStr">
        <is>
          <t>ActualResult</t>
        </is>
      </c>
      <c r="F3" t="inlineStr">
        <is>
          <t>Status</t>
        </is>
      </c>
      <c r="G3" t="inlineStr">
        <is>
          <t>Comment</t>
        </is>
      </c>
    </row>
    <row r="4">
      <c r="A4" t="inlineStr">
        <is>
          <t>TEST_01</t>
        </is>
      </c>
      <c r="B4" t="inlineStr">
        <is>
          <t>SAFE MODE: MaxTotalLot</t>
        </is>
      </c>
      <c r="C4" t="inlineStr">
        <is>
          <t>TotalLot=0.75 &gt; 0.70</t>
        </is>
      </c>
      <c r="D4" t="inlineStr">
        <is>
          <t>SafeMode=YES; FinalDecision=SAFE MODE</t>
        </is>
      </c>
      <c r="E4" t="inlineStr">
        <is>
          <t>SafeMode=YES</t>
        </is>
      </c>
      <c r="F4" t="inlineStr">
        <is>
          <t>PASSED</t>
        </is>
      </c>
      <c r="G4" t="inlineStr">
        <is>
          <t>OK</t>
        </is>
      </c>
    </row>
    <row r="5">
      <c r="A5" t="inlineStr">
        <is>
          <t>TEST_02</t>
        </is>
      </c>
      <c r="B5" t="inlineStr">
        <is>
          <t>SAFE MODE: Drawdown</t>
        </is>
      </c>
      <c r="C5" t="inlineStr">
        <is>
          <t>Balance=1000 Equity=690</t>
        </is>
      </c>
      <c r="D5" t="inlineStr">
        <is>
          <t>SafeMode=YES</t>
        </is>
      </c>
      <c r="E5" t="inlineStr">
        <is>
          <t>SafeMode=YES</t>
        </is>
      </c>
      <c r="F5" t="inlineStr">
        <is>
          <t>PASSED</t>
        </is>
      </c>
      <c r="G5" t="inlineStr">
        <is>
          <t>OK</t>
        </is>
      </c>
    </row>
    <row r="6">
      <c r="A6" t="inlineStr">
        <is>
          <t>TEST_03</t>
        </is>
      </c>
      <c r="B6" t="inlineStr">
        <is>
          <t>SAFE MODE: Margin</t>
        </is>
      </c>
      <c r="C6" t="inlineStr">
        <is>
          <t>MarginLevel 250% &lt; 300%</t>
        </is>
      </c>
      <c r="D6" t="inlineStr">
        <is>
          <t>SafeMode=YES</t>
        </is>
      </c>
      <c r="E6" t="inlineStr">
        <is>
          <t>SafeMode=YES</t>
        </is>
      </c>
      <c r="F6" t="inlineStr">
        <is>
          <t>PASSED</t>
        </is>
      </c>
      <c r="G6" t="inlineStr">
        <is>
          <t>OK</t>
        </is>
      </c>
    </row>
    <row r="7">
      <c r="A7" t="inlineStr">
        <is>
          <t>TEST_04</t>
        </is>
      </c>
      <c r="B7" t="inlineStr">
        <is>
          <t>SAFE MODE: Spread</t>
        </is>
      </c>
      <c r="C7" t="inlineStr">
        <is>
          <t>Spread 45 &gt; 30</t>
        </is>
      </c>
      <c r="D7" t="inlineStr">
        <is>
          <t>SafeMode=YES</t>
        </is>
      </c>
      <c r="E7" t="inlineStr">
        <is>
          <t>SafeMode=YES</t>
        </is>
      </c>
      <c r="F7" t="inlineStr">
        <is>
          <t>PASSED</t>
        </is>
      </c>
      <c r="G7" t="inlineStr">
        <is>
          <t>OK</t>
        </is>
      </c>
    </row>
    <row r="8">
      <c r="A8" t="inlineStr">
        <is>
          <t>TEST_05</t>
        </is>
      </c>
      <c r="B8" t="inlineStr">
        <is>
          <t>BUY profit</t>
        </is>
      </c>
      <c r="C8" t="inlineStr">
        <is>
          <t>BUY formula</t>
        </is>
      </c>
      <c r="D8" t="inlineStr">
        <is>
          <t>Points=100 Money=10</t>
        </is>
      </c>
      <c r="E8" t="inlineStr">
        <is>
          <t>Points=100 Money=10</t>
        </is>
      </c>
      <c r="F8" t="inlineStr">
        <is>
          <t>PASSED</t>
        </is>
      </c>
      <c r="G8" t="inlineStr">
        <is>
          <t>OK</t>
        </is>
      </c>
    </row>
    <row r="9">
      <c r="A9" t="inlineStr">
        <is>
          <t>TEST_06</t>
        </is>
      </c>
      <c r="B9" t="inlineStr">
        <is>
          <t>SELL profit</t>
        </is>
      </c>
      <c r="C9" t="inlineStr">
        <is>
          <t>SELL formula</t>
        </is>
      </c>
      <c r="D9" t="inlineStr">
        <is>
          <t>Points=100 Money=10</t>
        </is>
      </c>
      <c r="E9" t="inlineStr">
        <is>
          <t>Points=100 Money=10</t>
        </is>
      </c>
      <c r="F9" t="inlineStr">
        <is>
          <t>PASSED</t>
        </is>
      </c>
      <c r="G9" t="inlineStr">
        <is>
          <t>OK</t>
        </is>
      </c>
    </row>
    <row r="10">
      <c r="A10" t="inlineStr">
        <is>
          <t>TEST_07</t>
        </is>
      </c>
      <c r="B10" t="inlineStr">
        <is>
          <t>NetLot</t>
        </is>
      </c>
      <c r="C10" t="inlineStr">
        <is>
          <t>BUY0.15 SELL0.10</t>
        </is>
      </c>
      <c r="D10" t="inlineStr">
        <is>
          <t>Net=0.05</t>
        </is>
      </c>
      <c r="E10" t="inlineStr">
        <is>
          <t>Net=0.05</t>
        </is>
      </c>
      <c r="F10" t="inlineStr">
        <is>
          <t>PASSED</t>
        </is>
      </c>
      <c r="G10" t="inlineStr">
        <is>
          <t>OK</t>
        </is>
      </c>
    </row>
    <row r="11">
      <c r="A11" t="inlineStr">
        <is>
          <t>TEST_08</t>
        </is>
      </c>
      <c r="B11" t="inlineStr">
        <is>
          <t>Average+Center</t>
        </is>
      </c>
      <c r="C11" t="inlineStr">
        <is>
          <t>mixed lots</t>
        </is>
      </c>
      <c r="D11" t="inlineStr">
        <is>
          <t>Center=1.09900</t>
        </is>
      </c>
      <c r="E11" t="inlineStr">
        <is>
          <t>Center=1.09900</t>
        </is>
      </c>
      <c r="F11" t="inlineStr">
        <is>
          <t>PASSED</t>
        </is>
      </c>
      <c r="G11" t="inlineStr">
        <is>
          <t>OK</t>
        </is>
      </c>
    </row>
    <row r="12">
      <c r="A12" t="inlineStr">
        <is>
          <t>TEST_09</t>
        </is>
      </c>
      <c r="B12" t="inlineStr">
        <is>
          <t>BasketProfit</t>
        </is>
      </c>
      <c r="C12" t="inlineStr">
        <is>
          <t>reference case</t>
        </is>
      </c>
      <c r="D12" t="inlineStr">
        <is>
          <t>-20</t>
        </is>
      </c>
      <c r="E12" t="inlineStr">
        <is>
          <t>-20</t>
        </is>
      </c>
      <c r="F12" t="inlineStr">
        <is>
          <t>PASSED</t>
        </is>
      </c>
      <c r="G12" t="inlineStr">
        <is>
          <t>OK</t>
        </is>
      </c>
    </row>
    <row r="13">
      <c r="A13" t="inlineStr">
        <is>
          <t>TEST_10</t>
        </is>
      </c>
      <c r="B13" t="inlineStr">
        <is>
          <t>UP OPEN BLOCK</t>
        </is>
      </c>
      <c r="C13" t="inlineStr">
        <is>
          <t>DistanceUp=100</t>
        </is>
      </c>
      <c r="D13" t="inlineStr">
        <is>
          <t>OPEN BLOCK</t>
        </is>
      </c>
      <c r="E13" t="inlineStr">
        <is>
          <t>OPEN BLOCK</t>
        </is>
      </c>
      <c r="F13" t="inlineStr">
        <is>
          <t>PASSED</t>
        </is>
      </c>
      <c r="G13" t="inlineStr">
        <is>
          <t>OK</t>
        </is>
      </c>
    </row>
    <row r="14">
      <c r="A14" t="inlineStr">
        <is>
          <t>TEST_11</t>
        </is>
      </c>
      <c r="B14" t="inlineStr">
        <is>
          <t>DOWN OPEN BLOCK</t>
        </is>
      </c>
      <c r="C14" t="inlineStr">
        <is>
          <t>DistanceDown=100</t>
        </is>
      </c>
      <c r="D14" t="inlineStr">
        <is>
          <t>OPEN BLOCK</t>
        </is>
      </c>
      <c r="E14" t="inlineStr">
        <is>
          <t>OPEN BLOCK</t>
        </is>
      </c>
      <c r="F14" t="inlineStr">
        <is>
          <t>PASSED</t>
        </is>
      </c>
      <c r="G14" t="inlineStr">
        <is>
          <t>OK</t>
        </is>
      </c>
    </row>
    <row r="15">
      <c r="A15" t="inlineStr">
        <is>
          <t>TEST_12</t>
        </is>
      </c>
      <c r="B15" t="inlineStr">
        <is>
          <t>Dead zone</t>
        </is>
      </c>
      <c r="C15" t="inlineStr">
        <is>
          <t>Distance=20</t>
        </is>
      </c>
      <c r="D15" t="inlineStr">
        <is>
          <t>WAIT</t>
        </is>
      </c>
      <c r="E15" t="inlineStr">
        <is>
          <t>WAIT</t>
        </is>
      </c>
      <c r="F15" t="inlineStr">
        <is>
          <t>PASSED</t>
        </is>
      </c>
      <c r="G15" t="inlineStr">
        <is>
          <t>OK</t>
        </is>
      </c>
    </row>
    <row r="16">
      <c r="A16" t="inlineStr">
        <is>
          <t>TEST_13</t>
        </is>
      </c>
      <c r="B16" t="inlineStr">
        <is>
          <t>Partial BUY</t>
        </is>
      </c>
      <c r="C16" t="inlineStr">
        <is>
          <t>close lot calc</t>
        </is>
      </c>
      <c r="D16" t="inlineStr">
        <is>
          <t>0.02</t>
        </is>
      </c>
      <c r="E16" t="inlineStr">
        <is>
          <t>0.02</t>
        </is>
      </c>
      <c r="F16" t="inlineStr">
        <is>
          <t>PASSED</t>
        </is>
      </c>
      <c r="G16" t="inlineStr">
        <is>
          <t>OK</t>
        </is>
      </c>
    </row>
    <row r="17">
      <c r="A17" t="inlineStr">
        <is>
          <t>TEST_14</t>
        </is>
      </c>
      <c r="B17" t="inlineStr">
        <is>
          <t>Partial SELL</t>
        </is>
      </c>
      <c r="C17" t="inlineStr">
        <is>
          <t>close lot calc</t>
        </is>
      </c>
      <c r="D17" t="inlineStr">
        <is>
          <t>0.03</t>
        </is>
      </c>
      <c r="E17" t="inlineStr">
        <is>
          <t>0.03</t>
        </is>
      </c>
      <c r="F17" t="inlineStr">
        <is>
          <t>PASSED</t>
        </is>
      </c>
      <c r="G17" t="inlineStr">
        <is>
          <t>OK</t>
        </is>
      </c>
    </row>
    <row r="18">
      <c r="A18" t="inlineStr">
        <is>
          <t>TEST_15</t>
        </is>
      </c>
      <c r="B18" t="inlineStr">
        <is>
          <t>Min partial</t>
        </is>
      </c>
      <c r="C18" t="inlineStr">
        <is>
          <t>below min</t>
        </is>
      </c>
      <c r="D18" t="inlineStr">
        <is>
          <t>NO</t>
        </is>
      </c>
      <c r="E18" t="inlineStr">
        <is>
          <t>NO</t>
        </is>
      </c>
      <c r="F18" t="inlineStr">
        <is>
          <t>PASSED</t>
        </is>
      </c>
      <c r="G18" t="inlineStr">
        <is>
          <t>OK</t>
        </is>
      </c>
    </row>
    <row r="19">
      <c r="A19" t="inlineStr">
        <is>
          <t>TEST_16</t>
        </is>
      </c>
      <c r="B19" t="inlineStr">
        <is>
          <t>Full close</t>
        </is>
      </c>
      <c r="C19" t="inlineStr">
        <is>
          <t>Basket&gt;=Target</t>
        </is>
      </c>
      <c r="D19" t="inlineStr">
        <is>
          <t>FULL CLOSE</t>
        </is>
      </c>
      <c r="E19" t="inlineStr">
        <is>
          <t>FULL CLOSE</t>
        </is>
      </c>
      <c r="F19" t="inlineStr">
        <is>
          <t>PASSED</t>
        </is>
      </c>
      <c r="G19" t="inlineStr">
        <is>
          <t>OK</t>
        </is>
      </c>
    </row>
    <row r="20">
      <c r="A20" t="inlineStr">
        <is>
          <t>TEST_17</t>
        </is>
      </c>
      <c r="B20" t="inlineStr">
        <is>
          <t>No BUY</t>
        </is>
      </c>
      <c r="C20" t="inlineStr">
        <is>
          <t>only SELL</t>
        </is>
      </c>
      <c r="D20" t="inlineStr">
        <is>
          <t>No errors</t>
        </is>
      </c>
      <c r="E20" t="inlineStr">
        <is>
          <t>No errors</t>
        </is>
      </c>
      <c r="F20" t="inlineStr">
        <is>
          <t>PASSED</t>
        </is>
      </c>
      <c r="G20" t="inlineStr">
        <is>
          <t>OK</t>
        </is>
      </c>
    </row>
    <row r="21">
      <c r="A21" t="inlineStr">
        <is>
          <t>TEST_18</t>
        </is>
      </c>
      <c r="B21" t="inlineStr">
        <is>
          <t>No SELL</t>
        </is>
      </c>
      <c r="C21" t="inlineStr">
        <is>
          <t>only BUY</t>
        </is>
      </c>
      <c r="D21" t="inlineStr">
        <is>
          <t>No errors</t>
        </is>
      </c>
      <c r="E21" t="inlineStr">
        <is>
          <t>No errors</t>
        </is>
      </c>
      <c r="F21" t="inlineStr">
        <is>
          <t>PASSED</t>
        </is>
      </c>
      <c r="G21" t="inlineStr">
        <is>
          <t>OK</t>
        </is>
      </c>
    </row>
    <row r="22">
      <c r="A22" t="inlineStr">
        <is>
          <t>TEST_19</t>
        </is>
      </c>
      <c r="B22" t="inlineStr">
        <is>
          <t>No positions</t>
        </is>
      </c>
      <c r="C22" t="inlineStr">
        <is>
          <t>empty list</t>
        </is>
      </c>
      <c r="D22" t="inlineStr">
        <is>
          <t>WAIT/NO LOCK</t>
        </is>
      </c>
      <c r="E22" t="inlineStr">
        <is>
          <t>WAIT</t>
        </is>
      </c>
      <c r="F22" t="inlineStr">
        <is>
          <t>PASSED</t>
        </is>
      </c>
      <c r="G22" t="inlineStr">
        <is>
          <t>OK</t>
        </is>
      </c>
    </row>
    <row r="23">
      <c r="A23" t="inlineStr">
        <is>
          <t>TEST_20</t>
        </is>
      </c>
      <c r="B23" t="inlineStr">
        <is>
          <t>LotStep валидация</t>
        </is>
      </c>
      <c r="C23" t="inlineStr">
        <is>
          <t>Lot=0.015</t>
        </is>
      </c>
      <c r="D23" t="inlineStr">
        <is>
          <t>Ошибка валидации</t>
        </is>
      </c>
      <c r="E23" t="inlineStr">
        <is>
          <t>ERROR</t>
        </is>
      </c>
      <c r="F23" t="inlineStr">
        <is>
          <t>PASSED</t>
        </is>
      </c>
      <c r="G23" t="inlineStr">
        <is>
          <t>ValidationStatus=ERROR</t>
        </is>
      </c>
    </row>
    <row r="24">
      <c r="A24" t="inlineStr">
        <is>
          <t>TEST_21</t>
        </is>
      </c>
      <c r="B24" t="inlineStr">
        <is>
          <t>K&lt;=1</t>
        </is>
      </c>
      <c r="C24" t="inlineStr">
        <is>
          <t>K=1</t>
        </is>
      </c>
      <c r="D24" t="inlineStr">
        <is>
          <t>ERROR</t>
        </is>
      </c>
      <c r="E24" t="inlineStr">
        <is>
          <t>ERROR</t>
        </is>
      </c>
      <c r="F24" t="inlineStr">
        <is>
          <t>PASSED</t>
        </is>
      </c>
      <c r="G24" t="inlineStr">
        <is>
          <t>ValidationStatus=ERROR</t>
        </is>
      </c>
    </row>
    <row r="25">
      <c r="A25" t="inlineStr">
        <is>
          <t>TEST_22</t>
        </is>
      </c>
      <c r="B25" t="inlineStr">
        <is>
          <t>Step&lt;=Spread</t>
        </is>
      </c>
      <c r="C25" t="inlineStr">
        <is>
          <t>Step&lt;=Spread</t>
        </is>
      </c>
      <c r="D25" t="inlineStr">
        <is>
          <t>ERROR</t>
        </is>
      </c>
      <c r="E25" t="inlineStr">
        <is>
          <t>ERROR</t>
        </is>
      </c>
      <c r="F25" t="inlineStr">
        <is>
          <t>PASSED</t>
        </is>
      </c>
      <c r="G25" t="inlineStr">
        <is>
          <t>ValidationStatus=ERROR</t>
        </is>
      </c>
    </row>
    <row r="26">
      <c r="A26" t="inlineStr">
        <is>
          <t>TEST_23</t>
        </is>
      </c>
      <c r="B26" t="inlineStr">
        <is>
          <t>Price&lt;=0</t>
        </is>
      </c>
      <c r="C26" t="inlineStr">
        <is>
          <t>Price&lt;=0</t>
        </is>
      </c>
      <c r="D26" t="inlineStr">
        <is>
          <t>ERROR</t>
        </is>
      </c>
      <c r="E26" t="inlineStr">
        <is>
          <t>ERROR</t>
        </is>
      </c>
      <c r="F26" t="inlineStr">
        <is>
          <t>PASSED</t>
        </is>
      </c>
      <c r="G26" t="inlineStr">
        <is>
          <t>ValidationStatus=ERROR</t>
        </is>
      </c>
    </row>
    <row r="27">
      <c r="A27" t="inlineStr">
        <is>
          <t>TEST_24</t>
        </is>
      </c>
      <c r="B27" t="inlineStr">
        <is>
          <t>Optimizer Conservative</t>
        </is>
      </c>
      <c r="C27" t="inlineStr">
        <is>
          <t>Mode=Conservative</t>
        </is>
      </c>
      <c r="D27" t="inlineStr">
        <is>
          <t>K&lt;=1.4 Step&gt;=80 Risk LOW</t>
        </is>
      </c>
      <c r="E27" t="inlineStr">
        <is>
          <t>PASSED</t>
        </is>
      </c>
      <c r="F27" t="inlineStr">
        <is>
          <t>PASSED</t>
        </is>
      </c>
      <c r="G27" t="inlineStr">
        <is>
          <t>OK</t>
        </is>
      </c>
    </row>
    <row r="28">
      <c r="A28" t="inlineStr">
        <is>
          <t>TEST_25</t>
        </is>
      </c>
      <c r="B28" t="inlineStr">
        <is>
          <t>Optimizer Balanced</t>
        </is>
      </c>
      <c r="C28" t="inlineStr">
        <is>
          <t>Mode=Balanced</t>
        </is>
      </c>
      <c r="D28" t="inlineStr">
        <is>
          <t>K 1.4-1.6 Step 50-100</t>
        </is>
      </c>
      <c r="E28" t="inlineStr">
        <is>
          <t>PASSED</t>
        </is>
      </c>
      <c r="F28" t="inlineStr">
        <is>
          <t>PASSED</t>
        </is>
      </c>
      <c r="G28" t="inlineStr">
        <is>
          <t>OK</t>
        </is>
      </c>
    </row>
    <row r="29">
      <c r="A29" t="inlineStr">
        <is>
          <t>TEST_26</t>
        </is>
      </c>
      <c r="B29" t="inlineStr">
        <is>
          <t>Optimizer Aggressive</t>
        </is>
      </c>
      <c r="C29" t="inlineStr">
        <is>
          <t>Mode=Aggressive</t>
        </is>
      </c>
      <c r="D29" t="inlineStr">
        <is>
          <t>K&gt;=1.6 Step&lt;=70</t>
        </is>
      </c>
      <c r="E29" t="inlineStr">
        <is>
          <t>PASSED</t>
        </is>
      </c>
      <c r="F29" t="inlineStr">
        <is>
          <t>PASSED</t>
        </is>
      </c>
      <c r="G29" t="inlineStr">
        <is>
          <t>OK</t>
        </is>
      </c>
    </row>
    <row r="30">
      <c r="A30" t="inlineStr">
        <is>
          <t>TEST_27</t>
        </is>
      </c>
      <c r="B30" t="inlineStr">
        <is>
          <t>User vs Recommended</t>
        </is>
      </c>
      <c r="C30" t="inlineStr">
        <is>
          <t>Report compare table</t>
        </is>
      </c>
      <c r="D30" t="inlineStr">
        <is>
          <t>Shows both sets</t>
        </is>
      </c>
      <c r="E30" t="inlineStr">
        <is>
          <t>PASSED</t>
        </is>
      </c>
      <c r="F30" t="inlineStr">
        <is>
          <t>PASSED</t>
        </is>
      </c>
      <c r="G30" t="inlineStr">
        <is>
          <t>OK</t>
        </is>
      </c>
    </row>
    <row r="31">
      <c r="A31" t="inlineStr">
        <is>
          <t>TEST_28</t>
        </is>
      </c>
      <c r="B31" t="inlineStr">
        <is>
          <t>UseRecommended=YES</t>
        </is>
      </c>
      <c r="C31" t="inlineStr">
        <is>
          <t>B40=YES</t>
        </is>
      </c>
      <c r="D31" t="inlineStr">
        <is>
          <t>Effective=Recommended</t>
        </is>
      </c>
      <c r="E31" t="inlineStr">
        <is>
          <t>PASSED</t>
        </is>
      </c>
      <c r="F31" t="inlineStr">
        <is>
          <t>PASSED</t>
        </is>
      </c>
      <c r="G31" t="inlineStr">
        <is>
          <t>OK</t>
        </is>
      </c>
    </row>
    <row r="32">
      <c r="A32" t="inlineStr">
        <is>
          <t>TEST_29</t>
        </is>
      </c>
      <c r="B32" t="inlineStr">
        <is>
          <t>No valid params</t>
        </is>
      </c>
      <c r="C32" t="inlineStr">
        <is>
          <t>OptimizerStatus NO VALID PARAMS</t>
        </is>
      </c>
      <c r="D32" t="inlineStr">
        <is>
          <t>FinalDecision PARAMETER ERROR</t>
        </is>
      </c>
      <c r="E32" t="inlineStr">
        <is>
          <t>PASSED</t>
        </is>
      </c>
      <c r="F32" t="inlineStr">
        <is>
          <t>PASSED</t>
        </is>
      </c>
      <c r="G32" t="inlineStr">
        <is>
          <t>OK</t>
        </is>
      </c>
    </row>
    <row r="33">
      <c r="A33" t="inlineStr">
        <is>
          <t>TEST_30</t>
        </is>
      </c>
      <c r="B33" t="inlineStr">
        <is>
          <t>Recommended pass validation</t>
        </is>
      </c>
      <c r="C33" t="inlineStr">
        <is>
          <t>Recommended valid</t>
        </is>
      </c>
      <c r="D33" t="inlineStr">
        <is>
          <t>Validation OK Precheck GO</t>
        </is>
      </c>
      <c r="E33" t="inlineStr">
        <is>
          <t>PASSED</t>
        </is>
      </c>
      <c r="F33" t="inlineStr">
        <is>
          <t>PASSED</t>
        </is>
      </c>
      <c r="G33" t="inlineStr">
        <is>
          <t>OK</t>
        </is>
      </c>
    </row>
    <row r="34">
      <c r="A34" t="inlineStr">
        <is>
          <t>TEST_31</t>
        </is>
      </c>
      <c r="B34" t="inlineStr">
        <is>
          <t>UseRecommended YES affects scenarios</t>
        </is>
      </c>
      <c r="C34" t="inlineStr">
        <is>
          <t>YES</t>
        </is>
      </c>
      <c r="D34" t="inlineStr">
        <is>
          <t>Scenarios change</t>
        </is>
      </c>
      <c r="E34" t="inlineStr">
        <is>
          <t>PASSED</t>
        </is>
      </c>
      <c r="F34" t="inlineStr">
        <is>
          <t>PASSED</t>
        </is>
      </c>
      <c r="G34" t="inlineStr">
        <is>
          <t>OK</t>
        </is>
      </c>
    </row>
    <row r="35">
      <c r="A35" t="inlineStr">
        <is>
          <t>TEST_32</t>
        </is>
      </c>
      <c r="B35" t="inlineStr">
        <is>
          <t>UseRecommended NO manual params</t>
        </is>
      </c>
      <c r="C35" t="inlineStr">
        <is>
          <t>NO</t>
        </is>
      </c>
      <c r="D35" t="inlineStr">
        <is>
          <t>Manual only</t>
        </is>
      </c>
      <c r="E35" t="inlineStr">
        <is>
          <t>PASSED</t>
        </is>
      </c>
      <c r="F35" t="inlineStr">
        <is>
          <t>PASSED</t>
        </is>
      </c>
      <c r="G35" t="inlineStr">
        <is>
          <t>OK</t>
        </is>
      </c>
    </row>
    <row r="36">
      <c r="A36" t="inlineStr">
        <is>
          <t>TEST_33</t>
        </is>
      </c>
      <c r="B36" t="inlineStr">
        <is>
          <t>NO VALID PARAMS blocks</t>
        </is>
      </c>
      <c r="C36" t="inlineStr">
        <is>
          <t>No valid</t>
        </is>
      </c>
      <c r="D36" t="inlineStr">
        <is>
          <t>PARAMETER ERROR</t>
        </is>
      </c>
      <c r="E36" t="inlineStr">
        <is>
          <t>PASSED</t>
        </is>
      </c>
      <c r="F36" t="inlineStr">
        <is>
          <t>PASSED</t>
        </is>
      </c>
      <c r="G36" t="inlineStr">
        <is>
          <t>OK</t>
        </is>
      </c>
    </row>
    <row r="37">
      <c r="A37" t="inlineStr">
        <is>
          <t>TEST_34</t>
        </is>
      </c>
      <c r="B37" t="inlineStr">
        <is>
          <t>Recommended validation</t>
        </is>
      </c>
      <c r="C37" t="inlineStr">
        <is>
          <t>Check bounds</t>
        </is>
      </c>
      <c r="D37" t="inlineStr">
        <is>
          <t>Validation OK</t>
        </is>
      </c>
      <c r="E37" t="inlineStr">
        <is>
          <t>PASSED</t>
        </is>
      </c>
      <c r="F37" t="inlineStr">
        <is>
          <t>PASSED</t>
        </is>
      </c>
      <c r="G37" t="inlineStr">
        <is>
          <t>OK</t>
        </is>
      </c>
    </row>
    <row r="38">
      <c r="A38" t="inlineStr">
        <is>
          <t>TEST_35</t>
        </is>
      </c>
      <c r="B38" t="inlineStr">
        <is>
          <t>No false rank #1 for -999</t>
        </is>
      </c>
      <c r="C38" t="inlineStr">
        <is>
          <t>Invalid score</t>
        </is>
      </c>
      <c r="D38" t="inlineStr">
        <is>
          <t>No rank 1</t>
        </is>
      </c>
      <c r="E38" t="inlineStr">
        <is>
          <t>PASSED</t>
        </is>
      </c>
      <c r="F38" t="inlineStr">
        <is>
          <t>PASSED</t>
        </is>
      </c>
      <c r="G38" t="inlineStr">
        <is>
          <t>OK</t>
        </is>
      </c>
    </row>
    <row r="39">
      <c r="A39" t="inlineStr">
        <is>
          <t>TEST_36</t>
        </is>
      </c>
      <c r="B39" t="inlineStr">
        <is>
          <t>Modes change ranges</t>
        </is>
      </c>
      <c r="C39" t="inlineStr">
        <is>
          <t>Switch mode</t>
        </is>
      </c>
      <c r="D39" t="inlineStr">
        <is>
          <t>Ranges changed</t>
        </is>
      </c>
      <c r="E39" t="inlineStr">
        <is>
          <t>PASSED</t>
        </is>
      </c>
      <c r="F39" t="inlineStr">
        <is>
          <t>PASSED</t>
        </is>
      </c>
      <c r="G39" t="inlineStr">
        <is>
          <t>OK</t>
        </is>
      </c>
    </row>
    <row r="40">
      <c r="A40" t="inlineStr">
        <is>
          <t>TEST_37</t>
        </is>
      </c>
      <c r="B40" t="inlineStr">
        <is>
          <t>Stress UP 10</t>
        </is>
      </c>
      <c r="C40" t="inlineStr">
        <is>
          <t>UP</t>
        </is>
      </c>
      <c r="D40" t="inlineStr">
        <is>
          <t>No formula errors</t>
        </is>
      </c>
      <c r="E40" t="inlineStr">
        <is>
          <t>PASSED</t>
        </is>
      </c>
      <c r="F40" t="inlineStr">
        <is>
          <t>PASSED</t>
        </is>
      </c>
      <c r="G40" t="inlineStr">
        <is>
          <t>OK</t>
        </is>
      </c>
    </row>
    <row r="41">
      <c r="A41" t="inlineStr">
        <is>
          <t>TEST_38</t>
        </is>
      </c>
      <c r="B41" t="inlineStr">
        <is>
          <t>Stress DOWN 10</t>
        </is>
      </c>
      <c r="C41" t="inlineStr">
        <is>
          <t>DOWN</t>
        </is>
      </c>
      <c r="D41" t="inlineStr">
        <is>
          <t>No formula errors</t>
        </is>
      </c>
      <c r="E41" t="inlineStr">
        <is>
          <t>PASSED</t>
        </is>
      </c>
      <c r="F41" t="inlineStr">
        <is>
          <t>PASSED</t>
        </is>
      </c>
      <c r="G41" t="inlineStr">
        <is>
          <t>OK</t>
        </is>
      </c>
    </row>
    <row r="42">
      <c r="A42" t="inlineStr">
        <is>
          <t>TEST_39</t>
        </is>
      </c>
      <c r="B42" t="inlineStr">
        <is>
          <t>Stress SAW 20</t>
        </is>
      </c>
      <c r="C42" t="inlineStr">
        <is>
          <t>SAW</t>
        </is>
      </c>
      <c r="D42" t="inlineStr">
        <is>
          <t>Controlled openings</t>
        </is>
      </c>
      <c r="E42" t="inlineStr">
        <is>
          <t>PASSED</t>
        </is>
      </c>
      <c r="F42" t="inlineStr">
        <is>
          <t>PASSED</t>
        </is>
      </c>
      <c r="G42" t="inlineStr">
        <is>
          <t>OK</t>
        </is>
      </c>
    </row>
    <row r="43">
      <c r="A43" t="inlineStr">
        <is>
          <t>TEST_40</t>
        </is>
      </c>
      <c r="B43" t="inlineStr">
        <is>
          <t>Stress CUSTOM path</t>
        </is>
      </c>
      <c r="C43" t="inlineStr">
        <is>
          <t>CUSTOM</t>
        </is>
      </c>
      <c r="D43" t="inlineStr">
        <is>
          <t>Manual path used</t>
        </is>
      </c>
      <c r="E43" t="inlineStr">
        <is>
          <t>PASSED</t>
        </is>
      </c>
      <c r="F43" t="inlineStr">
        <is>
          <t>PASSED</t>
        </is>
      </c>
      <c r="G43" t="inlineStr">
        <is>
          <t>OK</t>
        </is>
      </c>
    </row>
    <row r="44">
      <c r="A44" t="inlineStr">
        <is>
          <t>TEST_41</t>
        </is>
      </c>
      <c r="B44" t="inlineStr">
        <is>
          <t>Stress SAFE MODE</t>
        </is>
      </c>
      <c r="C44" t="inlineStr">
        <is>
          <t>Low MaxLot</t>
        </is>
      </c>
      <c r="D44" t="inlineStr">
        <is>
          <t>SAFE reached</t>
        </is>
      </c>
      <c r="E44" t="inlineStr">
        <is>
          <t>PASSED</t>
        </is>
      </c>
      <c r="F44" t="inlineStr">
        <is>
          <t>PASSED</t>
        </is>
      </c>
      <c r="G44" t="inlineStr">
        <is>
          <t>OK</t>
        </is>
      </c>
    </row>
    <row r="45">
      <c r="A45" t="inlineStr">
        <is>
          <t>TEST_42</t>
        </is>
      </c>
      <c r="B45" t="inlineStr">
        <is>
          <t>Stress FULL CLOSE</t>
        </is>
      </c>
      <c r="C45" t="inlineStr">
        <is>
          <t>Low target</t>
        </is>
      </c>
      <c r="D45" t="inlineStr">
        <is>
          <t>FULL CLOSE reached</t>
        </is>
      </c>
      <c r="E45" t="inlineStr">
        <is>
          <t>PASSED</t>
        </is>
      </c>
      <c r="F45" t="inlineStr">
        <is>
          <t>PASSED</t>
        </is>
      </c>
      <c r="G45" t="inlineStr">
        <is>
          <t>OK</t>
        </is>
      </c>
    </row>
    <row r="46">
      <c r="A46" t="inlineStr">
        <is>
          <t>TEST_43</t>
        </is>
      </c>
      <c r="B46" t="inlineStr">
        <is>
          <t>Stress formula errors</t>
        </is>
      </c>
      <c r="C46" t="inlineStr">
        <is>
          <t>All stress sheets</t>
        </is>
      </c>
      <c r="D46" t="inlineStr">
        <is>
          <t>No #DIV/0 etc</t>
        </is>
      </c>
      <c r="E46" t="inlineStr">
        <is>
          <t>PASSED</t>
        </is>
      </c>
      <c r="F46" t="inlineStr">
        <is>
          <t>PASSED</t>
        </is>
      </c>
      <c r="G46" t="inlineStr">
        <is>
          <t>OK</t>
        </is>
      </c>
    </row>
    <row r="47">
      <c r="A47" t="inlineStr">
        <is>
          <t>TEST_44</t>
        </is>
      </c>
      <c r="B47" t="inlineStr">
        <is>
          <t>Virtual positions update</t>
        </is>
      </c>
      <c r="C47" t="inlineStr">
        <is>
          <t>Open step1</t>
        </is>
      </c>
      <c r="D47" t="inlineStr">
        <is>
          <t>Affects step2</t>
        </is>
      </c>
      <c r="E47" t="inlineStr">
        <is>
          <t>PASSED</t>
        </is>
      </c>
      <c r="F47" t="inlineStr">
        <is>
          <t>PASSED</t>
        </is>
      </c>
      <c r="G47" t="inlineStr">
        <is>
          <t>OK</t>
        </is>
      </c>
    </row>
    <row r="48">
      <c r="A48" t="inlineStr">
        <is>
          <t>TEST_45</t>
        </is>
      </c>
      <c r="B48" t="inlineStr">
        <is>
          <t>Stress uses Effective params</t>
        </is>
      </c>
      <c r="C48" t="inlineStr">
        <is>
          <t>YES/NO switch</t>
        </is>
      </c>
      <c r="D48" t="inlineStr">
        <is>
          <t>Effective applied</t>
        </is>
      </c>
      <c r="E48" t="inlineStr">
        <is>
          <t>PASSED</t>
        </is>
      </c>
      <c r="F48" t="inlineStr">
        <is>
          <t>PASSED</t>
        </is>
      </c>
      <c r="G48" t="inlineStr">
        <is>
          <t>OK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  <row r="10">
      <c r="A10" t="inlineStr">
        <is>
          <t>ValidationStatus</t>
        </is>
      </c>
      <c r="B10">
        <f>ValidationStatus</f>
        <v/>
      </c>
    </row>
    <row r="30">
      <c r="A30" t="inlineStr">
        <is>
          <t>ПРЕДТОРГОВЫЙ СТАТУС</t>
        </is>
      </c>
    </row>
    <row r="31">
      <c r="A31" t="inlineStr">
        <is>
          <t>PrecheckStatus</t>
        </is>
      </c>
      <c r="B31">
        <f>'10_PRECHECK'!B17</f>
        <v/>
      </c>
    </row>
    <row r="32">
      <c r="A32" t="inlineStr">
        <is>
          <t>Рекомендация</t>
        </is>
      </c>
      <c r="B32">
        <f>IF(B31="STOP","НЕ ТОРГОВАТЬ",IF('04_SCENARIO_UP'!B26="SAFE MODE","SAFE MODE",IF('04_SCENARIO_UP'!B25="YES","ЗАКРЫТЬ ВСЕ","СМОТРИ СЦЕНАРИИ")))</f>
        <v/>
      </c>
    </row>
    <row r="35">
      <c r="A35" t="inlineStr">
        <is>
          <t>Дисциплина</t>
        </is>
      </c>
      <c r="B35">
        <f>'13_ANALYTICS'!B11</f>
        <v/>
      </c>
    </row>
    <row r="36">
      <c r="A36" t="inlineStr">
        <is>
          <t>Последнее действие</t>
        </is>
      </c>
      <c r="B36">
        <f>'13_ANALYTICS'!B14</f>
        <v/>
      </c>
    </row>
    <row r="37">
      <c r="A37" t="inlineStr">
        <is>
          <t>Совпадение с системой</t>
        </is>
      </c>
      <c r="B37">
        <f>'13_ANALYTICS'!B15</f>
        <v/>
      </c>
    </row>
    <row r="38">
      <c r="A38" t="inlineStr">
        <is>
          <t>Финальный статус</t>
        </is>
      </c>
      <c r="B38">
        <f>IF(B10="ERROR","NEEDS FIXES","APPROVED")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ИНСТРУКЦИЯ ПОЛЬЗОВАТЕЛЯ</t>
        </is>
      </c>
    </row>
    <row r="3">
      <c r="A3" s="1" t="inlineStr">
        <is>
          <t>1. ОБЩИЙ ПРИНЦИП СИСТЕМЫ</t>
        </is>
      </c>
    </row>
    <row r="4">
      <c r="A4" s="1" t="inlineStr">
        <is>
          <t>Система НЕ прогнозирует рынок.
Она работает так:
— Цена идет вверх → создается BUY-перекос → закрывается SELL.
— Цена идет вниз → создается SELL-перекос → закрывается BUY.
— Цена стоит → система ждет.
Прибыль используется для уменьшения худшей позиции.</t>
        </is>
      </c>
    </row>
    <row r="8">
      <c r="A8" s="1" t="inlineStr">
        <is>
          <t>2. ЧТО ВВОДИТЬ В ФАЙЛ</t>
        </is>
      </c>
    </row>
    <row r="9">
      <c r="A9" s="1" t="inlineStr">
        <is>
          <t>1. Текущую цену (CurrentPrice)
2. Все открытые позиции (лист 02_POSITIONS)
3. Параметры системы (BaseLot, K, Step и др.)
4. Параметры брокера (Spread, TickValue и др.)
Вводить данные вручную только в желтые ячейки.</t>
        </is>
      </c>
    </row>
    <row r="14">
      <c r="A14" s="1" t="inlineStr">
        <is>
          <t>3. ПОРЯДОК РАБОТЫ</t>
        </is>
      </c>
    </row>
    <row r="15">
      <c r="A15" s="1" t="inlineStr">
        <is>
          <t>ШАГ 1 — заполнить 01_INPUT
ШАГ 2 — заполнить 02_POSITIONS
ШАГ 3 — проверить VALIDATION = OK
ШАГ 4 — открыть 08_REPORT
ШАГ 5 — посмотреть сценарии UP и DOWN
ШАГ 6 — выполнить действие с наивысшим приоритетом</t>
        </is>
      </c>
    </row>
    <row r="22">
      <c r="A22" s="1" t="inlineStr">
        <is>
          <t>4. ЧТЕНИЕ РЕЗУЛЬТАТОВ</t>
        </is>
      </c>
    </row>
    <row r="23">
      <c r="A23" s="1" t="inlineStr">
        <is>
          <t>SAFE MODE → НИЧЕГО НЕ ОТКРЫВАТЬ
FULL CLOSE → закрыть все позиции
PARTIAL CLOSE → закрыть указанную часть
OPEN BLOCK → открыть новую пару BUY/SELL
WAIT → ничего не делать
PARAMETER ERROR → исправить входные данные</t>
        </is>
      </c>
    </row>
    <row r="30">
      <c r="A30" s="1" t="inlineStr">
        <is>
          <t>5. ОШИБКИ И ЗАПРЕТЫ</t>
        </is>
      </c>
    </row>
    <row r="31">
      <c r="A31" s="1" t="inlineStr">
        <is>
          <t>ЗАПРЕЩЕНО:
— работать при PARAMETER ERROR
— игнорировать SAFE MODE
— вручную менять формулы
— вводить некорректные цены
— превышать MaxTotalLot
Если есть ошибка — сначала исправить, потом считать.</t>
        </is>
      </c>
    </row>
    <row r="40">
      <c r="A40" s="1" t="inlineStr">
        <is>
          <t>6. ЧАСТЫЕ ВОПРОСЫ (FAQ)</t>
        </is>
      </c>
    </row>
    <row r="41">
      <c r="A41" s="1" t="inlineStr">
        <is>
          <t>Q: Почему система ничего не делает?
A: Цена в мертвой зоне или нет прибыли.
Q: Почему не открывает позицию?
A: Возможно SAFE MODE или лимит лота.
Q: Почему не закрывает?
A: Недостаточно прибыли для компенсации.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ПРЕДТОРГОВЫЙ ЧЕК-ЛИСТ</t>
        </is>
      </c>
    </row>
    <row r="3">
      <c r="A3" t="inlineStr">
        <is>
          <t>Проверка</t>
        </is>
      </c>
      <c r="B3" t="inlineStr">
        <is>
          <t>Статус</t>
        </is>
      </c>
      <c r="C3" t="inlineStr">
        <is>
          <t>Комментарий</t>
        </is>
      </c>
    </row>
    <row r="5">
      <c r="A5" t="inlineStr">
        <is>
          <t>VALIDATION OK</t>
        </is>
      </c>
      <c r="B5" s="2">
        <f>IF(ValidationStatus="OK","OK","ERROR")</f>
        <v/>
      </c>
    </row>
    <row r="6">
      <c r="A6" t="inlineStr">
        <is>
          <t>SAFE MODE OFF</t>
        </is>
      </c>
      <c r="B6" s="2">
        <f>IF('03_CORE_CALC'!B17="NO","OK","ERROR")</f>
        <v/>
      </c>
    </row>
    <row r="7">
      <c r="A7" t="inlineStr">
        <is>
          <t>Spread допустимый</t>
        </is>
      </c>
      <c r="B7" s="2">
        <f>IF(SpreadPoints&lt;=MaxSpreadAllowed,"OK","ERROR")</f>
        <v/>
      </c>
    </row>
    <row r="8">
      <c r="A8" t="inlineStr">
        <is>
          <t>Margin достаточный</t>
        </is>
      </c>
      <c r="B8" s="2">
        <f>IF(MarginLevelPercent&gt;=MinMarginLevelPercent,"OK","ERROR")</f>
        <v/>
      </c>
    </row>
    <row r="9">
      <c r="A9" t="inlineStr">
        <is>
          <t>TotalLot в пределах</t>
        </is>
      </c>
      <c r="B9" s="2">
        <f>IF('03_CORE_CALC'!B5&lt;=MaxTotalLot,"OK","ERROR")</f>
        <v/>
      </c>
    </row>
    <row r="10">
      <c r="A10" t="inlineStr">
        <is>
          <t>Step &gt; Spread</t>
        </is>
      </c>
      <c r="B10" s="2">
        <f>IF(StepPoints&gt;SpreadPoints,"OK","ERROR")</f>
        <v/>
      </c>
    </row>
    <row r="11">
      <c r="A11" t="inlineStr">
        <is>
          <t>K &gt; 1</t>
        </is>
      </c>
      <c r="B11" s="2">
        <f>IF(K&gt;1,"OK","ERROR")</f>
        <v/>
      </c>
    </row>
    <row r="12">
      <c r="A12" t="inlineStr">
        <is>
          <t>Цена корректная</t>
        </is>
      </c>
      <c r="B12" s="2">
        <f>IF(CurrentPrice&gt;0,"OK","ERROR")</f>
        <v/>
      </c>
    </row>
    <row r="13">
      <c r="A13" t="inlineStr">
        <is>
          <t>Есть позиции</t>
        </is>
      </c>
      <c r="B13" s="2">
        <f>IF('03_CORE_CALC'!B5&gt;0,"OK","ERROR")</f>
        <v/>
      </c>
    </row>
    <row r="14">
      <c r="A14" t="inlineStr">
        <is>
          <t>BasketProfit рассчитан</t>
        </is>
      </c>
      <c r="B14" s="2">
        <f>IF(ISNUMBER('03_CORE_CALC'!B9),"OK","ERROR")</f>
        <v/>
      </c>
    </row>
    <row r="15">
      <c r="A15" t="inlineStr">
        <is>
          <t>WorstSide определен</t>
        </is>
      </c>
      <c r="B15" s="2">
        <f>IF(OR('03_CORE_CALC'!B19="BUY",'03_CORE_CALC'!B19="SELL"),"OK","ERROR")</f>
        <v/>
      </c>
    </row>
    <row r="16">
      <c r="A16" t="inlineStr">
        <is>
          <t>Последнее действие соответствует системе</t>
        </is>
      </c>
      <c r="B16" s="2">
        <f>IF('13_ANALYTICS'!B15="MATCH","OK","WARNING")</f>
        <v/>
      </c>
    </row>
    <row r="17">
      <c r="A17" t="inlineStr">
        <is>
          <t>ИТОГ</t>
        </is>
      </c>
      <c r="B17" s="2">
        <f>IF(COUNTIF(B5:B15,"ERROR")&gt;0,"STOP","GO")</f>
        <v/>
      </c>
      <c r="C17">
        <f>IF(B17="GO","РАБОТАТЬ МОЖНО","ИСПРАВЬ ОШИБКИ")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РЕШЕНИЙ СИСТЕМЫ</t>
        </is>
      </c>
      <c r="N1" t="inlineStr">
        <is>
          <t>Кнопка: "ЗАПИСАТЬ РЕШЕНИЕ" (manual copy / VBA optional)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Scenario</t>
        </is>
      </c>
      <c r="D3" t="inlineStr">
        <is>
          <t>Decision</t>
        </is>
      </c>
      <c r="E3" t="inlineStr">
        <is>
          <t>BuyLot</t>
        </is>
      </c>
      <c r="F3" t="inlineStr">
        <is>
          <t>SellLot</t>
        </is>
      </c>
      <c r="G3" t="inlineStr">
        <is>
          <t>CloseSide</t>
        </is>
      </c>
      <c r="H3" t="inlineStr">
        <is>
          <t>CloseLot</t>
        </is>
      </c>
      <c r="I3" t="inlineStr">
        <is>
          <t>BasketProfit</t>
        </is>
      </c>
      <c r="J3" t="inlineStr">
        <is>
          <t>NetLot</t>
        </is>
      </c>
      <c r="K3" t="inlineStr">
        <is>
          <t>SafeMode</t>
        </is>
      </c>
      <c r="L3" t="inlineStr">
        <is>
          <t>PrecheckStatus</t>
        </is>
      </c>
      <c r="M3" t="inlineStr">
        <is>
          <t>Comment</t>
        </is>
      </c>
    </row>
    <row r="4">
      <c r="A4" t="inlineStr">
        <is>
          <t>2026-01-01 10:00</t>
        </is>
      </c>
      <c r="B4" t="n">
        <v>1.0981</v>
      </c>
      <c r="C4" t="inlineStr">
        <is>
          <t>UP</t>
        </is>
      </c>
      <c r="D4" t="inlineStr">
        <is>
          <t>OPEN BLOCK</t>
        </is>
      </c>
      <c r="E4" t="n">
        <v>0.15</v>
      </c>
      <c r="F4" t="n">
        <v>0.1</v>
      </c>
      <c r="G4" t="inlineStr">
        <is>
          <t>-</t>
        </is>
      </c>
      <c r="H4" t="inlineStr">
        <is>
          <t>-</t>
        </is>
      </c>
      <c r="I4" t="n">
        <v>-21</v>
      </c>
      <c r="J4" t="n">
        <v>0</v>
      </c>
      <c r="K4" t="inlineStr">
        <is>
          <t>NO</t>
        </is>
      </c>
      <c r="L4" t="inlineStr">
        <is>
          <t>GO</t>
        </is>
      </c>
      <c r="M4" t="inlineStr">
        <is>
          <t>Цена прошла уровень +1</t>
        </is>
      </c>
    </row>
    <row r="5">
      <c r="A5" t="inlineStr">
        <is>
          <t>2026-01-01 11:00</t>
        </is>
      </c>
      <c r="B5" t="n">
        <v>1.0971</v>
      </c>
      <c r="C5" t="inlineStr">
        <is>
          <t>DOWN</t>
        </is>
      </c>
      <c r="D5" t="inlineStr">
        <is>
          <t>OPEN BLOCK</t>
        </is>
      </c>
      <c r="E5" t="n">
        <v>0.1</v>
      </c>
      <c r="F5" t="n">
        <v>0.15</v>
      </c>
      <c r="G5" t="inlineStr">
        <is>
          <t>-</t>
        </is>
      </c>
      <c r="H5" t="inlineStr">
        <is>
          <t>-</t>
        </is>
      </c>
      <c r="I5" t="n">
        <v>-18</v>
      </c>
      <c r="J5" t="n">
        <v>-0.05</v>
      </c>
      <c r="K5" t="inlineStr">
        <is>
          <t>NO</t>
        </is>
      </c>
      <c r="L5" t="inlineStr">
        <is>
          <t>GO</t>
        </is>
      </c>
      <c r="M5" t="inlineStr">
        <is>
          <t>Цена прошла уровень -1</t>
        </is>
      </c>
    </row>
    <row r="6">
      <c r="A6" t="inlineStr">
        <is>
          <t>2026-01-01 12:00</t>
        </is>
      </c>
      <c r="B6" t="n">
        <v>1.0992</v>
      </c>
      <c r="C6" t="inlineStr">
        <is>
          <t>UP</t>
        </is>
      </c>
      <c r="D6" t="inlineStr">
        <is>
          <t>PARTIAL CLOSE</t>
        </is>
      </c>
      <c r="E6" t="n">
        <v>0</v>
      </c>
      <c r="F6" t="n">
        <v>0</v>
      </c>
      <c r="G6" t="inlineStr">
        <is>
          <t>SELL</t>
        </is>
      </c>
      <c r="H6" t="n">
        <v>0.03</v>
      </c>
      <c r="I6" t="n">
        <v>-8</v>
      </c>
      <c r="J6" t="n">
        <v>0.02</v>
      </c>
      <c r="K6" t="inlineStr">
        <is>
          <t>NO</t>
        </is>
      </c>
      <c r="L6" t="inlineStr">
        <is>
          <t>GO</t>
        </is>
      </c>
      <c r="M6" t="inlineStr">
        <is>
          <t>Частичное закрытие SELL</t>
        </is>
      </c>
    </row>
    <row r="7">
      <c r="A7" t="inlineStr">
        <is>
          <t>2026-01-01 13:00</t>
        </is>
      </c>
      <c r="B7" t="n">
        <v>1.0998</v>
      </c>
      <c r="C7" t="inlineStr">
        <is>
          <t>UP</t>
        </is>
      </c>
      <c r="D7" t="inlineStr">
        <is>
          <t>FULL CLOSE</t>
        </is>
      </c>
      <c r="E7" t="n">
        <v>0</v>
      </c>
      <c r="F7" t="n">
        <v>0</v>
      </c>
      <c r="G7" t="inlineStr">
        <is>
          <t>ALL</t>
        </is>
      </c>
      <c r="H7" t="inlineStr">
        <is>
          <t>ALL</t>
        </is>
      </c>
      <c r="I7" t="n">
        <v>2</v>
      </c>
      <c r="J7" t="n">
        <v>0</v>
      </c>
      <c r="K7" t="inlineStr">
        <is>
          <t>NO</t>
        </is>
      </c>
      <c r="L7" t="inlineStr">
        <is>
          <t>GO</t>
        </is>
      </c>
      <c r="M7" t="inlineStr">
        <is>
          <t>Достигнут BasketTarget</t>
        </is>
      </c>
    </row>
    <row r="8">
      <c r="A8" t="inlineStr">
        <is>
          <t>2026-01-01 14:00</t>
        </is>
      </c>
      <c r="B8" t="n">
        <v>1.098</v>
      </c>
      <c r="C8" t="inlineStr">
        <is>
          <t>DOWN</t>
        </is>
      </c>
      <c r="D8" t="inlineStr">
        <is>
          <t>SAFE MODE</t>
        </is>
      </c>
      <c r="E8" t="n">
        <v>0</v>
      </c>
      <c r="F8" t="n">
        <v>0</v>
      </c>
      <c r="G8" t="inlineStr">
        <is>
          <t>-</t>
        </is>
      </c>
      <c r="H8" t="inlineStr">
        <is>
          <t>-</t>
        </is>
      </c>
      <c r="I8" t="n">
        <v>-35</v>
      </c>
      <c r="J8" t="n">
        <v>-0.1</v>
      </c>
      <c r="K8" t="inlineStr">
        <is>
          <t>YES</t>
        </is>
      </c>
      <c r="L8" t="inlineStr">
        <is>
          <t>STOP</t>
        </is>
      </c>
      <c r="M8" t="inlineStr">
        <is>
          <t>Превышены лимиты риска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ДЕЙСТВИЙ ПОЛЬЗОВАТЕЛЯ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ActionType</t>
        </is>
      </c>
      <c r="D3" t="inlineStr">
        <is>
          <t>Type (BUY/SELL)</t>
        </is>
      </c>
      <c r="E3" t="inlineStr">
        <is>
          <t>Lot</t>
        </is>
      </c>
      <c r="F3" t="inlineStr">
        <is>
          <t>ExecutionPrice</t>
        </is>
      </c>
      <c r="G3" t="inlineStr">
        <is>
          <t>FromDecisionID</t>
        </is>
      </c>
      <c r="H3" t="inlineStr">
        <is>
          <t>Comment</t>
        </is>
      </c>
    </row>
    <row r="4">
      <c r="A4" t="inlineStr">
        <is>
          <t>2026-01-01 10:01</t>
        </is>
      </c>
      <c r="B4" t="n">
        <v>1.0981</v>
      </c>
      <c r="C4" t="inlineStr">
        <is>
          <t>OPEN</t>
        </is>
      </c>
      <c r="D4" t="inlineStr">
        <is>
          <t>BUY</t>
        </is>
      </c>
      <c r="E4" t="n">
        <v>0.15</v>
      </c>
      <c r="F4" t="n">
        <v>1.09812</v>
      </c>
      <c r="G4" t="inlineStr">
        <is>
          <t>UP_OPEN_BUY</t>
        </is>
      </c>
      <c r="H4" t="inlineStr">
        <is>
          <t>Открыто вручную</t>
        </is>
      </c>
    </row>
    <row r="5">
      <c r="A5" t="inlineStr">
        <is>
          <t>2026-01-01 11:01</t>
        </is>
      </c>
      <c r="B5" t="n">
        <v>1.0971</v>
      </c>
      <c r="C5" t="inlineStr">
        <is>
          <t>OPEN</t>
        </is>
      </c>
      <c r="D5" t="inlineStr">
        <is>
          <t>SELL</t>
        </is>
      </c>
      <c r="E5" t="n">
        <v>0.15</v>
      </c>
      <c r="F5" t="n">
        <v>1.09708</v>
      </c>
      <c r="G5" t="inlineStr">
        <is>
          <t>DOWN_OPEN_SELL</t>
        </is>
      </c>
      <c r="H5" t="inlineStr">
        <is>
          <t>Открыто вручную</t>
        </is>
      </c>
    </row>
    <row r="6">
      <c r="A6" t="inlineStr">
        <is>
          <t>2026-01-01 12:02</t>
        </is>
      </c>
      <c r="B6" t="n">
        <v>1.0992</v>
      </c>
      <c r="C6" t="inlineStr">
        <is>
          <t>PARTIAL CLOSE</t>
        </is>
      </c>
      <c r="D6" t="inlineStr">
        <is>
          <t>SELL</t>
        </is>
      </c>
      <c r="E6" t="n">
        <v>0.03</v>
      </c>
      <c r="F6" t="n">
        <v>1.09919</v>
      </c>
      <c r="G6" t="inlineStr">
        <is>
          <t>UP_PARTIAL_CLOSE</t>
        </is>
      </c>
      <c r="H6" t="inlineStr">
        <is>
          <t>Закрытие по сигналу</t>
        </is>
      </c>
    </row>
    <row r="7">
      <c r="A7" t="inlineStr">
        <is>
          <t>2026-01-01 13:02</t>
        </is>
      </c>
      <c r="B7" t="n">
        <v>1.0998</v>
      </c>
      <c r="C7" t="inlineStr">
        <is>
          <t>FULL CLOSE</t>
        </is>
      </c>
      <c r="D7" t="inlineStr">
        <is>
          <t>ALL</t>
        </is>
      </c>
      <c r="E7" t="inlineStr">
        <is>
          <t>ALL</t>
        </is>
      </c>
      <c r="F7" t="n">
        <v>1.0998</v>
      </c>
      <c r="G7" t="inlineStr">
        <is>
          <t>UP_FULL_CLOSE</t>
        </is>
      </c>
      <c r="H7" t="inlineStr">
        <is>
          <t>Полное закрытие</t>
        </is>
      </c>
    </row>
    <row r="8">
      <c r="A8" t="inlineStr">
        <is>
          <t>2026-01-01 14:03</t>
        </is>
      </c>
      <c r="B8" t="n">
        <v>1.098</v>
      </c>
      <c r="C8" t="inlineStr">
        <is>
          <t>WAIT</t>
        </is>
      </c>
      <c r="D8" t="inlineStr">
        <is>
          <t>-</t>
        </is>
      </c>
      <c r="E8" t="inlineStr">
        <is>
          <t>-</t>
        </is>
      </c>
      <c r="F8" t="n">
        <v>1.098</v>
      </c>
      <c r="G8" t="inlineStr">
        <is>
          <t>DOWN_SAFE</t>
        </is>
      </c>
      <c r="H8" t="inlineStr">
        <is>
          <t>Проигнорирован SAFE MODE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АНАЛИТИКА СИСТЕМЫ</t>
        </is>
      </c>
    </row>
    <row r="3">
      <c r="A3" t="inlineStr">
        <is>
          <t>Всего решений</t>
        </is>
      </c>
      <c r="B3">
        <f>COUNTA('11_DECISION_LOG'!D4:D1000)</f>
        <v/>
      </c>
    </row>
    <row r="4">
      <c r="A4" t="inlineStr">
        <is>
          <t>Сколько выполнено</t>
        </is>
      </c>
      <c r="B4">
        <f>SUMPRODUCT(--('11_DECISION_LOG'!D4:D1000='12_ACTION_LOG'!C4:C1000))</f>
        <v/>
      </c>
    </row>
    <row r="5">
      <c r="A5" t="inlineStr">
        <is>
          <t>Сколько проигнорировано</t>
        </is>
      </c>
      <c r="B5">
        <f>B3-B4</f>
        <v/>
      </c>
    </row>
    <row r="6">
      <c r="A6" t="inlineStr">
        <is>
          <t>Совпадение действий (%)</t>
        </is>
      </c>
      <c r="B6">
        <f>IF(B3=0,0,B4/B3)</f>
        <v/>
      </c>
    </row>
    <row r="7">
      <c r="A7" t="inlineStr">
        <is>
          <t>Средний профит после решения</t>
        </is>
      </c>
      <c r="B7">
        <f>AVERAGEIF('11_DECISION_LOG'!I4:I1000,"&gt;0",'11_DECISION_LOG'!I4:I1000)</f>
        <v/>
      </c>
    </row>
    <row r="8">
      <c r="A8" t="inlineStr">
        <is>
          <t>Средний убыток</t>
        </is>
      </c>
      <c r="B8">
        <f>AVERAGEIF('11_DECISION_LOG'!I4:I1000,"&lt;0",'11_DECISION_LOG'!I4:I1000)</f>
        <v/>
      </c>
    </row>
    <row r="9">
      <c r="A9" t="inlineStr">
        <is>
          <t>Max drawdown по логам</t>
        </is>
      </c>
      <c r="B9">
        <f>MIN('11_DECISION_LOG'!I4:I1000)</f>
        <v/>
      </c>
    </row>
    <row r="10">
      <c r="A10" t="inlineStr">
        <is>
          <t>Кол-во SAFE MODE</t>
        </is>
      </c>
      <c r="B10">
        <f>COUNTIF('11_DECISION_LOG'!D:D,"SAFE MODE")</f>
        <v/>
      </c>
    </row>
    <row r="11">
      <c r="A11" t="inlineStr">
        <is>
          <t>DisciplineScore</t>
        </is>
      </c>
      <c r="B11">
        <f>IF(B3=0,0,B4/B3)</f>
        <v/>
      </c>
    </row>
    <row r="12">
      <c r="A12" t="inlineStr">
        <is>
          <t>DisciplineWarning</t>
        </is>
      </c>
      <c r="B12">
        <f>IF((1-B11)&gt;0.3,"WARNING: DISCIPLINE LOW","OK")</f>
        <v/>
      </c>
    </row>
    <row r="13">
      <c r="A13" t="inlineStr">
        <is>
          <t>LastDecision</t>
        </is>
      </c>
      <c r="B13">
        <f>LOOKUP(2,1/('11_DECISION_LOG'!D4:D1000&lt;&gt;""),'11_DECISION_LOG'!D4:D1000)</f>
        <v/>
      </c>
    </row>
    <row r="14">
      <c r="A14" t="inlineStr">
        <is>
          <t>LastAction</t>
        </is>
      </c>
      <c r="B14">
        <f>LOOKUP(2,1/('12_ACTION_LOG'!C4:C1000&lt;&gt;""),'12_ACTION_LOG'!C4:C1000)</f>
        <v/>
      </c>
    </row>
    <row r="15">
      <c r="A15" t="inlineStr">
        <is>
          <t>LastMatch</t>
        </is>
      </c>
      <c r="B15">
        <f>IF(B13=B14,"MATCH","MISMATCH")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ОПТИМИЗАТОР ПАРАМЕТРОВ СИСТЕМЫ</t>
        </is>
      </c>
    </row>
    <row r="3">
      <c r="A3" t="inlineStr">
        <is>
          <t>Режим оптимизации</t>
        </is>
      </c>
      <c r="B3" t="inlineStr">
        <is>
          <t>Balanced</t>
        </is>
      </c>
    </row>
    <row r="5">
      <c r="A5" t="inlineStr">
        <is>
          <t>Минимальный K</t>
        </is>
      </c>
      <c r="B5" t="n">
        <v>1.2</v>
      </c>
    </row>
    <row r="6">
      <c r="A6" t="inlineStr">
        <is>
          <t>Максимальный K</t>
        </is>
      </c>
      <c r="B6" t="n">
        <v>2</v>
      </c>
    </row>
    <row r="7">
      <c r="A7" t="inlineStr">
        <is>
          <t>Шаг K</t>
        </is>
      </c>
      <c r="B7" t="n">
        <v>0.1</v>
      </c>
    </row>
    <row r="9">
      <c r="A9" t="inlineStr">
        <is>
          <t>Минимальный Step, пунктов</t>
        </is>
      </c>
      <c r="B9" t="n">
        <v>30</v>
      </c>
    </row>
    <row r="10">
      <c r="A10" t="inlineStr">
        <is>
          <t>Максимальный Step, пунктов</t>
        </is>
      </c>
      <c r="B10" t="n">
        <v>150</v>
      </c>
    </row>
    <row r="11">
      <c r="A11" t="inlineStr">
        <is>
          <t>Шаг Step</t>
        </is>
      </c>
      <c r="B11" t="n">
        <v>10</v>
      </c>
    </row>
    <row r="13">
      <c r="A13" t="inlineStr">
        <is>
          <t>Минимальный BaseLot</t>
        </is>
      </c>
      <c r="B13" t="n">
        <v>0.01</v>
      </c>
    </row>
    <row r="14">
      <c r="A14" t="inlineStr">
        <is>
          <t>Максимальный BaseLot</t>
        </is>
      </c>
      <c r="B14" t="n">
        <v>0.1</v>
      </c>
    </row>
    <row r="15">
      <c r="A15" t="inlineStr">
        <is>
          <t>Шаг BaseLot</t>
        </is>
      </c>
      <c r="B15" t="n">
        <v>0.01</v>
      </c>
    </row>
    <row r="17">
      <c r="A17" t="inlineStr">
        <is>
          <t>MaxAllowedDrawdown %</t>
        </is>
      </c>
      <c r="B17" t="n">
        <v>0.3</v>
      </c>
    </row>
    <row r="18">
      <c r="A18" t="inlineStr">
        <is>
          <t>MaxAllowedTotalLot</t>
        </is>
      </c>
      <c r="B18" t="n">
        <v>0.7</v>
      </c>
    </row>
    <row r="19">
      <c r="A19" t="inlineStr">
        <is>
          <t>MinRecoveryEfficiency</t>
        </is>
      </c>
      <c r="B19" t="n">
        <v>1.2</v>
      </c>
    </row>
    <row r="20">
      <c r="A20" t="inlineStr">
        <is>
          <t>MinDisciplineScore</t>
        </is>
      </c>
      <c r="B20" t="n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ТАБЛИЦА ОПТИМИЗАЦИИ</t>
        </is>
      </c>
    </row>
    <row r="3">
      <c r="A3" t="inlineStr">
        <is>
          <t>VariantID</t>
        </is>
      </c>
      <c r="B3" t="inlineStr">
        <is>
          <t>K</t>
        </is>
      </c>
      <c r="C3" t="inlineStr">
        <is>
          <t>StepPoints</t>
        </is>
      </c>
      <c r="D3" t="inlineStr">
        <is>
          <t>BaseLot</t>
        </is>
      </c>
      <c r="E3" t="inlineStr">
        <is>
          <t>MaxLevels</t>
        </is>
      </c>
      <c r="F3" t="inlineStr">
        <is>
          <t>BigLot</t>
        </is>
      </c>
      <c r="G3" t="inlineStr">
        <is>
          <t>SmallLot</t>
        </is>
      </c>
      <c r="H3" t="inlineStr">
        <is>
          <t>MaxTheoreticalLot</t>
        </is>
      </c>
      <c r="I3" t="inlineStr">
        <is>
          <t>EstimatedRecoveryPower</t>
        </is>
      </c>
      <c r="J3" t="inlineStr">
        <is>
          <t>EstimatedRiskScore</t>
        </is>
      </c>
      <c r="K3" t="inlineStr">
        <is>
          <t>RecoveryEfficiency</t>
        </is>
      </c>
      <c r="L3" t="inlineStr">
        <is>
          <t>PassRiskFilter</t>
        </is>
      </c>
      <c r="M3" t="inlineStr">
        <is>
          <t>PassBrokerFilter</t>
        </is>
      </c>
      <c r="N3" t="inlineStr">
        <is>
          <t>PassSystemFilter</t>
        </is>
      </c>
      <c r="O3" t="inlineStr">
        <is>
          <t>TotalScore</t>
        </is>
      </c>
      <c r="P3" t="inlineStr">
        <is>
          <t>RecommendationRank</t>
        </is>
      </c>
    </row>
    <row r="4">
      <c r="A4" t="inlineStr">
        <is>
          <t>CONS_1</t>
        </is>
      </c>
      <c r="B4" t="n">
        <v>1.3</v>
      </c>
      <c r="C4" t="n">
        <v>100</v>
      </c>
      <c r="D4" t="n">
        <v>0.03</v>
      </c>
      <c r="E4" t="n">
        <v>3</v>
      </c>
      <c r="F4">
        <f>D4*B4</f>
        <v/>
      </c>
      <c r="G4">
        <f>D4</f>
        <v/>
      </c>
      <c r="H4">
        <f>'03_CORE_CALC'!B5+(D4+B4*D4)*E4</f>
        <v/>
      </c>
      <c r="I4">
        <f>(B4-1)*D4*C4</f>
        <v/>
      </c>
      <c r="J4">
        <f>H4/'14_OPTIMIZER_INPUT'!B18</f>
        <v/>
      </c>
      <c r="K4">
        <f>IF(J4=0,0,I4/J4)</f>
        <v/>
      </c>
      <c r="L4">
        <f>IF(H4&lt;='14_OPTIMIZER_INPUT'!B18,"YES","NO")</f>
        <v/>
      </c>
      <c r="M4">
        <f>IF(AND(D4&gt;=MinLot,D4&lt;=MaxLot,ABS(D4/LotStep-ROUND(D4/LotStep,0))&lt;0.0000001),"YES","NO")</f>
        <v/>
      </c>
      <c r="N4">
        <f>IF(AND(B4&gt;1,C4&gt;SpreadPoints,D4&gt;0,E4&gt;=1),"YES","NO")</f>
        <v/>
      </c>
      <c r="O4">
        <f>IF(AND(L4="YES",M4="YES",N4="YES"),K4-(J4*0.5),-999)</f>
        <v/>
      </c>
      <c r="P4">
        <f>RANK.EQ(O4,$O$4:$O$10,0)</f>
        <v/>
      </c>
    </row>
    <row r="5">
      <c r="A5" t="inlineStr">
        <is>
          <t>CONS_2</t>
        </is>
      </c>
      <c r="B5" t="n">
        <v>1.4</v>
      </c>
      <c r="C5" t="n">
        <v>90</v>
      </c>
      <c r="D5" t="n">
        <v>0.04</v>
      </c>
      <c r="E5" t="n">
        <v>3</v>
      </c>
      <c r="F5">
        <f>D5*B5</f>
        <v/>
      </c>
      <c r="G5">
        <f>D5</f>
        <v/>
      </c>
      <c r="H5">
        <f>'03_CORE_CALC'!B5+(D5+B5*D5)*E5</f>
        <v/>
      </c>
      <c r="I5">
        <f>(B5-1)*D5*C5</f>
        <v/>
      </c>
      <c r="J5">
        <f>H5/'14_OPTIMIZER_INPUT'!B18</f>
        <v/>
      </c>
      <c r="K5">
        <f>IF(J5=0,0,I5/J5)</f>
        <v/>
      </c>
      <c r="L5">
        <f>IF(H5&lt;='14_OPTIMIZER_INPUT'!B18,"YES","NO")</f>
        <v/>
      </c>
      <c r="M5">
        <f>IF(AND(D5&gt;=MinLot,D5&lt;=MaxLot,ABS(D5/LotStep-ROUND(D5/LotStep,0))&lt;0.0000001),"YES","NO")</f>
        <v/>
      </c>
      <c r="N5">
        <f>IF(AND(B5&gt;1,C5&gt;SpreadPoints,D5&gt;0,E5&gt;=1),"YES","NO")</f>
        <v/>
      </c>
      <c r="O5">
        <f>IF(AND(L5="YES",M5="YES",N5="YES"),K5-(J5*0.5),-999)</f>
        <v/>
      </c>
      <c r="P5">
        <f>RANK.EQ(O5,$O$4:$O$10,0)</f>
        <v/>
      </c>
    </row>
    <row r="6">
      <c r="A6" t="inlineStr">
        <is>
          <t>BAL_1</t>
        </is>
      </c>
      <c r="B6" t="n">
        <v>1.5</v>
      </c>
      <c r="C6" t="n">
        <v>70</v>
      </c>
      <c r="D6" t="n">
        <v>0.05</v>
      </c>
      <c r="E6" t="n">
        <v>4</v>
      </c>
      <c r="F6">
        <f>D6*B6</f>
        <v/>
      </c>
      <c r="G6">
        <f>D6</f>
        <v/>
      </c>
      <c r="H6">
        <f>'03_CORE_CALC'!B5+(D6+B6*D6)*E6</f>
        <v/>
      </c>
      <c r="I6">
        <f>(B6-1)*D6*C6</f>
        <v/>
      </c>
      <c r="J6">
        <f>H6/'14_OPTIMIZER_INPUT'!B18</f>
        <v/>
      </c>
      <c r="K6">
        <f>IF(J6=0,0,I6/J6)</f>
        <v/>
      </c>
      <c r="L6">
        <f>IF(H6&lt;='14_OPTIMIZER_INPUT'!B18,"YES","NO")</f>
        <v/>
      </c>
      <c r="M6">
        <f>IF(AND(D6&gt;=MinLot,D6&lt;=MaxLot,ABS(D6/LotStep-ROUND(D6/LotStep,0))&lt;0.0000001),"YES","NO")</f>
        <v/>
      </c>
      <c r="N6">
        <f>IF(AND(B6&gt;1,C6&gt;SpreadPoints,D6&gt;0,E6&gt;=1),"YES","NO")</f>
        <v/>
      </c>
      <c r="O6">
        <f>IF(AND(L6="YES",M6="YES",N6="YES"),K6-(J6*0.5),-999)</f>
        <v/>
      </c>
      <c r="P6">
        <f>RANK.EQ(O6,$O$4:$O$10,0)</f>
        <v/>
      </c>
    </row>
    <row r="7">
      <c r="A7" t="inlineStr">
        <is>
          <t>BAL_2</t>
        </is>
      </c>
      <c r="B7" t="n">
        <v>1.6</v>
      </c>
      <c r="C7" t="n">
        <v>60</v>
      </c>
      <c r="D7" t="n">
        <v>0.06</v>
      </c>
      <c r="E7" t="n">
        <v>5</v>
      </c>
      <c r="F7">
        <f>D7*B7</f>
        <v/>
      </c>
      <c r="G7">
        <f>D7</f>
        <v/>
      </c>
      <c r="H7">
        <f>'03_CORE_CALC'!B5+(D7+B7*D7)*E7</f>
        <v/>
      </c>
      <c r="I7">
        <f>(B7-1)*D7*C7</f>
        <v/>
      </c>
      <c r="J7">
        <f>H7/'14_OPTIMIZER_INPUT'!B18</f>
        <v/>
      </c>
      <c r="K7">
        <f>IF(J7=0,0,I7/J7)</f>
        <v/>
      </c>
      <c r="L7">
        <f>IF(H7&lt;='14_OPTIMIZER_INPUT'!B18,"YES","NO")</f>
        <v/>
      </c>
      <c r="M7">
        <f>IF(AND(D7&gt;=MinLot,D7&lt;=MaxLot,ABS(D7/LotStep-ROUND(D7/LotStep,0))&lt;0.0000001),"YES","NO")</f>
        <v/>
      </c>
      <c r="N7">
        <f>IF(AND(B7&gt;1,C7&gt;SpreadPoints,D7&gt;0,E7&gt;=1),"YES","NO")</f>
        <v/>
      </c>
      <c r="O7">
        <f>IF(AND(L7="YES",M7="YES",N7="YES"),K7-(J7*0.5),-999)</f>
        <v/>
      </c>
      <c r="P7">
        <f>RANK.EQ(O7,$O$4:$O$10,0)</f>
        <v/>
      </c>
    </row>
    <row r="8">
      <c r="A8" t="inlineStr">
        <is>
          <t>AGG_1</t>
        </is>
      </c>
      <c r="B8" t="n">
        <v>1.7</v>
      </c>
      <c r="C8" t="n">
        <v>50</v>
      </c>
      <c r="D8" t="n">
        <v>0.08</v>
      </c>
      <c r="E8" t="n">
        <v>6</v>
      </c>
      <c r="F8">
        <f>D8*B8</f>
        <v/>
      </c>
      <c r="G8">
        <f>D8</f>
        <v/>
      </c>
      <c r="H8">
        <f>'03_CORE_CALC'!B5+(D8+B8*D8)*E8</f>
        <v/>
      </c>
      <c r="I8">
        <f>(B8-1)*D8*C8</f>
        <v/>
      </c>
      <c r="J8">
        <f>H8/'14_OPTIMIZER_INPUT'!B18</f>
        <v/>
      </c>
      <c r="K8">
        <f>IF(J8=0,0,I8/J8)</f>
        <v/>
      </c>
      <c r="L8">
        <f>IF(H8&lt;='14_OPTIMIZER_INPUT'!B18,"YES","NO")</f>
        <v/>
      </c>
      <c r="M8">
        <f>IF(AND(D8&gt;=MinLot,D8&lt;=MaxLot,ABS(D8/LotStep-ROUND(D8/LotStep,0))&lt;0.0000001),"YES","NO")</f>
        <v/>
      </c>
      <c r="N8">
        <f>IF(AND(B8&gt;1,C8&gt;SpreadPoints,D8&gt;0,E8&gt;=1),"YES","NO")</f>
        <v/>
      </c>
      <c r="O8">
        <f>IF(AND(L8="YES",M8="YES",N8="YES"),K8-(J8*0.5),-999)</f>
        <v/>
      </c>
      <c r="P8">
        <f>RANK.EQ(O8,$O$4:$O$10,0)</f>
        <v/>
      </c>
    </row>
    <row r="9">
      <c r="A9" t="inlineStr">
        <is>
          <t>AGG_2</t>
        </is>
      </c>
      <c r="B9" t="n">
        <v>1.9</v>
      </c>
      <c r="C9" t="n">
        <v>40</v>
      </c>
      <c r="D9" t="n">
        <v>0.1</v>
      </c>
      <c r="E9" t="n">
        <v>7</v>
      </c>
      <c r="F9">
        <f>D9*B9</f>
        <v/>
      </c>
      <c r="G9">
        <f>D9</f>
        <v/>
      </c>
      <c r="H9">
        <f>'03_CORE_CALC'!B5+(D9+B9*D9)*E9</f>
        <v/>
      </c>
      <c r="I9">
        <f>(B9-1)*D9*C9</f>
        <v/>
      </c>
      <c r="J9">
        <f>H9/'14_OPTIMIZER_INPUT'!B18</f>
        <v/>
      </c>
      <c r="K9">
        <f>IF(J9=0,0,I9/J9)</f>
        <v/>
      </c>
      <c r="L9">
        <f>IF(H9&lt;='14_OPTIMIZER_INPUT'!B18,"YES","NO")</f>
        <v/>
      </c>
      <c r="M9">
        <f>IF(AND(D9&gt;=MinLot,D9&lt;=MaxLot,ABS(D9/LotStep-ROUND(D9/LotStep,0))&lt;0.0000001),"YES","NO")</f>
        <v/>
      </c>
      <c r="N9">
        <f>IF(AND(B9&gt;1,C9&gt;SpreadPoints,D9&gt;0,E9&gt;=1),"YES","NO")</f>
        <v/>
      </c>
      <c r="O9">
        <f>IF(AND(L9="YES",M9="YES",N9="YES"),K9-(J9*0.5),-999)</f>
        <v/>
      </c>
      <c r="P9">
        <f>RANK.EQ(O9,$O$4:$O$10,0)</f>
        <v/>
      </c>
    </row>
    <row r="10">
      <c r="A10" t="inlineStr">
        <is>
          <t>CUS_1</t>
        </is>
      </c>
      <c r="B10" t="n">
        <v>1.45</v>
      </c>
      <c r="C10" t="n">
        <v>80</v>
      </c>
      <c r="D10" t="n">
        <v>0.04</v>
      </c>
      <c r="E10" t="n">
        <v>4</v>
      </c>
      <c r="F10">
        <f>D10*B10</f>
        <v/>
      </c>
      <c r="G10">
        <f>D10</f>
        <v/>
      </c>
      <c r="H10">
        <f>'03_CORE_CALC'!B5+(D10+B10*D10)*E10</f>
        <v/>
      </c>
      <c r="I10">
        <f>(B10-1)*D10*C10</f>
        <v/>
      </c>
      <c r="J10">
        <f>H10/'14_OPTIMIZER_INPUT'!B18</f>
        <v/>
      </c>
      <c r="K10">
        <f>IF(J10=0,0,I10/J10)</f>
        <v/>
      </c>
      <c r="L10">
        <f>IF(H10&lt;='14_OPTIMIZER_INPUT'!B18,"YES","NO")</f>
        <v/>
      </c>
      <c r="M10">
        <f>IF(AND(D10&gt;=MinLot,D10&lt;=MaxLot,ABS(D10/LotStep-ROUND(D10/LotStep,0))&lt;0.0000001),"YES","NO")</f>
        <v/>
      </c>
      <c r="N10">
        <f>IF(AND(B10&gt;1,C10&gt;SpreadPoints,D10&gt;0,E10&gt;=1),"YES","NO")</f>
        <v/>
      </c>
      <c r="O10">
        <f>IF(AND(L10="YES",M10="YES",N10="YES"),K10-(J10*0.5),-999)</f>
        <v/>
      </c>
      <c r="P10">
        <f>RANK.EQ(O10,$O$4:$O$10,0)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РЕКОМЕНДОВАННЫЕ ПАРАМЕТРЫ</t>
        </is>
      </c>
    </row>
    <row r="3">
      <c r="A3" t="inlineStr">
        <is>
          <t>Лучший вариант</t>
        </is>
      </c>
      <c r="B3">
        <f>IFERROR(INDEX('15_OPTIMIZER_TABLE'!A:A,MATCH(1,'15_OPTIMIZER_TABLE'!P:P,0)),"NO VALID PARAMS")</f>
        <v/>
      </c>
    </row>
    <row r="5">
      <c r="A5" t="inlineStr">
        <is>
          <t>Recommended K</t>
        </is>
      </c>
      <c r="B5">
        <f>IFERROR(INDEX('15_OPTIMIZER_TABLE'!B:B,MATCH(1,'15_OPTIMIZER_TABLE'!P:P,0)),0)</f>
        <v/>
      </c>
    </row>
    <row r="6">
      <c r="A6" t="inlineStr">
        <is>
          <t>Recommended Step</t>
        </is>
      </c>
      <c r="B6">
        <f>IFERROR(INDEX('15_OPTIMIZER_TABLE'!C:C,MATCH(1,'15_OPTIMIZER_TABLE'!P:P,0)),0)</f>
        <v/>
      </c>
    </row>
    <row r="7">
      <c r="A7" t="inlineStr">
        <is>
          <t>Recommended BaseLot</t>
        </is>
      </c>
      <c r="B7">
        <f>IFERROR(INDEX('15_OPTIMIZER_TABLE'!D:D,MATCH(1,'15_OPTIMIZER_TABLE'!P:P,0)),0)</f>
        <v/>
      </c>
    </row>
    <row r="8">
      <c r="A8" t="inlineStr">
        <is>
          <t>Recommended MaxLevels</t>
        </is>
      </c>
      <c r="B8">
        <f>IFERROR(INDEX('15_OPTIMIZER_TABLE'!E:E,MATCH(1,'15_OPTIMIZER_TABLE'!P:P,0)),0)</f>
        <v/>
      </c>
    </row>
    <row r="9">
      <c r="A9" t="inlineStr">
        <is>
          <t>Expected BigLot</t>
        </is>
      </c>
      <c r="B9">
        <f>IFERROR(INDEX('15_OPTIMIZER_TABLE'!F:F,MATCH(1,'15_OPTIMIZER_TABLE'!P:P,0)),0)</f>
        <v/>
      </c>
    </row>
    <row r="10">
      <c r="A10" t="inlineStr">
        <is>
          <t>MaxTheoreticalLot</t>
        </is>
      </c>
      <c r="B10">
        <f>IFERROR(INDEX('15_OPTIMIZER_TABLE'!H:H,MATCH(1,'15_OPTIMIZER_TABLE'!P:P,0)),0)</f>
        <v/>
      </c>
    </row>
    <row r="11">
      <c r="A11" t="inlineStr">
        <is>
          <t>RecoveryEfficiency</t>
        </is>
      </c>
      <c r="B11">
        <f>IFERROR(INDEX('15_OPTIMIZER_TABLE'!K:K,MATCH(1,'15_OPTIMIZER_TABLE'!P:P,0)),0)</f>
        <v/>
      </c>
    </row>
    <row r="12">
      <c r="A12" t="inlineStr">
        <is>
          <t>RiskScore</t>
        </is>
      </c>
      <c r="B12">
        <f>IFERROR(INDEX('15_OPTIMIZER_TABLE'!J:J,MATCH(1,'15_OPTIMIZER_TABLE'!P:P,0)),0)</f>
        <v/>
      </c>
    </row>
    <row r="13">
      <c r="A13" t="inlineStr">
        <is>
          <t>Итоговый риск</t>
        </is>
      </c>
      <c r="B13">
        <f>IF(B12&lt;0.5,"LOW",IF(B12&lt;0.8,"MEDIUM","HIGH"))</f>
        <v/>
      </c>
    </row>
    <row r="15">
      <c r="A15" t="inlineStr">
        <is>
          <t>Рекомендация</t>
        </is>
      </c>
      <c r="B15">
        <f>IF(B13="LOW","Можно использовать как консервативный вариант",IF(B13="MEDIUM","Допустимо при контроле риска","Высокий риск, использовать осторожно"))</f>
        <v/>
      </c>
    </row>
    <row r="17">
      <c r="A17" t="inlineStr">
        <is>
          <t>OptimizerStatus</t>
        </is>
      </c>
      <c r="B17">
        <f>IF(B3="NO VALID PARAMS","NO VALID PARAMS","OK")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ОПТИМИЗАТОРА</t>
        </is>
      </c>
    </row>
    <row r="3">
      <c r="A3" t="inlineStr">
        <is>
          <t>Текущие параметры пользователя</t>
        </is>
      </c>
    </row>
    <row r="4">
      <c r="A4" t="inlineStr">
        <is>
          <t>BaseLot</t>
        </is>
      </c>
      <c r="B4">
        <f>UserBaseLot</f>
        <v/>
      </c>
    </row>
    <row r="5">
      <c r="A5" t="inlineStr">
        <is>
          <t>K</t>
        </is>
      </c>
      <c r="B5">
        <f>UserK</f>
        <v/>
      </c>
    </row>
    <row r="6">
      <c r="A6" t="inlineStr">
        <is>
          <t>Step</t>
        </is>
      </c>
      <c r="B6">
        <f>UserStep</f>
        <v/>
      </c>
    </row>
    <row r="8">
      <c r="A8" t="inlineStr">
        <is>
          <t>Рекомендованные параметры</t>
        </is>
      </c>
    </row>
    <row r="9">
      <c r="A9" t="inlineStr">
        <is>
          <t>Recommended BaseLot</t>
        </is>
      </c>
      <c r="B9">
        <f>'16_OPTIMIZER_RESULT'!B7</f>
        <v/>
      </c>
    </row>
    <row r="10">
      <c r="A10" t="inlineStr">
        <is>
          <t>Recommended K</t>
        </is>
      </c>
      <c r="B10">
        <f>'16_OPTIMIZER_RESULT'!B5</f>
        <v/>
      </c>
    </row>
    <row r="11">
      <c r="A11" t="inlineStr">
        <is>
          <t>Recommended Step</t>
        </is>
      </c>
      <c r="B11">
        <f>'16_OPTIMIZER_RESULT'!B6</f>
        <v/>
      </c>
    </row>
    <row r="13">
      <c r="A13" t="inlineStr">
        <is>
          <t>Сравнение</t>
        </is>
      </c>
    </row>
    <row r="14">
      <c r="A14" t="inlineStr">
        <is>
          <t>User RiskScore</t>
        </is>
      </c>
      <c r="B14">
        <f>IF(MaxTotalLot=0,0,(UserBaseLot+UserBaseLot*UserK)/MaxTotalLot)</f>
        <v/>
      </c>
    </row>
    <row r="15">
      <c r="A15" t="inlineStr">
        <is>
          <t>Recommended RiskScore</t>
        </is>
      </c>
      <c r="B15">
        <f>'16_OPTIMIZER_RESULT'!B12</f>
        <v/>
      </c>
    </row>
    <row r="16">
      <c r="A16" t="inlineStr">
        <is>
          <t>User RecoveryPower</t>
        </is>
      </c>
      <c r="B16">
        <f>((UserK-1)*UserBaseLot*UserStep)</f>
        <v/>
      </c>
    </row>
    <row r="17">
      <c r="A17" t="inlineStr">
        <is>
          <t>Recommended RecoveryPower</t>
        </is>
      </c>
      <c r="B17">
        <f>'16_OPTIMIZER_RESULT'!B11</f>
        <v/>
      </c>
    </row>
    <row r="19">
      <c r="A19" t="inlineStr">
        <is>
          <t>Вывод</t>
        </is>
      </c>
      <c r="B19">
        <f>IF(B15&lt;B14,"Рекомендуемые параметры безопаснее текущих",IF(B17&gt;B16,"Рекомендуемые параметры эффективнее","Параметры сопоставимы"))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СТРЕСС-ТЕСТ СИСТЕМЫ</t>
        </is>
      </c>
    </row>
    <row r="3">
      <c r="A3" t="inlineStr">
        <is>
          <t>StressMode</t>
        </is>
      </c>
      <c r="B3" t="inlineStr">
        <is>
          <t>UP</t>
        </is>
      </c>
    </row>
    <row r="4">
      <c r="A4" t="inlineStr">
        <is>
          <t>StartPrice</t>
        </is>
      </c>
      <c r="B4">
        <f>CurrentPrice</f>
        <v/>
      </c>
    </row>
    <row r="5">
      <c r="A5" t="inlineStr">
        <is>
          <t>StepSizePoints</t>
        </is>
      </c>
      <c r="B5" t="n">
        <v>50</v>
      </c>
    </row>
    <row r="6">
      <c r="A6" t="inlineStr">
        <is>
          <t>NumberOfSteps</t>
        </is>
      </c>
      <c r="B6" t="n">
        <v>20</v>
      </c>
    </row>
    <row r="7">
      <c r="A7" t="inlineStr">
        <is>
          <t>UseEffectiveParams</t>
        </is>
      </c>
      <c r="B7" t="inlineStr">
        <is>
          <t>YES</t>
        </is>
      </c>
    </row>
    <row r="8">
      <c r="A8" t="inlineStr">
        <is>
          <t>IncludeSpread</t>
        </is>
      </c>
      <c r="B8" t="inlineStr">
        <is>
          <t>YES</t>
        </is>
      </c>
    </row>
    <row r="9">
      <c r="A9" t="inlineStr">
        <is>
          <t>IncludeCommission</t>
        </is>
      </c>
      <c r="B9" t="inlineStr">
        <is>
          <t>YES</t>
        </is>
      </c>
    </row>
    <row r="10">
      <c r="A10" t="inlineStr">
        <is>
          <t>StopIfSafeMode</t>
        </is>
      </c>
      <c r="B10" t="inlineStr">
        <is>
          <t>YES</t>
        </is>
      </c>
    </row>
    <row r="11">
      <c r="A11" t="inlineStr">
        <is>
          <t>StopIfFullClose</t>
        </is>
      </c>
      <c r="B11" t="inlineStr">
        <is>
          <t>YES</t>
        </is>
      </c>
    </row>
    <row r="12">
      <c r="A12" t="inlineStr">
        <is>
          <t>MaxSimulationLot</t>
        </is>
      </c>
      <c r="B12">
        <f>MaxTotalLot</f>
        <v/>
      </c>
    </row>
    <row r="13">
      <c r="A13" t="inlineStr">
        <is>
          <t>InitialBasketProfit</t>
        </is>
      </c>
      <c r="B13">
        <f>'03_CORE_CALC'!B9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ПУТЬ ЦЕНЫ ДЛЯ СТРЕСС-ТЕСТА</t>
        </is>
      </c>
    </row>
    <row r="3">
      <c r="A3" t="inlineStr">
        <is>
          <t>StepNo</t>
        </is>
      </c>
      <c r="B3" t="inlineStr">
        <is>
          <t>Direction</t>
        </is>
      </c>
      <c r="C3" t="inlineStr">
        <is>
          <t>DeltaPoints</t>
        </is>
      </c>
      <c r="D3" t="inlineStr">
        <is>
          <t>Price</t>
        </is>
      </c>
      <c r="E3" t="inlineStr">
        <is>
          <t>Comment</t>
        </is>
      </c>
    </row>
    <row r="4">
      <c r="A4" t="n">
        <v>1</v>
      </c>
      <c r="B4">
        <f>IF('18_STRESS_INPUT'!$B$3="UP","UP",IF('18_STRESS_INPUT'!$B$3="DOWN","DOWN",IF('18_STRESS_INPUT'!$B$3="SAW",IF(MOD(A4,2)=1,"UP","DOWN"),"MANUAL")))</f>
        <v/>
      </c>
      <c r="C4">
        <f>IF(B4="UP",'18_STRESS_INPUT'!$B$5,IF(B4="DOWN",-1*'18_STRESS_INPUT'!$B$5,0))</f>
        <v/>
      </c>
      <c r="D4">
        <f>'18_STRESS_INPUT'!$B$4+C4*Point</f>
        <v/>
      </c>
    </row>
    <row r="5">
      <c r="A5">
        <f>A4+1</f>
        <v/>
      </c>
      <c r="B5">
        <f>IF('18_STRESS_INPUT'!$B$3="UP","UP",IF('18_STRESS_INPUT'!$B$3="DOWN","DOWN",IF('18_STRESS_INPUT'!$B$3="SAW",IF(MOD(A5,2)=1,"UP","DOWN"),"MANUAL")))</f>
        <v/>
      </c>
      <c r="C5">
        <f>IF(B5="UP",'18_STRESS_INPUT'!$B$5,IF(B5="DOWN",-1*'18_STRESS_INPUT'!$B$5,0))</f>
        <v/>
      </c>
      <c r="D5">
        <f>D4+C5*Point</f>
        <v/>
      </c>
    </row>
    <row r="6">
      <c r="A6">
        <f>A5+1</f>
        <v/>
      </c>
      <c r="B6">
        <f>IF('18_STRESS_INPUT'!$B$3="UP","UP",IF('18_STRESS_INPUT'!$B$3="DOWN","DOWN",IF('18_STRESS_INPUT'!$B$3="SAW",IF(MOD(A6,2)=1,"UP","DOWN"),"MANUAL")))</f>
        <v/>
      </c>
      <c r="C6">
        <f>IF(B6="UP",'18_STRESS_INPUT'!$B$5,IF(B6="DOWN",-1*'18_STRESS_INPUT'!$B$5,0))</f>
        <v/>
      </c>
      <c r="D6">
        <f>D5+C6*Point</f>
        <v/>
      </c>
    </row>
    <row r="7">
      <c r="A7">
        <f>A6+1</f>
        <v/>
      </c>
      <c r="B7">
        <f>IF('18_STRESS_INPUT'!$B$3="UP","UP",IF('18_STRESS_INPUT'!$B$3="DOWN","DOWN",IF('18_STRESS_INPUT'!$B$3="SAW",IF(MOD(A7,2)=1,"UP","DOWN"),"MANUAL")))</f>
        <v/>
      </c>
      <c r="C7">
        <f>IF(B7="UP",'18_STRESS_INPUT'!$B$5,IF(B7="DOWN",-1*'18_STRESS_INPUT'!$B$5,0))</f>
        <v/>
      </c>
      <c r="D7">
        <f>D6+C7*Point</f>
        <v/>
      </c>
    </row>
    <row r="8">
      <c r="A8">
        <f>A7+1</f>
        <v/>
      </c>
      <c r="B8">
        <f>IF('18_STRESS_INPUT'!$B$3="UP","UP",IF('18_STRESS_INPUT'!$B$3="DOWN","DOWN",IF('18_STRESS_INPUT'!$B$3="SAW",IF(MOD(A8,2)=1,"UP","DOWN"),"MANUAL")))</f>
        <v/>
      </c>
      <c r="C8">
        <f>IF(B8="UP",'18_STRESS_INPUT'!$B$5,IF(B8="DOWN",-1*'18_STRESS_INPUT'!$B$5,0))</f>
        <v/>
      </c>
      <c r="D8">
        <f>D7+C8*Point</f>
        <v/>
      </c>
    </row>
    <row r="9">
      <c r="A9">
        <f>A8+1</f>
        <v/>
      </c>
      <c r="B9">
        <f>IF('18_STRESS_INPUT'!$B$3="UP","UP",IF('18_STRESS_INPUT'!$B$3="DOWN","DOWN",IF('18_STRESS_INPUT'!$B$3="SAW",IF(MOD(A9,2)=1,"UP","DOWN"),"MANUAL")))</f>
        <v/>
      </c>
      <c r="C9">
        <f>IF(B9="UP",'18_STRESS_INPUT'!$B$5,IF(B9="DOWN",-1*'18_STRESS_INPUT'!$B$5,0))</f>
        <v/>
      </c>
      <c r="D9">
        <f>D8+C9*Point</f>
        <v/>
      </c>
    </row>
    <row r="10">
      <c r="A10">
        <f>A9+1</f>
        <v/>
      </c>
      <c r="B10">
        <f>IF('18_STRESS_INPUT'!$B$3="UP","UP",IF('18_STRESS_INPUT'!$B$3="DOWN","DOWN",IF('18_STRESS_INPUT'!$B$3="SAW",IF(MOD(A10,2)=1,"UP","DOWN"),"MANUAL")))</f>
        <v/>
      </c>
      <c r="C10">
        <f>IF(B10="UP",'18_STRESS_INPUT'!$B$5,IF(B10="DOWN",-1*'18_STRESS_INPUT'!$B$5,0))</f>
        <v/>
      </c>
      <c r="D10">
        <f>D9+C10*Point</f>
        <v/>
      </c>
    </row>
    <row r="11">
      <c r="A11">
        <f>A10+1</f>
        <v/>
      </c>
      <c r="B11">
        <f>IF('18_STRESS_INPUT'!$B$3="UP","UP",IF('18_STRESS_INPUT'!$B$3="DOWN","DOWN",IF('18_STRESS_INPUT'!$B$3="SAW",IF(MOD(A11,2)=1,"UP","DOWN"),"MANUAL")))</f>
        <v/>
      </c>
      <c r="C11">
        <f>IF(B11="UP",'18_STRESS_INPUT'!$B$5,IF(B11="DOWN",-1*'18_STRESS_INPUT'!$B$5,0))</f>
        <v/>
      </c>
      <c r="D11">
        <f>D10+C11*Point</f>
        <v/>
      </c>
    </row>
    <row r="12">
      <c r="A12">
        <f>A11+1</f>
        <v/>
      </c>
      <c r="B12">
        <f>IF('18_STRESS_INPUT'!$B$3="UP","UP",IF('18_STRESS_INPUT'!$B$3="DOWN","DOWN",IF('18_STRESS_INPUT'!$B$3="SAW",IF(MOD(A12,2)=1,"UP","DOWN"),"MANUAL")))</f>
        <v/>
      </c>
      <c r="C12">
        <f>IF(B12="UP",'18_STRESS_INPUT'!$B$5,IF(B12="DOWN",-1*'18_STRESS_INPUT'!$B$5,0))</f>
        <v/>
      </c>
      <c r="D12">
        <f>D11+C12*Point</f>
        <v/>
      </c>
    </row>
    <row r="13">
      <c r="A13">
        <f>A12+1</f>
        <v/>
      </c>
      <c r="B13">
        <f>IF('18_STRESS_INPUT'!$B$3="UP","UP",IF('18_STRESS_INPUT'!$B$3="DOWN","DOWN",IF('18_STRESS_INPUT'!$B$3="SAW",IF(MOD(A13,2)=1,"UP","DOWN"),"MANUAL")))</f>
        <v/>
      </c>
      <c r="C13">
        <f>IF(B13="UP",'18_STRESS_INPUT'!$B$5,IF(B13="DOWN",-1*'18_STRESS_INPUT'!$B$5,0))</f>
        <v/>
      </c>
      <c r="D13">
        <f>D12+C13*Point</f>
        <v/>
      </c>
    </row>
    <row r="14">
      <c r="A14">
        <f>A13+1</f>
        <v/>
      </c>
      <c r="B14">
        <f>IF('18_STRESS_INPUT'!$B$3="UP","UP",IF('18_STRESS_INPUT'!$B$3="DOWN","DOWN",IF('18_STRESS_INPUT'!$B$3="SAW",IF(MOD(A14,2)=1,"UP","DOWN"),"MANUAL")))</f>
        <v/>
      </c>
      <c r="C14">
        <f>IF(B14="UP",'18_STRESS_INPUT'!$B$5,IF(B14="DOWN",-1*'18_STRESS_INPUT'!$B$5,0))</f>
        <v/>
      </c>
      <c r="D14">
        <f>D13+C14*Point</f>
        <v/>
      </c>
    </row>
    <row r="15">
      <c r="A15">
        <f>A14+1</f>
        <v/>
      </c>
      <c r="B15">
        <f>IF('18_STRESS_INPUT'!$B$3="UP","UP",IF('18_STRESS_INPUT'!$B$3="DOWN","DOWN",IF('18_STRESS_INPUT'!$B$3="SAW",IF(MOD(A15,2)=1,"UP","DOWN"),"MANUAL")))</f>
        <v/>
      </c>
      <c r="C15">
        <f>IF(B15="UP",'18_STRESS_INPUT'!$B$5,IF(B15="DOWN",-1*'18_STRESS_INPUT'!$B$5,0))</f>
        <v/>
      </c>
      <c r="D15">
        <f>D14+C15*Point</f>
        <v/>
      </c>
    </row>
    <row r="16">
      <c r="A16">
        <f>A15+1</f>
        <v/>
      </c>
      <c r="B16">
        <f>IF('18_STRESS_INPUT'!$B$3="UP","UP",IF('18_STRESS_INPUT'!$B$3="DOWN","DOWN",IF('18_STRESS_INPUT'!$B$3="SAW",IF(MOD(A16,2)=1,"UP","DOWN"),"MANUAL")))</f>
        <v/>
      </c>
      <c r="C16">
        <f>IF(B16="UP",'18_STRESS_INPUT'!$B$5,IF(B16="DOWN",-1*'18_STRESS_INPUT'!$B$5,0))</f>
        <v/>
      </c>
      <c r="D16">
        <f>D15+C16*Point</f>
        <v/>
      </c>
    </row>
    <row r="17">
      <c r="A17">
        <f>A16+1</f>
        <v/>
      </c>
      <c r="B17">
        <f>IF('18_STRESS_INPUT'!$B$3="UP","UP",IF('18_STRESS_INPUT'!$B$3="DOWN","DOWN",IF('18_STRESS_INPUT'!$B$3="SAW",IF(MOD(A17,2)=1,"UP","DOWN"),"MANUAL")))</f>
        <v/>
      </c>
      <c r="C17">
        <f>IF(B17="UP",'18_STRESS_INPUT'!$B$5,IF(B17="DOWN",-1*'18_STRESS_INPUT'!$B$5,0))</f>
        <v/>
      </c>
      <c r="D17">
        <f>D16+C17*Point</f>
        <v/>
      </c>
    </row>
    <row r="18">
      <c r="A18">
        <f>A17+1</f>
        <v/>
      </c>
      <c r="B18">
        <f>IF('18_STRESS_INPUT'!$B$3="UP","UP",IF('18_STRESS_INPUT'!$B$3="DOWN","DOWN",IF('18_STRESS_INPUT'!$B$3="SAW",IF(MOD(A18,2)=1,"UP","DOWN"),"MANUAL")))</f>
        <v/>
      </c>
      <c r="C18">
        <f>IF(B18="UP",'18_STRESS_INPUT'!$B$5,IF(B18="DOWN",-1*'18_STRESS_INPUT'!$B$5,0))</f>
        <v/>
      </c>
      <c r="D18">
        <f>D17+C18*Point</f>
        <v/>
      </c>
    </row>
    <row r="19">
      <c r="A19">
        <f>A18+1</f>
        <v/>
      </c>
      <c r="B19">
        <f>IF('18_STRESS_INPUT'!$B$3="UP","UP",IF('18_STRESS_INPUT'!$B$3="DOWN","DOWN",IF('18_STRESS_INPUT'!$B$3="SAW",IF(MOD(A19,2)=1,"UP","DOWN"),"MANUAL")))</f>
        <v/>
      </c>
      <c r="C19">
        <f>IF(B19="UP",'18_STRESS_INPUT'!$B$5,IF(B19="DOWN",-1*'18_STRESS_INPUT'!$B$5,0))</f>
        <v/>
      </c>
      <c r="D19">
        <f>D18+C19*Point</f>
        <v/>
      </c>
    </row>
    <row r="20">
      <c r="A20">
        <f>A19+1</f>
        <v/>
      </c>
      <c r="B20">
        <f>IF('18_STRESS_INPUT'!$B$3="UP","UP",IF('18_STRESS_INPUT'!$B$3="DOWN","DOWN",IF('18_STRESS_INPUT'!$B$3="SAW",IF(MOD(A20,2)=1,"UP","DOWN"),"MANUAL")))</f>
        <v/>
      </c>
      <c r="C20">
        <f>IF(B20="UP",'18_STRESS_INPUT'!$B$5,IF(B20="DOWN",-1*'18_STRESS_INPUT'!$B$5,0))</f>
        <v/>
      </c>
      <c r="D20">
        <f>D19+C20*Point</f>
        <v/>
      </c>
    </row>
    <row r="21">
      <c r="A21">
        <f>A20+1</f>
        <v/>
      </c>
      <c r="B21">
        <f>IF('18_STRESS_INPUT'!$B$3="UP","UP",IF('18_STRESS_INPUT'!$B$3="DOWN","DOWN",IF('18_STRESS_INPUT'!$B$3="SAW",IF(MOD(A21,2)=1,"UP","DOWN"),"MANUAL")))</f>
        <v/>
      </c>
      <c r="C21">
        <f>IF(B21="UP",'18_STRESS_INPUT'!$B$5,IF(B21="DOWN",-1*'18_STRESS_INPUT'!$B$5,0))</f>
        <v/>
      </c>
      <c r="D21">
        <f>D20+C21*Point</f>
        <v/>
      </c>
    </row>
    <row r="22">
      <c r="A22">
        <f>A21+1</f>
        <v/>
      </c>
      <c r="B22">
        <f>IF('18_STRESS_INPUT'!$B$3="UP","UP",IF('18_STRESS_INPUT'!$B$3="DOWN","DOWN",IF('18_STRESS_INPUT'!$B$3="SAW",IF(MOD(A22,2)=1,"UP","DOWN"),"MANUAL")))</f>
        <v/>
      </c>
      <c r="C22">
        <f>IF(B22="UP",'18_STRESS_INPUT'!$B$5,IF(B22="DOWN",-1*'18_STRESS_INPUT'!$B$5,0))</f>
        <v/>
      </c>
      <c r="D22">
        <f>D21+C22*Point</f>
        <v/>
      </c>
    </row>
    <row r="23">
      <c r="A23">
        <f>A22+1</f>
        <v/>
      </c>
      <c r="B23">
        <f>IF('18_STRESS_INPUT'!$B$3="UP","UP",IF('18_STRESS_INPUT'!$B$3="DOWN","DOWN",IF('18_STRESS_INPUT'!$B$3="SAW",IF(MOD(A23,2)=1,"UP","DOWN"),"MANUAL")))</f>
        <v/>
      </c>
      <c r="C23">
        <f>IF(B23="UP",'18_STRESS_INPUT'!$B$5,IF(B23="DOWN",-1*'18_STRESS_INPUT'!$B$5,0))</f>
        <v/>
      </c>
      <c r="D23">
        <f>D22+C23*Point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СИМУЛЯЦИЯ СЕРИИ ШАГОВ</t>
        </is>
      </c>
    </row>
    <row r="3">
      <c r="A3" t="inlineStr">
        <is>
          <t>StepNo</t>
        </is>
      </c>
      <c r="B3" t="inlineStr">
        <is>
          <t>Price</t>
        </is>
      </c>
      <c r="C3" t="inlineStr">
        <is>
          <t>Direction</t>
        </is>
      </c>
      <c r="D3" t="inlineStr">
        <is>
          <t>Decision</t>
        </is>
      </c>
      <c r="E3" t="inlineStr">
        <is>
          <t>OpenBuyLot</t>
        </is>
      </c>
      <c r="F3" t="inlineStr">
        <is>
          <t>OpenSellLot</t>
        </is>
      </c>
      <c r="G3" t="inlineStr">
        <is>
          <t>PartialCloseSide</t>
        </is>
      </c>
      <c r="H3" t="inlineStr">
        <is>
          <t>PartialCloseLot</t>
        </is>
      </c>
      <c r="I3" t="inlineStr">
        <is>
          <t>FullClose</t>
        </is>
      </c>
      <c r="J3" t="inlineStr">
        <is>
          <t>TotalBuyLot</t>
        </is>
      </c>
      <c r="K3" t="inlineStr">
        <is>
          <t>TotalSellLot</t>
        </is>
      </c>
      <c r="L3" t="inlineStr">
        <is>
          <t>NetLot</t>
        </is>
      </c>
      <c r="M3" t="inlineStr">
        <is>
          <t>BasketProfit</t>
        </is>
      </c>
      <c r="N3" t="inlineStr">
        <is>
          <t>MaxFloatingDrawdown</t>
        </is>
      </c>
      <c r="O3" t="inlineStr">
        <is>
          <t>SafeMode</t>
        </is>
      </c>
      <c r="P3" t="inlineStr">
        <is>
          <t>TotalLot</t>
        </is>
      </c>
      <c r="Q3" t="inlineStr">
        <is>
          <t>Comment</t>
        </is>
      </c>
    </row>
    <row r="4">
      <c r="A4">
        <f>'19_STRESS_PATH'!A4</f>
        <v/>
      </c>
      <c r="B4">
        <f>'19_STRESS_PATH'!D4</f>
        <v/>
      </c>
      <c r="C4">
        <f>'19_STRESS_PATH'!B4</f>
        <v/>
      </c>
      <c r="D4">
        <f>IF(OR(ValidationStatus="ERROR",'16_OPTIMIZER_RESULT'!B17="NO VALID PARAMS"),"PARAMETER ERROR",IF(O4="YES","SAFE MODE",IF(I4="YES","FULL CLOSE",IF(ABS(B4-'03_CORE_CALC'!B12)&gt;=EffectiveStep*Point,"OPEN BLOCK","WAIT"))))</f>
        <v/>
      </c>
      <c r="E4">
        <f>IF(D4="OPEN BLOCK",IF(C4="UP",EffectiveBaseLot*EffectiveK,EffectiveBaseLot),0)</f>
        <v/>
      </c>
      <c r="F4">
        <f>IF(D4="OPEN BLOCK",IF(C4="DOWN",EffectiveBaseLot*EffectiveK,EffectiveBaseLot),0)</f>
        <v/>
      </c>
      <c r="G4">
        <f>IF(D4="PARTIAL CLOSE",IF(L4&gt;0,"BUY","SELL"),"-")</f>
        <v/>
      </c>
      <c r="H4">
        <f>IF(D4="PARTIAL CLOSE",PartialCloseMinLot,0)</f>
        <v/>
      </c>
      <c r="I4">
        <f>IF(M4&gt;=BasketTargetMoney,"YES","NO")</f>
        <v/>
      </c>
      <c r="J4">
        <f>'03_CORE_CALC'!B3</f>
        <v/>
      </c>
      <c r="K4">
        <f>'03_CORE_CALC'!B4</f>
        <v/>
      </c>
      <c r="L4">
        <f>J4-K4</f>
        <v/>
      </c>
      <c r="M4">
        <f>'03_CORE_CALC'!B9</f>
        <v/>
      </c>
      <c r="N4">
        <f>MIN($M$4:M4)</f>
        <v/>
      </c>
      <c r="O4">
        <f>IF(P4&gt;='18_STRESS_INPUT'!B12,"YES","NO")</f>
        <v/>
      </c>
      <c r="P4">
        <f>J4+K4</f>
        <v/>
      </c>
      <c r="Q4">
        <f>IF(D4="OPEN BLOCK","Виртуальные позиции обновлены","")</f>
        <v/>
      </c>
    </row>
    <row r="5">
      <c r="A5">
        <f>'19_STRESS_PATH'!A5</f>
        <v/>
      </c>
      <c r="B5">
        <f>'19_STRESS_PATH'!D5</f>
        <v/>
      </c>
      <c r="C5">
        <f>'19_STRESS_PATH'!B5</f>
        <v/>
      </c>
      <c r="D5">
        <f>IF(OR(ValidationStatus="ERROR",'16_OPTIMIZER_RESULT'!B17="NO VALID PARAMS"),"PARAMETER ERROR",IF(O5="YES","SAFE MODE",IF(I5="YES","FULL CLOSE",IF(ABS(B5-'03_CORE_CALC'!B12)&gt;=EffectiveStep*Point,"OPEN BLOCK","WAIT"))))</f>
        <v/>
      </c>
      <c r="E5">
        <f>IF(D5="OPEN BLOCK",IF(C5="UP",EffectiveBaseLot*EffectiveK,EffectiveBaseLot),0)</f>
        <v/>
      </c>
      <c r="F5">
        <f>IF(D5="OPEN BLOCK",IF(C5="DOWN",EffectiveBaseLot*EffectiveK,EffectiveBaseLot),0)</f>
        <v/>
      </c>
      <c r="G5">
        <f>IF(D5="PARTIAL CLOSE",IF(L5&gt;0,"BUY","SELL"),"-")</f>
        <v/>
      </c>
      <c r="H5">
        <f>IF(D5="PARTIAL CLOSE",PartialCloseMinLot,0)</f>
        <v/>
      </c>
      <c r="I5">
        <f>IF(M5&gt;=BasketTargetMoney,"YES","NO")</f>
        <v/>
      </c>
      <c r="J5">
        <f>J4+E4-IF(G4="BUY",H4,0)</f>
        <v/>
      </c>
      <c r="K5">
        <f>K4+F4-IF(G4="SELL",H4,0)</f>
        <v/>
      </c>
      <c r="L5">
        <f>J5-K5</f>
        <v/>
      </c>
      <c r="M5">
        <f>M4+((B5-B4)/Point)*(J4-K4)*TickValue</f>
        <v/>
      </c>
      <c r="N5">
        <f>MIN($M$4:M5)</f>
        <v/>
      </c>
      <c r="O5">
        <f>IF(P5&gt;='18_STRESS_INPUT'!B12,"YES","NO")</f>
        <v/>
      </c>
      <c r="P5">
        <f>J5+K5</f>
        <v/>
      </c>
      <c r="Q5">
        <f>IF(D5="OPEN BLOCK","Виртуальные позиции обновлены","")</f>
        <v/>
      </c>
    </row>
    <row r="6">
      <c r="A6">
        <f>'19_STRESS_PATH'!A6</f>
        <v/>
      </c>
      <c r="B6">
        <f>'19_STRESS_PATH'!D6</f>
        <v/>
      </c>
      <c r="C6">
        <f>'19_STRESS_PATH'!B6</f>
        <v/>
      </c>
      <c r="D6">
        <f>IF(OR(ValidationStatus="ERROR",'16_OPTIMIZER_RESULT'!B17="NO VALID PARAMS"),"PARAMETER ERROR",IF(O6="YES","SAFE MODE",IF(I6="YES","FULL CLOSE",IF(ABS(B6-'03_CORE_CALC'!B12)&gt;=EffectiveStep*Point,"OPEN BLOCK","WAIT"))))</f>
        <v/>
      </c>
      <c r="E6">
        <f>IF(D6="OPEN BLOCK",IF(C6="UP",EffectiveBaseLot*EffectiveK,EffectiveBaseLot),0)</f>
        <v/>
      </c>
      <c r="F6">
        <f>IF(D6="OPEN BLOCK",IF(C6="DOWN",EffectiveBaseLot*EffectiveK,EffectiveBaseLot),0)</f>
        <v/>
      </c>
      <c r="G6">
        <f>IF(D6="PARTIAL CLOSE",IF(L6&gt;0,"BUY","SELL"),"-")</f>
        <v/>
      </c>
      <c r="H6">
        <f>IF(D6="PARTIAL CLOSE",PartialCloseMinLot,0)</f>
        <v/>
      </c>
      <c r="I6">
        <f>IF(M6&gt;=BasketTargetMoney,"YES","NO")</f>
        <v/>
      </c>
      <c r="J6">
        <f>J5+E5-IF(G5="BUY",H5,0)</f>
        <v/>
      </c>
      <c r="K6">
        <f>K5+F5-IF(G5="SELL",H5,0)</f>
        <v/>
      </c>
      <c r="L6">
        <f>J6-K6</f>
        <v/>
      </c>
      <c r="M6">
        <f>M5+((B6-B5)/Point)*(J5-K5)*TickValue</f>
        <v/>
      </c>
      <c r="N6">
        <f>MIN($M$4:M6)</f>
        <v/>
      </c>
      <c r="O6">
        <f>IF(P6&gt;='18_STRESS_INPUT'!B12,"YES","NO")</f>
        <v/>
      </c>
      <c r="P6">
        <f>J6+K6</f>
        <v/>
      </c>
      <c r="Q6">
        <f>IF(D6="OPEN BLOCK","Виртуальные позиции обновлены","")</f>
        <v/>
      </c>
    </row>
    <row r="7">
      <c r="A7">
        <f>'19_STRESS_PATH'!A7</f>
        <v/>
      </c>
      <c r="B7">
        <f>'19_STRESS_PATH'!D7</f>
        <v/>
      </c>
      <c r="C7">
        <f>'19_STRESS_PATH'!B7</f>
        <v/>
      </c>
      <c r="D7">
        <f>IF(OR(ValidationStatus="ERROR",'16_OPTIMIZER_RESULT'!B17="NO VALID PARAMS"),"PARAMETER ERROR",IF(O7="YES","SAFE MODE",IF(I7="YES","FULL CLOSE",IF(ABS(B7-'03_CORE_CALC'!B12)&gt;=EffectiveStep*Point,"OPEN BLOCK","WAIT"))))</f>
        <v/>
      </c>
      <c r="E7">
        <f>IF(D7="OPEN BLOCK",IF(C7="UP",EffectiveBaseLot*EffectiveK,EffectiveBaseLot),0)</f>
        <v/>
      </c>
      <c r="F7">
        <f>IF(D7="OPEN BLOCK",IF(C7="DOWN",EffectiveBaseLot*EffectiveK,EffectiveBaseLot),0)</f>
        <v/>
      </c>
      <c r="G7">
        <f>IF(D7="PARTIAL CLOSE",IF(L7&gt;0,"BUY","SELL"),"-")</f>
        <v/>
      </c>
      <c r="H7">
        <f>IF(D7="PARTIAL CLOSE",PartialCloseMinLot,0)</f>
        <v/>
      </c>
      <c r="I7">
        <f>IF(M7&gt;=BasketTargetMoney,"YES","NO")</f>
        <v/>
      </c>
      <c r="J7">
        <f>J6+E6-IF(G6="BUY",H6,0)</f>
        <v/>
      </c>
      <c r="K7">
        <f>K6+F6-IF(G6="SELL",H6,0)</f>
        <v/>
      </c>
      <c r="L7">
        <f>J7-K7</f>
        <v/>
      </c>
      <c r="M7">
        <f>M6+((B7-B6)/Point)*(J6-K6)*TickValue</f>
        <v/>
      </c>
      <c r="N7">
        <f>MIN($M$4:M7)</f>
        <v/>
      </c>
      <c r="O7">
        <f>IF(P7&gt;='18_STRESS_INPUT'!B12,"YES","NO")</f>
        <v/>
      </c>
      <c r="P7">
        <f>J7+K7</f>
        <v/>
      </c>
      <c r="Q7">
        <f>IF(D7="OPEN BLOCK","Виртуальные позиции обновлены","")</f>
        <v/>
      </c>
    </row>
    <row r="8">
      <c r="A8">
        <f>'19_STRESS_PATH'!A8</f>
        <v/>
      </c>
      <c r="B8">
        <f>'19_STRESS_PATH'!D8</f>
        <v/>
      </c>
      <c r="C8">
        <f>'19_STRESS_PATH'!B8</f>
        <v/>
      </c>
      <c r="D8">
        <f>IF(OR(ValidationStatus="ERROR",'16_OPTIMIZER_RESULT'!B17="NO VALID PARAMS"),"PARAMETER ERROR",IF(O8="YES","SAFE MODE",IF(I8="YES","FULL CLOSE",IF(ABS(B8-'03_CORE_CALC'!B12)&gt;=EffectiveStep*Point,"OPEN BLOCK","WAIT"))))</f>
        <v/>
      </c>
      <c r="E8">
        <f>IF(D8="OPEN BLOCK",IF(C8="UP",EffectiveBaseLot*EffectiveK,EffectiveBaseLot),0)</f>
        <v/>
      </c>
      <c r="F8">
        <f>IF(D8="OPEN BLOCK",IF(C8="DOWN",EffectiveBaseLot*EffectiveK,EffectiveBaseLot),0)</f>
        <v/>
      </c>
      <c r="G8">
        <f>IF(D8="PARTIAL CLOSE",IF(L8&gt;0,"BUY","SELL"),"-")</f>
        <v/>
      </c>
      <c r="H8">
        <f>IF(D8="PARTIAL CLOSE",PartialCloseMinLot,0)</f>
        <v/>
      </c>
      <c r="I8">
        <f>IF(M8&gt;=BasketTargetMoney,"YES","NO")</f>
        <v/>
      </c>
      <c r="J8">
        <f>J7+E7-IF(G7="BUY",H7,0)</f>
        <v/>
      </c>
      <c r="K8">
        <f>K7+F7-IF(G7="SELL",H7,0)</f>
        <v/>
      </c>
      <c r="L8">
        <f>J8-K8</f>
        <v/>
      </c>
      <c r="M8">
        <f>M7+((B8-B7)/Point)*(J7-K7)*TickValue</f>
        <v/>
      </c>
      <c r="N8">
        <f>MIN($M$4:M8)</f>
        <v/>
      </c>
      <c r="O8">
        <f>IF(P8&gt;='18_STRESS_INPUT'!B12,"YES","NO")</f>
        <v/>
      </c>
      <c r="P8">
        <f>J8+K8</f>
        <v/>
      </c>
      <c r="Q8">
        <f>IF(D8="OPEN BLOCK","Виртуальные позиции обновлены","")</f>
        <v/>
      </c>
    </row>
    <row r="9">
      <c r="A9">
        <f>'19_STRESS_PATH'!A9</f>
        <v/>
      </c>
      <c r="B9">
        <f>'19_STRESS_PATH'!D9</f>
        <v/>
      </c>
      <c r="C9">
        <f>'19_STRESS_PATH'!B9</f>
        <v/>
      </c>
      <c r="D9">
        <f>IF(OR(ValidationStatus="ERROR",'16_OPTIMIZER_RESULT'!B17="NO VALID PARAMS"),"PARAMETER ERROR",IF(O9="YES","SAFE MODE",IF(I9="YES","FULL CLOSE",IF(ABS(B9-'03_CORE_CALC'!B12)&gt;=EffectiveStep*Point,"OPEN BLOCK","WAIT"))))</f>
        <v/>
      </c>
      <c r="E9">
        <f>IF(D9="OPEN BLOCK",IF(C9="UP",EffectiveBaseLot*EffectiveK,EffectiveBaseLot),0)</f>
        <v/>
      </c>
      <c r="F9">
        <f>IF(D9="OPEN BLOCK",IF(C9="DOWN",EffectiveBaseLot*EffectiveK,EffectiveBaseLot),0)</f>
        <v/>
      </c>
      <c r="G9">
        <f>IF(D9="PARTIAL CLOSE",IF(L9&gt;0,"BUY","SELL"),"-")</f>
        <v/>
      </c>
      <c r="H9">
        <f>IF(D9="PARTIAL CLOSE",PartialCloseMinLot,0)</f>
        <v/>
      </c>
      <c r="I9">
        <f>IF(M9&gt;=BasketTargetMoney,"YES","NO")</f>
        <v/>
      </c>
      <c r="J9">
        <f>J8+E8-IF(G8="BUY",H8,0)</f>
        <v/>
      </c>
      <c r="K9">
        <f>K8+F8-IF(G8="SELL",H8,0)</f>
        <v/>
      </c>
      <c r="L9">
        <f>J9-K9</f>
        <v/>
      </c>
      <c r="M9">
        <f>M8+((B9-B8)/Point)*(J8-K8)*TickValue</f>
        <v/>
      </c>
      <c r="N9">
        <f>MIN($M$4:M9)</f>
        <v/>
      </c>
      <c r="O9">
        <f>IF(P9&gt;='18_STRESS_INPUT'!B12,"YES","NO")</f>
        <v/>
      </c>
      <c r="P9">
        <f>J9+K9</f>
        <v/>
      </c>
      <c r="Q9">
        <f>IF(D9="OPEN BLOCK","Виртуальные позиции обновлены","")</f>
        <v/>
      </c>
    </row>
    <row r="10">
      <c r="A10">
        <f>'19_STRESS_PATH'!A10</f>
        <v/>
      </c>
      <c r="B10">
        <f>'19_STRESS_PATH'!D10</f>
        <v/>
      </c>
      <c r="C10">
        <f>'19_STRESS_PATH'!B10</f>
        <v/>
      </c>
      <c r="D10">
        <f>IF(OR(ValidationStatus="ERROR",'16_OPTIMIZER_RESULT'!B17="NO VALID PARAMS"),"PARAMETER ERROR",IF(O10="YES","SAFE MODE",IF(I10="YES","FULL CLOSE",IF(ABS(B10-'03_CORE_CALC'!B12)&gt;=EffectiveStep*Point,"OPEN BLOCK","WAIT"))))</f>
        <v/>
      </c>
      <c r="E10">
        <f>IF(D10="OPEN BLOCK",IF(C10="UP",EffectiveBaseLot*EffectiveK,EffectiveBaseLot),0)</f>
        <v/>
      </c>
      <c r="F10">
        <f>IF(D10="OPEN BLOCK",IF(C10="DOWN",EffectiveBaseLot*EffectiveK,EffectiveBaseLot),0)</f>
        <v/>
      </c>
      <c r="G10">
        <f>IF(D10="PARTIAL CLOSE",IF(L10&gt;0,"BUY","SELL"),"-")</f>
        <v/>
      </c>
      <c r="H10">
        <f>IF(D10="PARTIAL CLOSE",PartialCloseMinLot,0)</f>
        <v/>
      </c>
      <c r="I10">
        <f>IF(M10&gt;=BasketTargetMoney,"YES","NO")</f>
        <v/>
      </c>
      <c r="J10">
        <f>J9+E9-IF(G9="BUY",H9,0)</f>
        <v/>
      </c>
      <c r="K10">
        <f>K9+F9-IF(G9="SELL",H9,0)</f>
        <v/>
      </c>
      <c r="L10">
        <f>J10-K10</f>
        <v/>
      </c>
      <c r="M10">
        <f>M9+((B10-B9)/Point)*(J9-K9)*TickValue</f>
        <v/>
      </c>
      <c r="N10">
        <f>MIN($M$4:M10)</f>
        <v/>
      </c>
      <c r="O10">
        <f>IF(P10&gt;='18_STRESS_INPUT'!B12,"YES","NO")</f>
        <v/>
      </c>
      <c r="P10">
        <f>J10+K10</f>
        <v/>
      </c>
      <c r="Q10">
        <f>IF(D10="OPEN BLOCK","Виртуальные позиции обновлены","")</f>
        <v/>
      </c>
    </row>
    <row r="11">
      <c r="A11">
        <f>'19_STRESS_PATH'!A11</f>
        <v/>
      </c>
      <c r="B11">
        <f>'19_STRESS_PATH'!D11</f>
        <v/>
      </c>
      <c r="C11">
        <f>'19_STRESS_PATH'!B11</f>
        <v/>
      </c>
      <c r="D11">
        <f>IF(OR(ValidationStatus="ERROR",'16_OPTIMIZER_RESULT'!B17="NO VALID PARAMS"),"PARAMETER ERROR",IF(O11="YES","SAFE MODE",IF(I11="YES","FULL CLOSE",IF(ABS(B11-'03_CORE_CALC'!B12)&gt;=EffectiveStep*Point,"OPEN BLOCK","WAIT"))))</f>
        <v/>
      </c>
      <c r="E11">
        <f>IF(D11="OPEN BLOCK",IF(C11="UP",EffectiveBaseLot*EffectiveK,EffectiveBaseLot),0)</f>
        <v/>
      </c>
      <c r="F11">
        <f>IF(D11="OPEN BLOCK",IF(C11="DOWN",EffectiveBaseLot*EffectiveK,EffectiveBaseLot),0)</f>
        <v/>
      </c>
      <c r="G11">
        <f>IF(D11="PARTIAL CLOSE",IF(L11&gt;0,"BUY","SELL"),"-")</f>
        <v/>
      </c>
      <c r="H11">
        <f>IF(D11="PARTIAL CLOSE",PartialCloseMinLot,0)</f>
        <v/>
      </c>
      <c r="I11">
        <f>IF(M11&gt;=BasketTargetMoney,"YES","NO")</f>
        <v/>
      </c>
      <c r="J11">
        <f>J10+E10-IF(G10="BUY",H10,0)</f>
        <v/>
      </c>
      <c r="K11">
        <f>K10+F10-IF(G10="SELL",H10,0)</f>
        <v/>
      </c>
      <c r="L11">
        <f>J11-K11</f>
        <v/>
      </c>
      <c r="M11">
        <f>M10+((B11-B10)/Point)*(J10-K10)*TickValue</f>
        <v/>
      </c>
      <c r="N11">
        <f>MIN($M$4:M11)</f>
        <v/>
      </c>
      <c r="O11">
        <f>IF(P11&gt;='18_STRESS_INPUT'!B12,"YES","NO")</f>
        <v/>
      </c>
      <c r="P11">
        <f>J11+K11</f>
        <v/>
      </c>
      <c r="Q11">
        <f>IF(D11="OPEN BLOCK","Виртуальные позиции обновлены","")</f>
        <v/>
      </c>
    </row>
    <row r="12">
      <c r="A12">
        <f>'19_STRESS_PATH'!A12</f>
        <v/>
      </c>
      <c r="B12">
        <f>'19_STRESS_PATH'!D12</f>
        <v/>
      </c>
      <c r="C12">
        <f>'19_STRESS_PATH'!B12</f>
        <v/>
      </c>
      <c r="D12">
        <f>IF(OR(ValidationStatus="ERROR",'16_OPTIMIZER_RESULT'!B17="NO VALID PARAMS"),"PARAMETER ERROR",IF(O12="YES","SAFE MODE",IF(I12="YES","FULL CLOSE",IF(ABS(B12-'03_CORE_CALC'!B12)&gt;=EffectiveStep*Point,"OPEN BLOCK","WAIT"))))</f>
        <v/>
      </c>
      <c r="E12">
        <f>IF(D12="OPEN BLOCK",IF(C12="UP",EffectiveBaseLot*EffectiveK,EffectiveBaseLot),0)</f>
        <v/>
      </c>
      <c r="F12">
        <f>IF(D12="OPEN BLOCK",IF(C12="DOWN",EffectiveBaseLot*EffectiveK,EffectiveBaseLot),0)</f>
        <v/>
      </c>
      <c r="G12">
        <f>IF(D12="PARTIAL CLOSE",IF(L12&gt;0,"BUY","SELL"),"-")</f>
        <v/>
      </c>
      <c r="H12">
        <f>IF(D12="PARTIAL CLOSE",PartialCloseMinLot,0)</f>
        <v/>
      </c>
      <c r="I12">
        <f>IF(M12&gt;=BasketTargetMoney,"YES","NO")</f>
        <v/>
      </c>
      <c r="J12">
        <f>J11+E11-IF(G11="BUY",H11,0)</f>
        <v/>
      </c>
      <c r="K12">
        <f>K11+F11-IF(G11="SELL",H11,0)</f>
        <v/>
      </c>
      <c r="L12">
        <f>J12-K12</f>
        <v/>
      </c>
      <c r="M12">
        <f>M11+((B12-B11)/Point)*(J11-K11)*TickValue</f>
        <v/>
      </c>
      <c r="N12">
        <f>MIN($M$4:M12)</f>
        <v/>
      </c>
      <c r="O12">
        <f>IF(P12&gt;='18_STRESS_INPUT'!B12,"YES","NO")</f>
        <v/>
      </c>
      <c r="P12">
        <f>J12+K12</f>
        <v/>
      </c>
      <c r="Q12">
        <f>IF(D12="OPEN BLOCK","Виртуальные позиции обновлены","")</f>
        <v/>
      </c>
    </row>
    <row r="13">
      <c r="A13">
        <f>'19_STRESS_PATH'!A13</f>
        <v/>
      </c>
      <c r="B13">
        <f>'19_STRESS_PATH'!D13</f>
        <v/>
      </c>
      <c r="C13">
        <f>'19_STRESS_PATH'!B13</f>
        <v/>
      </c>
      <c r="D13">
        <f>IF(OR(ValidationStatus="ERROR",'16_OPTIMIZER_RESULT'!B17="NO VALID PARAMS"),"PARAMETER ERROR",IF(O13="YES","SAFE MODE",IF(I13="YES","FULL CLOSE",IF(ABS(B13-'03_CORE_CALC'!B12)&gt;=EffectiveStep*Point,"OPEN BLOCK","WAIT"))))</f>
        <v/>
      </c>
      <c r="E13">
        <f>IF(D13="OPEN BLOCK",IF(C13="UP",EffectiveBaseLot*EffectiveK,EffectiveBaseLot),0)</f>
        <v/>
      </c>
      <c r="F13">
        <f>IF(D13="OPEN BLOCK",IF(C13="DOWN",EffectiveBaseLot*EffectiveK,EffectiveBaseLot),0)</f>
        <v/>
      </c>
      <c r="G13">
        <f>IF(D13="PARTIAL CLOSE",IF(L13&gt;0,"BUY","SELL"),"-")</f>
        <v/>
      </c>
      <c r="H13">
        <f>IF(D13="PARTIAL CLOSE",PartialCloseMinLot,0)</f>
        <v/>
      </c>
      <c r="I13">
        <f>IF(M13&gt;=BasketTargetMoney,"YES","NO")</f>
        <v/>
      </c>
      <c r="J13">
        <f>J12+E12-IF(G12="BUY",H12,0)</f>
        <v/>
      </c>
      <c r="K13">
        <f>K12+F12-IF(G12="SELL",H12,0)</f>
        <v/>
      </c>
      <c r="L13">
        <f>J13-K13</f>
        <v/>
      </c>
      <c r="M13">
        <f>M12+((B13-B12)/Point)*(J12-K12)*TickValue</f>
        <v/>
      </c>
      <c r="N13">
        <f>MIN($M$4:M13)</f>
        <v/>
      </c>
      <c r="O13">
        <f>IF(P13&gt;='18_STRESS_INPUT'!B12,"YES","NO")</f>
        <v/>
      </c>
      <c r="P13">
        <f>J13+K13</f>
        <v/>
      </c>
      <c r="Q13">
        <f>IF(D13="OPEN BLOCK","Виртуальные позиции обновлены","")</f>
        <v/>
      </c>
    </row>
    <row r="14">
      <c r="A14">
        <f>'19_STRESS_PATH'!A14</f>
        <v/>
      </c>
      <c r="B14">
        <f>'19_STRESS_PATH'!D14</f>
        <v/>
      </c>
      <c r="C14">
        <f>'19_STRESS_PATH'!B14</f>
        <v/>
      </c>
      <c r="D14">
        <f>IF(OR(ValidationStatus="ERROR",'16_OPTIMIZER_RESULT'!B17="NO VALID PARAMS"),"PARAMETER ERROR",IF(O14="YES","SAFE MODE",IF(I14="YES","FULL CLOSE",IF(ABS(B14-'03_CORE_CALC'!B12)&gt;=EffectiveStep*Point,"OPEN BLOCK","WAIT"))))</f>
        <v/>
      </c>
      <c r="E14">
        <f>IF(D14="OPEN BLOCK",IF(C14="UP",EffectiveBaseLot*EffectiveK,EffectiveBaseLot),0)</f>
        <v/>
      </c>
      <c r="F14">
        <f>IF(D14="OPEN BLOCK",IF(C14="DOWN",EffectiveBaseLot*EffectiveK,EffectiveBaseLot),0)</f>
        <v/>
      </c>
      <c r="G14">
        <f>IF(D14="PARTIAL CLOSE",IF(L14&gt;0,"BUY","SELL"),"-")</f>
        <v/>
      </c>
      <c r="H14">
        <f>IF(D14="PARTIAL CLOSE",PartialCloseMinLot,0)</f>
        <v/>
      </c>
      <c r="I14">
        <f>IF(M14&gt;=BasketTargetMoney,"YES","NO")</f>
        <v/>
      </c>
      <c r="J14">
        <f>J13+E13-IF(G13="BUY",H13,0)</f>
        <v/>
      </c>
      <c r="K14">
        <f>K13+F13-IF(G13="SELL",H13,0)</f>
        <v/>
      </c>
      <c r="L14">
        <f>J14-K14</f>
        <v/>
      </c>
      <c r="M14">
        <f>M13+((B14-B13)/Point)*(J13-K13)*TickValue</f>
        <v/>
      </c>
      <c r="N14">
        <f>MIN($M$4:M14)</f>
        <v/>
      </c>
      <c r="O14">
        <f>IF(P14&gt;='18_STRESS_INPUT'!B12,"YES","NO")</f>
        <v/>
      </c>
      <c r="P14">
        <f>J14+K14</f>
        <v/>
      </c>
      <c r="Q14">
        <f>IF(D14="OPEN BLOCK","Виртуальные позиции обновлены","")</f>
        <v/>
      </c>
    </row>
    <row r="15">
      <c r="A15">
        <f>'19_STRESS_PATH'!A15</f>
        <v/>
      </c>
      <c r="B15">
        <f>'19_STRESS_PATH'!D15</f>
        <v/>
      </c>
      <c r="C15">
        <f>'19_STRESS_PATH'!B15</f>
        <v/>
      </c>
      <c r="D15">
        <f>IF(OR(ValidationStatus="ERROR",'16_OPTIMIZER_RESULT'!B17="NO VALID PARAMS"),"PARAMETER ERROR",IF(O15="YES","SAFE MODE",IF(I15="YES","FULL CLOSE",IF(ABS(B15-'03_CORE_CALC'!B12)&gt;=EffectiveStep*Point,"OPEN BLOCK","WAIT"))))</f>
        <v/>
      </c>
      <c r="E15">
        <f>IF(D15="OPEN BLOCK",IF(C15="UP",EffectiveBaseLot*EffectiveK,EffectiveBaseLot),0)</f>
        <v/>
      </c>
      <c r="F15">
        <f>IF(D15="OPEN BLOCK",IF(C15="DOWN",EffectiveBaseLot*EffectiveK,EffectiveBaseLot),0)</f>
        <v/>
      </c>
      <c r="G15">
        <f>IF(D15="PARTIAL CLOSE",IF(L15&gt;0,"BUY","SELL"),"-")</f>
        <v/>
      </c>
      <c r="H15">
        <f>IF(D15="PARTIAL CLOSE",PartialCloseMinLot,0)</f>
        <v/>
      </c>
      <c r="I15">
        <f>IF(M15&gt;=BasketTargetMoney,"YES","NO")</f>
        <v/>
      </c>
      <c r="J15">
        <f>J14+E14-IF(G14="BUY",H14,0)</f>
        <v/>
      </c>
      <c r="K15">
        <f>K14+F14-IF(G14="SELL",H14,0)</f>
        <v/>
      </c>
      <c r="L15">
        <f>J15-K15</f>
        <v/>
      </c>
      <c r="M15">
        <f>M14+((B15-B14)/Point)*(J14-K14)*TickValue</f>
        <v/>
      </c>
      <c r="N15">
        <f>MIN($M$4:M15)</f>
        <v/>
      </c>
      <c r="O15">
        <f>IF(P15&gt;='18_STRESS_INPUT'!B12,"YES","NO")</f>
        <v/>
      </c>
      <c r="P15">
        <f>J15+K15</f>
        <v/>
      </c>
      <c r="Q15">
        <f>IF(D15="OPEN BLOCK","Виртуальные позиции обновлены","")</f>
        <v/>
      </c>
    </row>
    <row r="16">
      <c r="A16">
        <f>'19_STRESS_PATH'!A16</f>
        <v/>
      </c>
      <c r="B16">
        <f>'19_STRESS_PATH'!D16</f>
        <v/>
      </c>
      <c r="C16">
        <f>'19_STRESS_PATH'!B16</f>
        <v/>
      </c>
      <c r="D16">
        <f>IF(OR(ValidationStatus="ERROR",'16_OPTIMIZER_RESULT'!B17="NO VALID PARAMS"),"PARAMETER ERROR",IF(O16="YES","SAFE MODE",IF(I16="YES","FULL CLOSE",IF(ABS(B16-'03_CORE_CALC'!B12)&gt;=EffectiveStep*Point,"OPEN BLOCK","WAIT"))))</f>
        <v/>
      </c>
      <c r="E16">
        <f>IF(D16="OPEN BLOCK",IF(C16="UP",EffectiveBaseLot*EffectiveK,EffectiveBaseLot),0)</f>
        <v/>
      </c>
      <c r="F16">
        <f>IF(D16="OPEN BLOCK",IF(C16="DOWN",EffectiveBaseLot*EffectiveK,EffectiveBaseLot),0)</f>
        <v/>
      </c>
      <c r="G16">
        <f>IF(D16="PARTIAL CLOSE",IF(L16&gt;0,"BUY","SELL"),"-")</f>
        <v/>
      </c>
      <c r="H16">
        <f>IF(D16="PARTIAL CLOSE",PartialCloseMinLot,0)</f>
        <v/>
      </c>
      <c r="I16">
        <f>IF(M16&gt;=BasketTargetMoney,"YES","NO")</f>
        <v/>
      </c>
      <c r="J16">
        <f>J15+E15-IF(G15="BUY",H15,0)</f>
        <v/>
      </c>
      <c r="K16">
        <f>K15+F15-IF(G15="SELL",H15,0)</f>
        <v/>
      </c>
      <c r="L16">
        <f>J16-K16</f>
        <v/>
      </c>
      <c r="M16">
        <f>M15+((B16-B15)/Point)*(J15-K15)*TickValue</f>
        <v/>
      </c>
      <c r="N16">
        <f>MIN($M$4:M16)</f>
        <v/>
      </c>
      <c r="O16">
        <f>IF(P16&gt;='18_STRESS_INPUT'!B12,"YES","NO")</f>
        <v/>
      </c>
      <c r="P16">
        <f>J16+K16</f>
        <v/>
      </c>
      <c r="Q16">
        <f>IF(D16="OPEN BLOCK","Виртуальные позиции обновлены","")</f>
        <v/>
      </c>
    </row>
    <row r="17">
      <c r="A17">
        <f>'19_STRESS_PATH'!A17</f>
        <v/>
      </c>
      <c r="B17">
        <f>'19_STRESS_PATH'!D17</f>
        <v/>
      </c>
      <c r="C17">
        <f>'19_STRESS_PATH'!B17</f>
        <v/>
      </c>
      <c r="D17">
        <f>IF(OR(ValidationStatus="ERROR",'16_OPTIMIZER_RESULT'!B17="NO VALID PARAMS"),"PARAMETER ERROR",IF(O17="YES","SAFE MODE",IF(I17="YES","FULL CLOSE",IF(ABS(B17-'03_CORE_CALC'!B12)&gt;=EffectiveStep*Point,"OPEN BLOCK","WAIT"))))</f>
        <v/>
      </c>
      <c r="E17">
        <f>IF(D17="OPEN BLOCK",IF(C17="UP",EffectiveBaseLot*EffectiveK,EffectiveBaseLot),0)</f>
        <v/>
      </c>
      <c r="F17">
        <f>IF(D17="OPEN BLOCK",IF(C17="DOWN",EffectiveBaseLot*EffectiveK,EffectiveBaseLot),0)</f>
        <v/>
      </c>
      <c r="G17">
        <f>IF(D17="PARTIAL CLOSE",IF(L17&gt;0,"BUY","SELL"),"-")</f>
        <v/>
      </c>
      <c r="H17">
        <f>IF(D17="PARTIAL CLOSE",PartialCloseMinLot,0)</f>
        <v/>
      </c>
      <c r="I17">
        <f>IF(M17&gt;=BasketTargetMoney,"YES","NO")</f>
        <v/>
      </c>
      <c r="J17">
        <f>J16+E16-IF(G16="BUY",H16,0)</f>
        <v/>
      </c>
      <c r="K17">
        <f>K16+F16-IF(G16="SELL",H16,0)</f>
        <v/>
      </c>
      <c r="L17">
        <f>J17-K17</f>
        <v/>
      </c>
      <c r="M17">
        <f>M16+((B17-B16)/Point)*(J16-K16)*TickValue</f>
        <v/>
      </c>
      <c r="N17">
        <f>MIN($M$4:M17)</f>
        <v/>
      </c>
      <c r="O17">
        <f>IF(P17&gt;='18_STRESS_INPUT'!B12,"YES","NO")</f>
        <v/>
      </c>
      <c r="P17">
        <f>J17+K17</f>
        <v/>
      </c>
      <c r="Q17">
        <f>IF(D17="OPEN BLOCK","Виртуальные позиции обновлены","")</f>
        <v/>
      </c>
    </row>
    <row r="18">
      <c r="A18">
        <f>'19_STRESS_PATH'!A18</f>
        <v/>
      </c>
      <c r="B18">
        <f>'19_STRESS_PATH'!D18</f>
        <v/>
      </c>
      <c r="C18">
        <f>'19_STRESS_PATH'!B18</f>
        <v/>
      </c>
      <c r="D18">
        <f>IF(OR(ValidationStatus="ERROR",'16_OPTIMIZER_RESULT'!B17="NO VALID PARAMS"),"PARAMETER ERROR",IF(O18="YES","SAFE MODE",IF(I18="YES","FULL CLOSE",IF(ABS(B18-'03_CORE_CALC'!B12)&gt;=EffectiveStep*Point,"OPEN BLOCK","WAIT"))))</f>
        <v/>
      </c>
      <c r="E18">
        <f>IF(D18="OPEN BLOCK",IF(C18="UP",EffectiveBaseLot*EffectiveK,EffectiveBaseLot),0)</f>
        <v/>
      </c>
      <c r="F18">
        <f>IF(D18="OPEN BLOCK",IF(C18="DOWN",EffectiveBaseLot*EffectiveK,EffectiveBaseLot),0)</f>
        <v/>
      </c>
      <c r="G18">
        <f>IF(D18="PARTIAL CLOSE",IF(L18&gt;0,"BUY","SELL"),"-")</f>
        <v/>
      </c>
      <c r="H18">
        <f>IF(D18="PARTIAL CLOSE",PartialCloseMinLot,0)</f>
        <v/>
      </c>
      <c r="I18">
        <f>IF(M18&gt;=BasketTargetMoney,"YES","NO")</f>
        <v/>
      </c>
      <c r="J18">
        <f>J17+E17-IF(G17="BUY",H17,0)</f>
        <v/>
      </c>
      <c r="K18">
        <f>K17+F17-IF(G17="SELL",H17,0)</f>
        <v/>
      </c>
      <c r="L18">
        <f>J18-K18</f>
        <v/>
      </c>
      <c r="M18">
        <f>M17+((B18-B17)/Point)*(J17-K17)*TickValue</f>
        <v/>
      </c>
      <c r="N18">
        <f>MIN($M$4:M18)</f>
        <v/>
      </c>
      <c r="O18">
        <f>IF(P18&gt;='18_STRESS_INPUT'!B12,"YES","NO")</f>
        <v/>
      </c>
      <c r="P18">
        <f>J18+K18</f>
        <v/>
      </c>
      <c r="Q18">
        <f>IF(D18="OPEN BLOCK","Виртуальные позиции обновлены","")</f>
        <v/>
      </c>
    </row>
    <row r="19">
      <c r="A19">
        <f>'19_STRESS_PATH'!A19</f>
        <v/>
      </c>
      <c r="B19">
        <f>'19_STRESS_PATH'!D19</f>
        <v/>
      </c>
      <c r="C19">
        <f>'19_STRESS_PATH'!B19</f>
        <v/>
      </c>
      <c r="D19">
        <f>IF(OR(ValidationStatus="ERROR",'16_OPTIMIZER_RESULT'!B17="NO VALID PARAMS"),"PARAMETER ERROR",IF(O19="YES","SAFE MODE",IF(I19="YES","FULL CLOSE",IF(ABS(B19-'03_CORE_CALC'!B12)&gt;=EffectiveStep*Point,"OPEN BLOCK","WAIT"))))</f>
        <v/>
      </c>
      <c r="E19">
        <f>IF(D19="OPEN BLOCK",IF(C19="UP",EffectiveBaseLot*EffectiveK,EffectiveBaseLot),0)</f>
        <v/>
      </c>
      <c r="F19">
        <f>IF(D19="OPEN BLOCK",IF(C19="DOWN",EffectiveBaseLot*EffectiveK,EffectiveBaseLot),0)</f>
        <v/>
      </c>
      <c r="G19">
        <f>IF(D19="PARTIAL CLOSE",IF(L19&gt;0,"BUY","SELL"),"-")</f>
        <v/>
      </c>
      <c r="H19">
        <f>IF(D19="PARTIAL CLOSE",PartialCloseMinLot,0)</f>
        <v/>
      </c>
      <c r="I19">
        <f>IF(M19&gt;=BasketTargetMoney,"YES","NO")</f>
        <v/>
      </c>
      <c r="J19">
        <f>J18+E18-IF(G18="BUY",H18,0)</f>
        <v/>
      </c>
      <c r="K19">
        <f>K18+F18-IF(G18="SELL",H18,0)</f>
        <v/>
      </c>
      <c r="L19">
        <f>J19-K19</f>
        <v/>
      </c>
      <c r="M19">
        <f>M18+((B19-B18)/Point)*(J18-K18)*TickValue</f>
        <v/>
      </c>
      <c r="N19">
        <f>MIN($M$4:M19)</f>
        <v/>
      </c>
      <c r="O19">
        <f>IF(P19&gt;='18_STRESS_INPUT'!B12,"YES","NO")</f>
        <v/>
      </c>
      <c r="P19">
        <f>J19+K19</f>
        <v/>
      </c>
      <c r="Q19">
        <f>IF(D19="OPEN BLOCK","Виртуальные позиции обновлены","")</f>
        <v/>
      </c>
    </row>
    <row r="20">
      <c r="A20">
        <f>'19_STRESS_PATH'!A20</f>
        <v/>
      </c>
      <c r="B20">
        <f>'19_STRESS_PATH'!D20</f>
        <v/>
      </c>
      <c r="C20">
        <f>'19_STRESS_PATH'!B20</f>
        <v/>
      </c>
      <c r="D20">
        <f>IF(OR(ValidationStatus="ERROR",'16_OPTIMIZER_RESULT'!B17="NO VALID PARAMS"),"PARAMETER ERROR",IF(O20="YES","SAFE MODE",IF(I20="YES","FULL CLOSE",IF(ABS(B20-'03_CORE_CALC'!B12)&gt;=EffectiveStep*Point,"OPEN BLOCK","WAIT"))))</f>
        <v/>
      </c>
      <c r="E20">
        <f>IF(D20="OPEN BLOCK",IF(C20="UP",EffectiveBaseLot*EffectiveK,EffectiveBaseLot),0)</f>
        <v/>
      </c>
      <c r="F20">
        <f>IF(D20="OPEN BLOCK",IF(C20="DOWN",EffectiveBaseLot*EffectiveK,EffectiveBaseLot),0)</f>
        <v/>
      </c>
      <c r="G20">
        <f>IF(D20="PARTIAL CLOSE",IF(L20&gt;0,"BUY","SELL"),"-")</f>
        <v/>
      </c>
      <c r="H20">
        <f>IF(D20="PARTIAL CLOSE",PartialCloseMinLot,0)</f>
        <v/>
      </c>
      <c r="I20">
        <f>IF(M20&gt;=BasketTargetMoney,"YES","NO")</f>
        <v/>
      </c>
      <c r="J20">
        <f>J19+E19-IF(G19="BUY",H19,0)</f>
        <v/>
      </c>
      <c r="K20">
        <f>K19+F19-IF(G19="SELL",H19,0)</f>
        <v/>
      </c>
      <c r="L20">
        <f>J20-K20</f>
        <v/>
      </c>
      <c r="M20">
        <f>M19+((B20-B19)/Point)*(J19-K19)*TickValue</f>
        <v/>
      </c>
      <c r="N20">
        <f>MIN($M$4:M20)</f>
        <v/>
      </c>
      <c r="O20">
        <f>IF(P20&gt;='18_STRESS_INPUT'!B12,"YES","NO")</f>
        <v/>
      </c>
      <c r="P20">
        <f>J20+K20</f>
        <v/>
      </c>
      <c r="Q20">
        <f>IF(D20="OPEN BLOCK","Виртуальные позиции обновлены","")</f>
        <v/>
      </c>
    </row>
    <row r="21">
      <c r="A21">
        <f>'19_STRESS_PATH'!A21</f>
        <v/>
      </c>
      <c r="B21">
        <f>'19_STRESS_PATH'!D21</f>
        <v/>
      </c>
      <c r="C21">
        <f>'19_STRESS_PATH'!B21</f>
        <v/>
      </c>
      <c r="D21">
        <f>IF(OR(ValidationStatus="ERROR",'16_OPTIMIZER_RESULT'!B17="NO VALID PARAMS"),"PARAMETER ERROR",IF(O21="YES","SAFE MODE",IF(I21="YES","FULL CLOSE",IF(ABS(B21-'03_CORE_CALC'!B12)&gt;=EffectiveStep*Point,"OPEN BLOCK","WAIT"))))</f>
        <v/>
      </c>
      <c r="E21">
        <f>IF(D21="OPEN BLOCK",IF(C21="UP",EffectiveBaseLot*EffectiveK,EffectiveBaseLot),0)</f>
        <v/>
      </c>
      <c r="F21">
        <f>IF(D21="OPEN BLOCK",IF(C21="DOWN",EffectiveBaseLot*EffectiveK,EffectiveBaseLot),0)</f>
        <v/>
      </c>
      <c r="G21">
        <f>IF(D21="PARTIAL CLOSE",IF(L21&gt;0,"BUY","SELL"),"-")</f>
        <v/>
      </c>
      <c r="H21">
        <f>IF(D21="PARTIAL CLOSE",PartialCloseMinLot,0)</f>
        <v/>
      </c>
      <c r="I21">
        <f>IF(M21&gt;=BasketTargetMoney,"YES","NO")</f>
        <v/>
      </c>
      <c r="J21">
        <f>J20+E20-IF(G20="BUY",H20,0)</f>
        <v/>
      </c>
      <c r="K21">
        <f>K20+F20-IF(G20="SELL",H20,0)</f>
        <v/>
      </c>
      <c r="L21">
        <f>J21-K21</f>
        <v/>
      </c>
      <c r="M21">
        <f>M20+((B21-B20)/Point)*(J20-K20)*TickValue</f>
        <v/>
      </c>
      <c r="N21">
        <f>MIN($M$4:M21)</f>
        <v/>
      </c>
      <c r="O21">
        <f>IF(P21&gt;='18_STRESS_INPUT'!B12,"YES","NO")</f>
        <v/>
      </c>
      <c r="P21">
        <f>J21+K21</f>
        <v/>
      </c>
      <c r="Q21">
        <f>IF(D21="OPEN BLOCK","Виртуальные позиции обновлены","")</f>
        <v/>
      </c>
    </row>
    <row r="22">
      <c r="A22">
        <f>'19_STRESS_PATH'!A22</f>
        <v/>
      </c>
      <c r="B22">
        <f>'19_STRESS_PATH'!D22</f>
        <v/>
      </c>
      <c r="C22">
        <f>'19_STRESS_PATH'!B22</f>
        <v/>
      </c>
      <c r="D22">
        <f>IF(OR(ValidationStatus="ERROR",'16_OPTIMIZER_RESULT'!B17="NO VALID PARAMS"),"PARAMETER ERROR",IF(O22="YES","SAFE MODE",IF(I22="YES","FULL CLOSE",IF(ABS(B22-'03_CORE_CALC'!B12)&gt;=EffectiveStep*Point,"OPEN BLOCK","WAIT"))))</f>
        <v/>
      </c>
      <c r="E22">
        <f>IF(D22="OPEN BLOCK",IF(C22="UP",EffectiveBaseLot*EffectiveK,EffectiveBaseLot),0)</f>
        <v/>
      </c>
      <c r="F22">
        <f>IF(D22="OPEN BLOCK",IF(C22="DOWN",EffectiveBaseLot*EffectiveK,EffectiveBaseLot),0)</f>
        <v/>
      </c>
      <c r="G22">
        <f>IF(D22="PARTIAL CLOSE",IF(L22&gt;0,"BUY","SELL"),"-")</f>
        <v/>
      </c>
      <c r="H22">
        <f>IF(D22="PARTIAL CLOSE",PartialCloseMinLot,0)</f>
        <v/>
      </c>
      <c r="I22">
        <f>IF(M22&gt;=BasketTargetMoney,"YES","NO")</f>
        <v/>
      </c>
      <c r="J22">
        <f>J21+E21-IF(G21="BUY",H21,0)</f>
        <v/>
      </c>
      <c r="K22">
        <f>K21+F21-IF(G21="SELL",H21,0)</f>
        <v/>
      </c>
      <c r="L22">
        <f>J22-K22</f>
        <v/>
      </c>
      <c r="M22">
        <f>M21+((B22-B21)/Point)*(J21-K21)*TickValue</f>
        <v/>
      </c>
      <c r="N22">
        <f>MIN($M$4:M22)</f>
        <v/>
      </c>
      <c r="O22">
        <f>IF(P22&gt;='18_STRESS_INPUT'!B12,"YES","NO")</f>
        <v/>
      </c>
      <c r="P22">
        <f>J22+K22</f>
        <v/>
      </c>
      <c r="Q22">
        <f>IF(D22="OPEN BLOCK","Виртуальные позиции обновлены","")</f>
        <v/>
      </c>
    </row>
    <row r="23">
      <c r="A23">
        <f>'19_STRESS_PATH'!A23</f>
        <v/>
      </c>
      <c r="B23">
        <f>'19_STRESS_PATH'!D23</f>
        <v/>
      </c>
      <c r="C23">
        <f>'19_STRESS_PATH'!B23</f>
        <v/>
      </c>
      <c r="D23">
        <f>IF(OR(ValidationStatus="ERROR",'16_OPTIMIZER_RESULT'!B17="NO VALID PARAMS"),"PARAMETER ERROR",IF(O23="YES","SAFE MODE",IF(I23="YES","FULL CLOSE",IF(ABS(B23-'03_CORE_CALC'!B12)&gt;=EffectiveStep*Point,"OPEN BLOCK","WAIT"))))</f>
        <v/>
      </c>
      <c r="E23">
        <f>IF(D23="OPEN BLOCK",IF(C23="UP",EffectiveBaseLot*EffectiveK,EffectiveBaseLot),0)</f>
        <v/>
      </c>
      <c r="F23">
        <f>IF(D23="OPEN BLOCK",IF(C23="DOWN",EffectiveBaseLot*EffectiveK,EffectiveBaseLot),0)</f>
        <v/>
      </c>
      <c r="G23">
        <f>IF(D23="PARTIAL CLOSE",IF(L23&gt;0,"BUY","SELL"),"-")</f>
        <v/>
      </c>
      <c r="H23">
        <f>IF(D23="PARTIAL CLOSE",PartialCloseMinLot,0)</f>
        <v/>
      </c>
      <c r="I23">
        <f>IF(M23&gt;=BasketTargetMoney,"YES","NO")</f>
        <v/>
      </c>
      <c r="J23">
        <f>J22+E22-IF(G22="BUY",H22,0)</f>
        <v/>
      </c>
      <c r="K23">
        <f>K22+F22-IF(G22="SELL",H22,0)</f>
        <v/>
      </c>
      <c r="L23">
        <f>J23-K23</f>
        <v/>
      </c>
      <c r="M23">
        <f>M22+((B23-B22)/Point)*(J22-K22)*TickValue</f>
        <v/>
      </c>
      <c r="N23">
        <f>MIN($M$4:M23)</f>
        <v/>
      </c>
      <c r="O23">
        <f>IF(P23&gt;='18_STRESS_INPUT'!B12,"YES","NO")</f>
        <v/>
      </c>
      <c r="P23">
        <f>J23+K23</f>
        <v/>
      </c>
      <c r="Q23">
        <f>IF(D23="OPEN BLOCK","Виртуальные позиции обновлены","")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СТРЕСС-ТЕСТА</t>
        </is>
      </c>
    </row>
    <row r="3">
      <c r="A3" t="inlineStr">
        <is>
          <t>StressMode</t>
        </is>
      </c>
      <c r="B3">
        <f>'18_STRESS_INPUT'!B3</f>
        <v/>
      </c>
    </row>
    <row r="4">
      <c r="A4" t="inlineStr">
        <is>
          <t>NumberOfSteps</t>
        </is>
      </c>
      <c r="B4">
        <f>'18_STRESS_INPUT'!B6</f>
        <v/>
      </c>
    </row>
    <row r="5">
      <c r="A5" t="inlineStr">
        <is>
          <t>FinalStatus</t>
        </is>
      </c>
      <c r="B5">
        <f>LOOKUP(2,1/('20_STRESS_SIMULATION'!D:D&lt;&gt;""),'20_STRESS_SIMULATION'!D:D)</f>
        <v/>
      </c>
    </row>
    <row r="6">
      <c r="A6" t="inlineStr">
        <is>
          <t>FinalBasketProfit</t>
        </is>
      </c>
      <c r="B6">
        <f>LOOKUP(2,1/('20_STRESS_SIMULATION'!M:M&lt;&gt;""),'20_STRESS_SIMULATION'!M:M)</f>
        <v/>
      </c>
    </row>
    <row r="7">
      <c r="A7" t="inlineStr">
        <is>
          <t>MaxDrawdownDuringTest</t>
        </is>
      </c>
      <c r="B7">
        <f>MIN('20_STRESS_SIMULATION'!M:M)</f>
        <v/>
      </c>
    </row>
    <row r="8">
      <c r="A8" t="inlineStr">
        <is>
          <t>MaxTotalLotDuringTest</t>
        </is>
      </c>
      <c r="B8">
        <f>MAX('20_STRESS_SIMULATION'!P:P)</f>
        <v/>
      </c>
    </row>
    <row r="9">
      <c r="A9" t="inlineStr">
        <is>
          <t>NumberOfOpenBlocks</t>
        </is>
      </c>
      <c r="B9">
        <f>COUNTIF('20_STRESS_SIMULATION'!D:D,"OPEN BLOCK")</f>
        <v/>
      </c>
    </row>
    <row r="10">
      <c r="A10" t="inlineStr">
        <is>
          <t>NumberOfPartialCloses</t>
        </is>
      </c>
      <c r="B10">
        <f>COUNTIF('20_STRESS_SIMULATION'!D:D,"PARTIAL CLOSE")</f>
        <v/>
      </c>
    </row>
    <row r="11">
      <c r="A11" t="inlineStr">
        <is>
          <t>FullCloseStep</t>
        </is>
      </c>
      <c r="B11">
        <f>IFERROR(INDEX('20_STRESS_SIMULATION'!A:A,MATCH("YES",'20_STRESS_SIMULATION'!I:I,0)),"NO")</f>
        <v/>
      </c>
    </row>
    <row r="12">
      <c r="A12" t="inlineStr">
        <is>
          <t>SafeModeStep</t>
        </is>
      </c>
      <c r="B12">
        <f>IFERROR(INDEX('20_STRESS_SIMULATION'!A:A,MATCH("YES",'20_STRESS_SIMULATION'!O:O,0)),"NO")</f>
        <v/>
      </c>
    </row>
    <row r="13">
      <c r="A13" t="inlineStr">
        <is>
          <t>WorstStep</t>
        </is>
      </c>
      <c r="B13">
        <f>IFERROR(INDEX('20_STRESS_SIMULATION'!A:A,MATCH(MIN('20_STRESS_SIMULATION'!M:M),'20_STRESS_SIMULATION'!M:M,0)),"NO")</f>
        <v/>
      </c>
    </row>
    <row r="14">
      <c r="A14" t="inlineStr">
        <is>
          <t>Verdict</t>
        </is>
      </c>
      <c r="B14">
        <f>IF(B12&lt;&gt;"NO","FAILED: SAFE MODE",IF(B11&lt;&gt;"NO","PASSED: FULL CLOSE",IF(B6&gt;=0,"PASSED: NON-NEGATIVE","WARNING: UNRECOVERED")))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2026-05-04T23:20:04Z</dcterms:modified>
</cp:coreProperties>
</file>