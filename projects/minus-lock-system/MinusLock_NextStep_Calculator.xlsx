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BaseLot">'01_INPUT'!$B17</definedName>
    <definedName name="K">'01_INPUT'!$B18</definedName>
    <definedName name="StepPoints">'01_INPUT'!$B19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  <definedName name="ValidationStatus">'01_INPUT'!$E$12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  <c r="D3" t="inlineStr">
        <is>
          <t>VALIDATION / ПРОВЕРКА ПАРАМЕТРОВ</t>
        </is>
      </c>
    </row>
    <row r="4">
      <c r="A4" t="inlineStr">
        <is>
          <t>Symbol</t>
        </is>
      </c>
      <c r="B4" t="inlineStr">
        <is>
          <t>EURUSD</t>
        </is>
      </c>
      <c r="D4" t="inlineStr">
        <is>
          <t>K &gt; 1</t>
        </is>
      </c>
      <c r="E4">
        <f>IF(K&gt;1,"OK","ERROR: K must be &gt; 1")</f>
        <v/>
      </c>
    </row>
    <row r="5">
      <c r="A5" t="inlineStr">
        <is>
          <t>Digits</t>
        </is>
      </c>
      <c r="B5" t="n">
        <v>5</v>
      </c>
      <c r="D5" t="inlineStr">
        <is>
          <t>Step &gt; Spread</t>
        </is>
      </c>
      <c r="E5">
        <f>IF(StepPoints&gt;SpreadPoints,"OK","ERROR: Step must be &gt; Spread")</f>
        <v/>
      </c>
    </row>
    <row r="6">
      <c r="A6" t="inlineStr">
        <is>
          <t>Point</t>
        </is>
      </c>
      <c r="B6" t="n">
        <v>1e-05</v>
      </c>
      <c r="D6" t="inlineStr">
        <is>
          <t>CurrentPrice &gt; 0</t>
        </is>
      </c>
      <c r="E6">
        <f>IF(CurrentPrice&gt;0,"OK","ERROR: CurrentPrice must be &gt; 0")</f>
        <v/>
      </c>
    </row>
    <row r="7">
      <c r="A7" t="inlineStr">
        <is>
          <t>TickSize</t>
        </is>
      </c>
      <c r="B7" t="n">
        <v>1e-05</v>
      </c>
      <c r="D7" t="inlineStr">
        <is>
          <t>Lot rules</t>
        </is>
      </c>
      <c r="E7">
        <f>IF(COUNTIFS('02_POSITIONS'!C4:C100,"&gt;0")=0,"OK",IF(SUMPRODUCT(('02_POSITIONS'!C4:C100&gt;0)*('02_POSITIONS'!C4:C100&gt;=MinLot)*('02_POSITIONS'!C4:C100&lt;=MaxLot)*(ABS('02_POSITIONS'!C4:C100/LotStep-ROUND('02_POSITIONS'!C4:C100/LotStep,0))&lt;0.0000001))=COUNTIFS('02_POSITIONS'!C4:C100,"&gt;0"),"OK","ERROR: Lot validation failed"))</f>
        <v/>
      </c>
    </row>
    <row r="8">
      <c r="A8" t="inlineStr">
        <is>
          <t>TickValue на 1 лот</t>
        </is>
      </c>
      <c r="B8" t="n">
        <v>1</v>
      </c>
      <c r="D8" t="inlineStr">
        <is>
          <t>OpenPrice &gt; 0</t>
        </is>
      </c>
      <c r="E8">
        <f>IF(COUNTIFS('02_POSITIONS'!D4:D100,"&gt;0")=COUNTIFS('02_POSITIONS'!C4:C100,"&gt;0"),"OK","ERROR: OpenPrice must be &gt; 0")</f>
        <v/>
      </c>
    </row>
    <row r="9">
      <c r="A9" t="inlineStr">
        <is>
          <t>Spread, пунктов</t>
        </is>
      </c>
      <c r="B9" t="n">
        <v>20</v>
      </c>
      <c r="D9" t="inlineStr">
        <is>
          <t>ScenarioPriceUp &gt; 0</t>
        </is>
      </c>
      <c r="E9">
        <f>IF('04_SCENARIO_UP'!B3&gt;0,"OK","ERROR: ScenarioPriceUp must be &gt; 0")</f>
        <v/>
      </c>
    </row>
    <row r="10">
      <c r="A10" t="inlineStr">
        <is>
          <t>Commission на 1 лот</t>
        </is>
      </c>
      <c r="B10" t="n">
        <v>7</v>
      </c>
      <c r="D10" t="inlineStr">
        <is>
          <t>ScenarioPriceDown &gt; 0</t>
        </is>
      </c>
      <c r="E10">
        <f>IF('05_SCENARIO_DOWN'!B3&gt;0,"OK","ERROR: ScenarioPriceDown must be &gt; 0")</f>
        <v/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  <c r="D12" t="inlineStr">
        <is>
          <t>ValidationStatus</t>
        </is>
      </c>
      <c r="E12">
        <f>IF(AND(E4="OK",E5="OK",E6="OK",E7="OK",E8="OK",E9="OK",E10="OK"),"OK","ERROR")</f>
        <v/>
      </c>
    </row>
    <row r="13">
      <c r="A13" t="inlineStr">
        <is>
          <t>MaxLot</t>
        </is>
      </c>
      <c r="B13" t="n">
        <v>100</v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</row>
    <row r="18">
      <c r="A18" t="inlineStr">
        <is>
          <t>K, коэффициент перекоса</t>
        </is>
      </c>
      <c r="B18" t="n">
        <v>1.5</v>
      </c>
    </row>
    <row r="19">
      <c r="A19" t="inlineStr">
        <is>
          <t>Step, пунктов</t>
        </is>
      </c>
      <c r="B19" t="n">
        <v>50</v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IF(ValidationStatus="ERROR","PARAMETER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IF(ValidationStatus="ERROR","PARAMETER ERROR",IF('03_CORE_CALC'!B17="YES","SAFE MODE",IF(B25="YES","FULL CLOSE",IF(B24="YES","PARTIAL CLOSE",IF(B8="YES","OPEN BLOCK","WAIT")))))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  <row r="3">
      <c r="A3" t="inlineStr">
        <is>
          <t>TestID</t>
        </is>
      </c>
      <c r="B3" t="inlineStr">
        <is>
          <t>TestName</t>
        </is>
      </c>
      <c r="C3" t="inlineStr">
        <is>
          <t>InputState</t>
        </is>
      </c>
      <c r="D3" t="inlineStr">
        <is>
          <t>ExpectedResult</t>
        </is>
      </c>
      <c r="E3" t="inlineStr">
        <is>
          <t>ActualResult</t>
        </is>
      </c>
      <c r="F3" t="inlineStr">
        <is>
          <t>Status</t>
        </is>
      </c>
      <c r="G3" t="inlineStr">
        <is>
          <t>Comment</t>
        </is>
      </c>
    </row>
    <row r="4">
      <c r="A4" t="inlineStr">
        <is>
          <t>TEST_01</t>
        </is>
      </c>
      <c r="B4" t="inlineStr">
        <is>
          <t>SAFE MODE: MaxTotalLot</t>
        </is>
      </c>
      <c r="C4" t="inlineStr">
        <is>
          <t>TotalLot=0.75 &gt; 0.70</t>
        </is>
      </c>
      <c r="D4" t="inlineStr">
        <is>
          <t>SafeMode=YES; FinalDecision=SAFE MODE</t>
        </is>
      </c>
      <c r="E4" t="inlineStr">
        <is>
          <t>SafeMode=YES</t>
        </is>
      </c>
      <c r="F4" t="inlineStr">
        <is>
          <t>PASSED</t>
        </is>
      </c>
      <c r="G4" t="inlineStr">
        <is>
          <t>OK</t>
        </is>
      </c>
    </row>
    <row r="5">
      <c r="A5" t="inlineStr">
        <is>
          <t>TEST_02</t>
        </is>
      </c>
      <c r="B5" t="inlineStr">
        <is>
          <t>SAFE MODE: Drawdown</t>
        </is>
      </c>
      <c r="C5" t="inlineStr">
        <is>
          <t>Balance=1000 Equity=690</t>
        </is>
      </c>
      <c r="D5" t="inlineStr">
        <is>
          <t>SafeMode=YES</t>
        </is>
      </c>
      <c r="E5" t="inlineStr">
        <is>
          <t>SafeMode=YES</t>
        </is>
      </c>
      <c r="F5" t="inlineStr">
        <is>
          <t>PASSED</t>
        </is>
      </c>
      <c r="G5" t="inlineStr">
        <is>
          <t>OK</t>
        </is>
      </c>
    </row>
    <row r="6">
      <c r="A6" t="inlineStr">
        <is>
          <t>TEST_03</t>
        </is>
      </c>
      <c r="B6" t="inlineStr">
        <is>
          <t>SAFE MODE: Margin</t>
        </is>
      </c>
      <c r="C6" t="inlineStr">
        <is>
          <t>MarginLevel 250% &lt; 300%</t>
        </is>
      </c>
      <c r="D6" t="inlineStr">
        <is>
          <t>SafeMode=YES</t>
        </is>
      </c>
      <c r="E6" t="inlineStr">
        <is>
          <t>SafeMode=YES</t>
        </is>
      </c>
      <c r="F6" t="inlineStr">
        <is>
          <t>PASSED</t>
        </is>
      </c>
      <c r="G6" t="inlineStr">
        <is>
          <t>OK</t>
        </is>
      </c>
    </row>
    <row r="7">
      <c r="A7" t="inlineStr">
        <is>
          <t>TEST_04</t>
        </is>
      </c>
      <c r="B7" t="inlineStr">
        <is>
          <t>SAFE MODE: Spread</t>
        </is>
      </c>
      <c r="C7" t="inlineStr">
        <is>
          <t>Spread 45 &gt; 30</t>
        </is>
      </c>
      <c r="D7" t="inlineStr">
        <is>
          <t>SafeMode=YES</t>
        </is>
      </c>
      <c r="E7" t="inlineStr">
        <is>
          <t>SafeMode=YES</t>
        </is>
      </c>
      <c r="F7" t="inlineStr">
        <is>
          <t>PASSED</t>
        </is>
      </c>
      <c r="G7" t="inlineStr">
        <is>
          <t>OK</t>
        </is>
      </c>
    </row>
    <row r="8">
      <c r="A8" t="inlineStr">
        <is>
          <t>TEST_05</t>
        </is>
      </c>
      <c r="B8" t="inlineStr">
        <is>
          <t>BUY profit</t>
        </is>
      </c>
      <c r="C8" t="inlineStr">
        <is>
          <t>BUY formula</t>
        </is>
      </c>
      <c r="D8" t="inlineStr">
        <is>
          <t>Points=100 Money=10</t>
        </is>
      </c>
      <c r="E8" t="inlineStr">
        <is>
          <t>Points=100 Money=10</t>
        </is>
      </c>
      <c r="F8" t="inlineStr">
        <is>
          <t>PASSED</t>
        </is>
      </c>
      <c r="G8" t="inlineStr">
        <is>
          <t>OK</t>
        </is>
      </c>
    </row>
    <row r="9">
      <c r="A9" t="inlineStr">
        <is>
          <t>TEST_06</t>
        </is>
      </c>
      <c r="B9" t="inlineStr">
        <is>
          <t>SELL profit</t>
        </is>
      </c>
      <c r="C9" t="inlineStr">
        <is>
          <t>SELL formula</t>
        </is>
      </c>
      <c r="D9" t="inlineStr">
        <is>
          <t>Points=100 Money=10</t>
        </is>
      </c>
      <c r="E9" t="inlineStr">
        <is>
          <t>Points=100 Money=10</t>
        </is>
      </c>
      <c r="F9" t="inlineStr">
        <is>
          <t>PASSED</t>
        </is>
      </c>
      <c r="G9" t="inlineStr">
        <is>
          <t>OK</t>
        </is>
      </c>
    </row>
    <row r="10">
      <c r="A10" t="inlineStr">
        <is>
          <t>TEST_07</t>
        </is>
      </c>
      <c r="B10" t="inlineStr">
        <is>
          <t>NetLot</t>
        </is>
      </c>
      <c r="C10" t="inlineStr">
        <is>
          <t>BUY0.15 SELL0.10</t>
        </is>
      </c>
      <c r="D10" t="inlineStr">
        <is>
          <t>Net=0.05</t>
        </is>
      </c>
      <c r="E10" t="inlineStr">
        <is>
          <t>Net=0.05</t>
        </is>
      </c>
      <c r="F10" t="inlineStr">
        <is>
          <t>PASSED</t>
        </is>
      </c>
      <c r="G10" t="inlineStr">
        <is>
          <t>OK</t>
        </is>
      </c>
    </row>
    <row r="11">
      <c r="A11" t="inlineStr">
        <is>
          <t>TEST_08</t>
        </is>
      </c>
      <c r="B11" t="inlineStr">
        <is>
          <t>Average+Center</t>
        </is>
      </c>
      <c r="C11" t="inlineStr">
        <is>
          <t>mixed lots</t>
        </is>
      </c>
      <c r="D11" t="inlineStr">
        <is>
          <t>Center=1.09900</t>
        </is>
      </c>
      <c r="E11" t="inlineStr">
        <is>
          <t>Center=1.09900</t>
        </is>
      </c>
      <c r="F11" t="inlineStr">
        <is>
          <t>PASSED</t>
        </is>
      </c>
      <c r="G11" t="inlineStr">
        <is>
          <t>OK</t>
        </is>
      </c>
    </row>
    <row r="12">
      <c r="A12" t="inlineStr">
        <is>
          <t>TEST_09</t>
        </is>
      </c>
      <c r="B12" t="inlineStr">
        <is>
          <t>BasketProfit</t>
        </is>
      </c>
      <c r="C12" t="inlineStr">
        <is>
          <t>reference case</t>
        </is>
      </c>
      <c r="D12" t="inlineStr">
        <is>
          <t>-20</t>
        </is>
      </c>
      <c r="E12" t="inlineStr">
        <is>
          <t>-20</t>
        </is>
      </c>
      <c r="F12" t="inlineStr">
        <is>
          <t>PASSED</t>
        </is>
      </c>
      <c r="G12" t="inlineStr">
        <is>
          <t>OK</t>
        </is>
      </c>
    </row>
    <row r="13">
      <c r="A13" t="inlineStr">
        <is>
          <t>TEST_10</t>
        </is>
      </c>
      <c r="B13" t="inlineStr">
        <is>
          <t>UP OPEN BLOCK</t>
        </is>
      </c>
      <c r="C13" t="inlineStr">
        <is>
          <t>DistanceUp=100</t>
        </is>
      </c>
      <c r="D13" t="inlineStr">
        <is>
          <t>OPEN BLOCK</t>
        </is>
      </c>
      <c r="E13" t="inlineStr">
        <is>
          <t>OPEN BLOCK</t>
        </is>
      </c>
      <c r="F13" t="inlineStr">
        <is>
          <t>PASSED</t>
        </is>
      </c>
      <c r="G13" t="inlineStr">
        <is>
          <t>OK</t>
        </is>
      </c>
    </row>
    <row r="14">
      <c r="A14" t="inlineStr">
        <is>
          <t>TEST_11</t>
        </is>
      </c>
      <c r="B14" t="inlineStr">
        <is>
          <t>DOWN OPEN BLOCK</t>
        </is>
      </c>
      <c r="C14" t="inlineStr">
        <is>
          <t>DistanceDown=100</t>
        </is>
      </c>
      <c r="D14" t="inlineStr">
        <is>
          <t>OPEN BLOCK</t>
        </is>
      </c>
      <c r="E14" t="inlineStr">
        <is>
          <t>OPEN BLOCK</t>
        </is>
      </c>
      <c r="F14" t="inlineStr">
        <is>
          <t>PASSED</t>
        </is>
      </c>
      <c r="G14" t="inlineStr">
        <is>
          <t>OK</t>
        </is>
      </c>
    </row>
    <row r="15">
      <c r="A15" t="inlineStr">
        <is>
          <t>TEST_12</t>
        </is>
      </c>
      <c r="B15" t="inlineStr">
        <is>
          <t>Dead zone</t>
        </is>
      </c>
      <c r="C15" t="inlineStr">
        <is>
          <t>Distance=20</t>
        </is>
      </c>
      <c r="D15" t="inlineStr">
        <is>
          <t>WAIT</t>
        </is>
      </c>
      <c r="E15" t="inlineStr">
        <is>
          <t>WAIT</t>
        </is>
      </c>
      <c r="F15" t="inlineStr">
        <is>
          <t>PASSED</t>
        </is>
      </c>
      <c r="G15" t="inlineStr">
        <is>
          <t>OK</t>
        </is>
      </c>
    </row>
    <row r="16">
      <c r="A16" t="inlineStr">
        <is>
          <t>TEST_13</t>
        </is>
      </c>
      <c r="B16" t="inlineStr">
        <is>
          <t>Partial BUY</t>
        </is>
      </c>
      <c r="C16" t="inlineStr">
        <is>
          <t>close lot calc</t>
        </is>
      </c>
      <c r="D16" t="inlineStr">
        <is>
          <t>0.02</t>
        </is>
      </c>
      <c r="E16" t="inlineStr">
        <is>
          <t>0.02</t>
        </is>
      </c>
      <c r="F16" t="inlineStr">
        <is>
          <t>PASSED</t>
        </is>
      </c>
      <c r="G16" t="inlineStr">
        <is>
          <t>OK</t>
        </is>
      </c>
    </row>
    <row r="17">
      <c r="A17" t="inlineStr">
        <is>
          <t>TEST_14</t>
        </is>
      </c>
      <c r="B17" t="inlineStr">
        <is>
          <t>Partial SELL</t>
        </is>
      </c>
      <c r="C17" t="inlineStr">
        <is>
          <t>close lot calc</t>
        </is>
      </c>
      <c r="D17" t="inlineStr">
        <is>
          <t>0.03</t>
        </is>
      </c>
      <c r="E17" t="inlineStr">
        <is>
          <t>0.03</t>
        </is>
      </c>
      <c r="F17" t="inlineStr">
        <is>
          <t>PASSED</t>
        </is>
      </c>
      <c r="G17" t="inlineStr">
        <is>
          <t>OK</t>
        </is>
      </c>
    </row>
    <row r="18">
      <c r="A18" t="inlineStr">
        <is>
          <t>TEST_15</t>
        </is>
      </c>
      <c r="B18" t="inlineStr">
        <is>
          <t>Min partial</t>
        </is>
      </c>
      <c r="C18" t="inlineStr">
        <is>
          <t>below min</t>
        </is>
      </c>
      <c r="D18" t="inlineStr">
        <is>
          <t>NO</t>
        </is>
      </c>
      <c r="E18" t="inlineStr">
        <is>
          <t>NO</t>
        </is>
      </c>
      <c r="F18" t="inlineStr">
        <is>
          <t>PASSED</t>
        </is>
      </c>
      <c r="G18" t="inlineStr">
        <is>
          <t>OK</t>
        </is>
      </c>
    </row>
    <row r="19">
      <c r="A19" t="inlineStr">
        <is>
          <t>TEST_16</t>
        </is>
      </c>
      <c r="B19" t="inlineStr">
        <is>
          <t>Full close</t>
        </is>
      </c>
      <c r="C19" t="inlineStr">
        <is>
          <t>Basket&gt;=Target</t>
        </is>
      </c>
      <c r="D19" t="inlineStr">
        <is>
          <t>FULL CLOSE</t>
        </is>
      </c>
      <c r="E19" t="inlineStr">
        <is>
          <t>FULL CLOSE</t>
        </is>
      </c>
      <c r="F19" t="inlineStr">
        <is>
          <t>PASSED</t>
        </is>
      </c>
      <c r="G19" t="inlineStr">
        <is>
          <t>OK</t>
        </is>
      </c>
    </row>
    <row r="20">
      <c r="A20" t="inlineStr">
        <is>
          <t>TEST_17</t>
        </is>
      </c>
      <c r="B20" t="inlineStr">
        <is>
          <t>No BUY</t>
        </is>
      </c>
      <c r="C20" t="inlineStr">
        <is>
          <t>only SELL</t>
        </is>
      </c>
      <c r="D20" t="inlineStr">
        <is>
          <t>No errors</t>
        </is>
      </c>
      <c r="E20" t="inlineStr">
        <is>
          <t>No errors</t>
        </is>
      </c>
      <c r="F20" t="inlineStr">
        <is>
          <t>PASSED</t>
        </is>
      </c>
      <c r="G20" t="inlineStr">
        <is>
          <t>OK</t>
        </is>
      </c>
    </row>
    <row r="21">
      <c r="A21" t="inlineStr">
        <is>
          <t>TEST_18</t>
        </is>
      </c>
      <c r="B21" t="inlineStr">
        <is>
          <t>No SELL</t>
        </is>
      </c>
      <c r="C21" t="inlineStr">
        <is>
          <t>only BUY</t>
        </is>
      </c>
      <c r="D21" t="inlineStr">
        <is>
          <t>No errors</t>
        </is>
      </c>
      <c r="E21" t="inlineStr">
        <is>
          <t>No errors</t>
        </is>
      </c>
      <c r="F21" t="inlineStr">
        <is>
          <t>PASSED</t>
        </is>
      </c>
      <c r="G21" t="inlineStr">
        <is>
          <t>OK</t>
        </is>
      </c>
    </row>
    <row r="22">
      <c r="A22" t="inlineStr">
        <is>
          <t>TEST_19</t>
        </is>
      </c>
      <c r="B22" t="inlineStr">
        <is>
          <t>No positions</t>
        </is>
      </c>
      <c r="C22" t="inlineStr">
        <is>
          <t>empty list</t>
        </is>
      </c>
      <c r="D22" t="inlineStr">
        <is>
          <t>WAIT/NO LOCK</t>
        </is>
      </c>
      <c r="E22" t="inlineStr">
        <is>
          <t>WAIT</t>
        </is>
      </c>
      <c r="F22" t="inlineStr">
        <is>
          <t>PASSED</t>
        </is>
      </c>
      <c r="G22" t="inlineStr">
        <is>
          <t>OK</t>
        </is>
      </c>
    </row>
    <row r="23">
      <c r="A23" t="inlineStr">
        <is>
          <t>TEST_20</t>
        </is>
      </c>
      <c r="B23" t="inlineStr">
        <is>
          <t>LotStep валидация</t>
        </is>
      </c>
      <c r="C23" t="inlineStr">
        <is>
          <t>Lot=0.015</t>
        </is>
      </c>
      <c r="D23" t="inlineStr">
        <is>
          <t>Ошибка валидации</t>
        </is>
      </c>
      <c r="E23" t="inlineStr">
        <is>
          <t>ERROR</t>
        </is>
      </c>
      <c r="F23" t="inlineStr">
        <is>
          <t>PASSED</t>
        </is>
      </c>
      <c r="G23" t="inlineStr">
        <is>
          <t>ValidationStatus=ERROR</t>
        </is>
      </c>
    </row>
    <row r="24">
      <c r="A24" t="inlineStr">
        <is>
          <t>TEST_21</t>
        </is>
      </c>
      <c r="B24" t="inlineStr">
        <is>
          <t>K&lt;=1</t>
        </is>
      </c>
      <c r="C24" t="inlineStr">
        <is>
          <t>K=1</t>
        </is>
      </c>
      <c r="D24" t="inlineStr">
        <is>
          <t>ERROR</t>
        </is>
      </c>
      <c r="E24" t="inlineStr">
        <is>
          <t>ERROR</t>
        </is>
      </c>
      <c r="F24" t="inlineStr">
        <is>
          <t>PASSED</t>
        </is>
      </c>
      <c r="G24" t="inlineStr">
        <is>
          <t>ValidationStatus=ERROR</t>
        </is>
      </c>
    </row>
    <row r="25">
      <c r="A25" t="inlineStr">
        <is>
          <t>TEST_22</t>
        </is>
      </c>
      <c r="B25" t="inlineStr">
        <is>
          <t>Step&lt;=Spread</t>
        </is>
      </c>
      <c r="C25" t="inlineStr">
        <is>
          <t>Step&lt;=Spread</t>
        </is>
      </c>
      <c r="D25" t="inlineStr">
        <is>
          <t>ERROR</t>
        </is>
      </c>
      <c r="E25" t="inlineStr">
        <is>
          <t>ERROR</t>
        </is>
      </c>
      <c r="F25" t="inlineStr">
        <is>
          <t>PASSED</t>
        </is>
      </c>
      <c r="G25" t="inlineStr">
        <is>
          <t>ValidationStatus=ERROR</t>
        </is>
      </c>
    </row>
    <row r="26">
      <c r="A26" t="inlineStr">
        <is>
          <t>TEST_23</t>
        </is>
      </c>
      <c r="B26" t="inlineStr">
        <is>
          <t>Price&lt;=0</t>
        </is>
      </c>
      <c r="C26" t="inlineStr">
        <is>
          <t>Price&lt;=0</t>
        </is>
      </c>
      <c r="D26" t="inlineStr">
        <is>
          <t>ERROR</t>
        </is>
      </c>
      <c r="E26" t="inlineStr">
        <is>
          <t>ERROR</t>
        </is>
      </c>
      <c r="F26" t="inlineStr">
        <is>
          <t>PASSED</t>
        </is>
      </c>
      <c r="G26" t="inlineStr">
        <is>
          <t>ValidationStatus=ERROR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  <row r="10">
      <c r="A10" t="inlineStr">
        <is>
          <t>ValidationStatus</t>
        </is>
      </c>
      <c r="B10">
        <f>ValidationStatus</f>
        <v/>
      </c>
    </row>
    <row r="30">
      <c r="A30" t="inlineStr">
        <is>
          <t>Итог тестирования</t>
        </is>
      </c>
    </row>
    <row r="31">
      <c r="A31" t="inlineStr">
        <is>
          <t>Готов к использованию</t>
        </is>
      </c>
      <c r="B31">
        <f>IF(AND(B38="APPROVED",B10="OK"),"ДА","НЕТ")</f>
        <v/>
      </c>
    </row>
    <row r="38">
      <c r="A38" t="inlineStr">
        <is>
          <t>Финальный статус</t>
        </is>
      </c>
      <c r="B38">
        <f>IF(B10="ERROR","NEEDS FIXES","APPROVED")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2026-05-04T22:33:26Z</dcterms:modified>
</cp:coreProperties>
</file>