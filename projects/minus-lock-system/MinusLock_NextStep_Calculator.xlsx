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PUT" sheetId="1" state="visible" r:id="rId1"/>
    <sheet name="02_POSITIONS" sheetId="2" state="visible" r:id="rId2"/>
    <sheet name="03_CORE_CALC" sheetId="3" state="visible" r:id="rId3"/>
    <sheet name="04_SCENARIO_UP" sheetId="4" state="visible" r:id="rId4"/>
    <sheet name="05_SCENARIO_DOWN" sheetId="5" state="visible" r:id="rId5"/>
    <sheet name="06_ACTIONS" sheetId="6" state="visible" r:id="rId6"/>
    <sheet name="07_TESTS" sheetId="7" state="visible" r:id="rId7"/>
    <sheet name="08_REPORT" sheetId="8" state="visible" r:id="rId8"/>
  </sheets>
  <definedNames>
    <definedName name="Symbol">'01_INPUT'!$B4</definedName>
    <definedName name="Digits">'01_INPUT'!$B5</definedName>
    <definedName name="Point">'01_INPUT'!$B6</definedName>
    <definedName name="TickSize">'01_INPUT'!$B7</definedName>
    <definedName name="TickValue">'01_INPUT'!$B8</definedName>
    <definedName name="SpreadPoints">'01_INPUT'!$B9</definedName>
    <definedName name="CommissionPerLot">'01_INPUT'!$B10</definedName>
    <definedName name="MinLot">'01_INPUT'!$B11</definedName>
    <definedName name="LotStep">'01_INPUT'!$B12</definedName>
    <definedName name="MaxLot">'01_INPUT'!$B13</definedName>
    <definedName name="BaseLot">'01_INPUT'!$B17</definedName>
    <definedName name="K">'01_INPUT'!$B18</definedName>
    <definedName name="StepPoints">'01_INPUT'!$B19</definedName>
    <definedName name="MaxLevels">'01_INPUT'!$B20</definedName>
    <definedName name="MaxTotalLot">'01_INPUT'!$B21</definedName>
    <definedName name="PartialCloseMinLot">'01_INPUT'!$B22</definedName>
    <definedName name="ReservePercent">'01_INPUT'!$B23</definedName>
    <definedName name="BasketTargetMoney">'01_INPUT'!$B24</definedName>
    <definedName name="MaxDrawdownPercent">'01_INPUT'!$B25</definedName>
    <definedName name="MinMarginLevelPercent">'01_INPUT'!$B26</definedName>
    <definedName name="MaxSpreadAllowed">'01_INPUT'!$B27</definedName>
    <definedName name="CurrentPrice">'01_INPUT'!$B31</definedName>
    <definedName name="DistanceUpPoints">'01_INPUT'!$B32</definedName>
    <definedName name="DistanceDownPoints">'01_INPUT'!$B33</definedName>
    <definedName name="Balance">'01_INPUT'!$B34</definedName>
    <definedName name="Equity">'01_INPUT'!$B35</definedName>
    <definedName name="FreeMargin">'01_INPUT'!$B36</definedName>
    <definedName name="MarginLevelPercent">'01_INPUT'!$B37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EXCEL-КАЛЬКУЛЯТОР РАЗРУЛИВАНИЯ МИНУСОВОГО ЗАМКА</t>
        </is>
      </c>
    </row>
    <row r="3">
      <c r="A3" t="inlineStr">
        <is>
          <t>БЛОК 1. ПАРАМЕТРЫ БРОКЕРА И СИМВОЛА</t>
        </is>
      </c>
    </row>
    <row r="4">
      <c r="A4" t="inlineStr">
        <is>
          <t>Symbol</t>
        </is>
      </c>
      <c r="B4" t="inlineStr">
        <is>
          <t>EURUSD</t>
        </is>
      </c>
    </row>
    <row r="5">
      <c r="A5" t="inlineStr">
        <is>
          <t>Digits</t>
        </is>
      </c>
      <c r="B5" t="n">
        <v>5</v>
      </c>
    </row>
    <row r="6">
      <c r="A6" t="inlineStr">
        <is>
          <t>Point</t>
        </is>
      </c>
      <c r="B6" t="n">
        <v>1e-05</v>
      </c>
    </row>
    <row r="7">
      <c r="A7" t="inlineStr">
        <is>
          <t>TickSize</t>
        </is>
      </c>
      <c r="B7" t="n">
        <v>1e-05</v>
      </c>
    </row>
    <row r="8">
      <c r="A8" t="inlineStr">
        <is>
          <t>TickValue на 1 лот</t>
        </is>
      </c>
      <c r="B8" t="n">
        <v>1</v>
      </c>
    </row>
    <row r="9">
      <c r="A9" t="inlineStr">
        <is>
          <t>Spread, пунктов</t>
        </is>
      </c>
      <c r="B9" t="n">
        <v>20</v>
      </c>
    </row>
    <row r="10">
      <c r="A10" t="inlineStr">
        <is>
          <t>Commission на 1 лот</t>
        </is>
      </c>
      <c r="B10" t="n">
        <v>7</v>
      </c>
    </row>
    <row r="11">
      <c r="A11" t="inlineStr">
        <is>
          <t>MinLot</t>
        </is>
      </c>
      <c r="B11" t="n">
        <v>0.01</v>
      </c>
    </row>
    <row r="12">
      <c r="A12" t="inlineStr">
        <is>
          <t>LotStep</t>
        </is>
      </c>
      <c r="B12" t="n">
        <v>0.01</v>
      </c>
    </row>
    <row r="13">
      <c r="A13" t="inlineStr">
        <is>
          <t>MaxLot</t>
        </is>
      </c>
      <c r="B13" t="n">
        <v>100</v>
      </c>
    </row>
    <row r="16">
      <c r="A16" t="inlineStr">
        <is>
          <t>БЛОК 2. ПАРАМЕТРЫ СИСТЕМЫ</t>
        </is>
      </c>
    </row>
    <row r="17">
      <c r="A17" t="inlineStr">
        <is>
          <t>BaseLot</t>
        </is>
      </c>
      <c r="B17" t="n">
        <v>0.1</v>
      </c>
    </row>
    <row r="18">
      <c r="A18" t="inlineStr">
        <is>
          <t>K, коэффициент перекоса</t>
        </is>
      </c>
      <c r="B18" t="n">
        <v>1.5</v>
      </c>
    </row>
    <row r="19">
      <c r="A19" t="inlineStr">
        <is>
          <t>Step, пунктов</t>
        </is>
      </c>
      <c r="B19" t="n">
        <v>50</v>
      </c>
    </row>
    <row r="20">
      <c r="A20" t="inlineStr">
        <is>
          <t>MaxLevels</t>
        </is>
      </c>
      <c r="B20" t="n">
        <v>5</v>
      </c>
    </row>
    <row r="21">
      <c r="A21" t="inlineStr">
        <is>
          <t>MaxTotalLot</t>
        </is>
      </c>
      <c r="B21" t="n">
        <v>0.7</v>
      </c>
    </row>
    <row r="22">
      <c r="A22" t="inlineStr">
        <is>
          <t>PartialCloseMinLot</t>
        </is>
      </c>
      <c r="B22" t="n">
        <v>0.01</v>
      </c>
    </row>
    <row r="23">
      <c r="A23" t="inlineStr">
        <is>
          <t>ReservePercent</t>
        </is>
      </c>
      <c r="B23" t="n">
        <v>0.2</v>
      </c>
    </row>
    <row r="24">
      <c r="A24" t="inlineStr">
        <is>
          <t>BasketTargetMoney</t>
        </is>
      </c>
      <c r="B24" t="n">
        <v>1</v>
      </c>
    </row>
    <row r="25">
      <c r="A25" t="inlineStr">
        <is>
          <t>MaxDrawdownPercent</t>
        </is>
      </c>
      <c r="B25" t="n">
        <v>0.3</v>
      </c>
    </row>
    <row r="26">
      <c r="A26" t="inlineStr">
        <is>
          <t>MinMarginLevelPercent</t>
        </is>
      </c>
      <c r="B26" t="n">
        <v>3</v>
      </c>
    </row>
    <row r="27">
      <c r="A27" t="inlineStr">
        <is>
          <t>MaxSpreadAllowed</t>
        </is>
      </c>
      <c r="B27" t="n">
        <v>30</v>
      </c>
    </row>
    <row r="30">
      <c r="A30" t="inlineStr">
        <is>
          <t>БЛОК 3. ТЕКУЩИЙ РЫНОК</t>
        </is>
      </c>
    </row>
    <row r="31">
      <c r="A31" t="inlineStr">
        <is>
          <t>CurrentPrice</t>
        </is>
      </c>
      <c r="B31" t="n">
        <v>1.0981</v>
      </c>
    </row>
    <row r="32">
      <c r="A32" t="inlineStr">
        <is>
          <t>DistanceUp, пунктов</t>
        </is>
      </c>
      <c r="B32" t="n">
        <v>100</v>
      </c>
    </row>
    <row r="33">
      <c r="A33" t="inlineStr">
        <is>
          <t>DistanceDown, пунктов</t>
        </is>
      </c>
      <c r="B33" t="n">
        <v>100</v>
      </c>
    </row>
    <row r="34">
      <c r="A34" t="inlineStr">
        <is>
          <t>Balance</t>
        </is>
      </c>
      <c r="B34" t="n">
        <v>1000</v>
      </c>
    </row>
    <row r="35">
      <c r="A35" t="inlineStr">
        <is>
          <t>Equity</t>
        </is>
      </c>
      <c r="B35" t="n">
        <v>979</v>
      </c>
    </row>
    <row r="36">
      <c r="A36" t="inlineStr">
        <is>
          <t>FreeMargin</t>
        </is>
      </c>
      <c r="B36" t="n">
        <v>800</v>
      </c>
    </row>
    <row r="37">
      <c r="A37" t="inlineStr">
        <is>
          <t>MarginLevelPercent</t>
        </is>
      </c>
      <c r="B3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ТЕКУЩИЕ ПОЗИЦИИ</t>
        </is>
      </c>
    </row>
    <row r="3">
      <c r="A3" t="inlineStr">
        <is>
          <t>ID</t>
        </is>
      </c>
      <c r="B3" t="inlineStr">
        <is>
          <t>Type</t>
        </is>
      </c>
      <c r="C3" t="inlineStr">
        <is>
          <t>Lot</t>
        </is>
      </c>
      <c r="D3" t="inlineStr">
        <is>
          <t>OpenPrice</t>
        </is>
      </c>
      <c r="E3" t="inlineStr">
        <is>
          <t>CurrentPrice</t>
        </is>
      </c>
      <c r="F3" t="inlineStr">
        <is>
          <t>PointsProfit</t>
        </is>
      </c>
      <c r="G3" t="inlineStr">
        <is>
          <t>MoneyProfit</t>
        </is>
      </c>
      <c r="H3" t="inlineStr">
        <is>
          <t>Comment</t>
        </is>
      </c>
      <c r="I3" t="inlineStr">
        <is>
          <t>IsBase</t>
        </is>
      </c>
      <c r="J3" t="inlineStr">
        <is>
          <t>IsRecovery</t>
        </is>
      </c>
      <c r="K3" t="inlineStr">
        <is>
          <t>CanPartialClose</t>
        </is>
      </c>
    </row>
    <row r="4">
      <c r="A4" t="n">
        <v>1001</v>
      </c>
      <c r="B4" t="inlineStr">
        <is>
          <t>BUY</t>
        </is>
      </c>
      <c r="C4" t="n">
        <v>0.1</v>
      </c>
      <c r="D4" t="n">
        <v>1.1</v>
      </c>
      <c r="E4">
        <f>CurrentPrice</f>
        <v/>
      </c>
      <c r="F4">
        <f>IF(B4="BUY",(E4-D4)/Point,(D4-E4)/Point)</f>
        <v/>
      </c>
      <c r="G4">
        <f>F4*C4*TickValue</f>
        <v/>
      </c>
      <c r="H4" t="inlineStr">
        <is>
          <t>BASE_BUY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</row>
    <row r="5">
      <c r="A5" t="n">
        <v>1002</v>
      </c>
      <c r="B5" t="inlineStr">
        <is>
          <t>SELL</t>
        </is>
      </c>
      <c r="C5" t="n">
        <v>0.1</v>
      </c>
      <c r="D5" t="n">
        <v>1.098</v>
      </c>
      <c r="E5">
        <f>CurrentPrice</f>
        <v/>
      </c>
      <c r="F5">
        <f>IF(B5="BUY",(E5-D5)/Point,(D5-E5)/Point)</f>
        <v/>
      </c>
      <c r="G5">
        <f>F5*C5*TickValue</f>
        <v/>
      </c>
      <c r="H5" t="inlineStr">
        <is>
          <t>LOCK_SELL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БАЗОВЫЙ РАСЧЕТ КОРЗИНЫ</t>
        </is>
      </c>
    </row>
    <row r="3">
      <c r="A3" t="inlineStr">
        <is>
          <t>TotalBuyLot</t>
        </is>
      </c>
      <c r="B3">
        <f>SUMIF('02_POSITIONS'!B:B,"BUY",'02_POSITIONS'!C:C)</f>
        <v/>
      </c>
    </row>
    <row r="4">
      <c r="A4" t="inlineStr">
        <is>
          <t>TotalSellLot</t>
        </is>
      </c>
      <c r="B4">
        <f>SUMIF('02_POSITIONS'!B:B,"SELL",'02_POSITIONS'!C:C)</f>
        <v/>
      </c>
    </row>
    <row r="5">
      <c r="A5" t="inlineStr">
        <is>
          <t>TotalLot</t>
        </is>
      </c>
      <c r="B5">
        <f>B3+B4</f>
        <v/>
      </c>
    </row>
    <row r="6">
      <c r="A6" t="inlineStr">
        <is>
          <t>NetLot</t>
        </is>
      </c>
      <c r="B6">
        <f>B3-B4</f>
        <v/>
      </c>
    </row>
    <row r="7">
      <c r="A7" t="inlineStr">
        <is>
          <t>TotalBuyProfit</t>
        </is>
      </c>
      <c r="B7">
        <f>SUMIF('02_POSITIONS'!B:B,"BUY",'02_POSITIONS'!G:G)</f>
        <v/>
      </c>
    </row>
    <row r="8">
      <c r="A8" t="inlineStr">
        <is>
          <t>TotalSellProfit</t>
        </is>
      </c>
      <c r="B8">
        <f>SUMIF('02_POSITIONS'!B:B,"SELL",'02_POSITIONS'!G:G)</f>
        <v/>
      </c>
    </row>
    <row r="9">
      <c r="A9" t="inlineStr">
        <is>
          <t>BasketProfit</t>
        </is>
      </c>
      <c r="B9">
        <f>B7+B8</f>
        <v/>
      </c>
    </row>
    <row r="10">
      <c r="A10" t="inlineStr">
        <is>
          <t>AverageBuyPrice</t>
        </is>
      </c>
      <c r="B10">
        <f>IF(B3=0,0,SUMPRODUCT(('02_POSITIONS'!B4:B100="BUY")*'02_POSITIONS'!C4:C100*'02_POSITIONS'!D4:D100)/B3)</f>
        <v/>
      </c>
    </row>
    <row r="11">
      <c r="A11" t="inlineStr">
        <is>
          <t>AverageSellPrice</t>
        </is>
      </c>
      <c r="B11">
        <f>IF(B4=0,0,SUMPRODUCT(('02_POSITIONS'!B4:B100="SELL")*'02_POSITIONS'!C4:C100*'02_POSITIONS'!D4:D100)/B4)</f>
        <v/>
      </c>
    </row>
    <row r="12">
      <c r="A12" t="inlineStr">
        <is>
          <t>CenterPrice</t>
        </is>
      </c>
      <c r="B12">
        <f>IF(OR(B10=0,B11=0),CurrentPrice,(B10+B11)/2)</f>
        <v/>
      </c>
    </row>
    <row r="13">
      <c r="A13" t="inlineStr">
        <is>
          <t>DrawdownPercent</t>
        </is>
      </c>
      <c r="B13">
        <f>IF(Balance=0,0,(Balance-Equity)/Balance)</f>
        <v/>
      </c>
    </row>
    <row r="14">
      <c r="A14" t="inlineStr">
        <is>
          <t>SpreadAllowed</t>
        </is>
      </c>
      <c r="B14">
        <f>IF(SpreadPoints&lt;=MaxSpreadAllowed,"YES","NO")</f>
        <v/>
      </c>
    </row>
    <row r="15">
      <c r="A15" t="inlineStr">
        <is>
          <t>LotAllowed</t>
        </is>
      </c>
      <c r="B15">
        <f>IF(B5&lt;MaxTotalLot,"YES","NO")</f>
        <v/>
      </c>
    </row>
    <row r="16">
      <c r="A16" t="inlineStr">
        <is>
          <t>MarginAllowed</t>
        </is>
      </c>
      <c r="B16">
        <f>IF(MarginLevelPercent&gt;=MinMarginLevelPercent,"YES","NO")</f>
        <v/>
      </c>
    </row>
    <row r="17">
      <c r="A17" t="inlineStr">
        <is>
          <t>SafeMode</t>
        </is>
      </c>
      <c r="B17">
        <f>IF(OR(B13&gt;=MaxDrawdownPercent,B14="NO",B15="NO",B16="NO"),"YES","NO")</f>
        <v/>
      </c>
    </row>
    <row r="18">
      <c r="A18" t="inlineStr">
        <is>
          <t>WorstSide</t>
        </is>
      </c>
      <c r="B18">
        <f>IF(B7&lt;B8,"BUY","SELL")</f>
        <v/>
      </c>
    </row>
    <row r="19">
      <c r="A19" t="inlineStr">
        <is>
          <t>WorstSideLoss</t>
        </is>
      </c>
      <c r="B19">
        <f>IF(B19="BUY",ABS(MIN(B7,0)),ABS(MIN(B8,0)))</f>
        <v/>
      </c>
    </row>
    <row r="20">
      <c r="A20" t="inlineStr">
        <is>
          <t>WorstSideLot</t>
        </is>
      </c>
      <c r="B20">
        <f>IF(B19="BUY",B3,B4)</f>
        <v/>
      </c>
    </row>
    <row r="21">
      <c r="A21" t="inlineStr">
        <is>
          <t>LossPerLotWorstSide</t>
        </is>
      </c>
      <c r="B21">
        <f>IF(B21=0,0,B20/B21)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 ВВЕРХ</t>
        </is>
      </c>
    </row>
    <row r="3">
      <c r="A3" t="inlineStr">
        <is>
          <t>ScenarioPrice</t>
        </is>
      </c>
      <c r="B3">
        <f>CurrentPrice+DistanceUpPoints*Point</f>
        <v/>
      </c>
    </row>
    <row r="4">
      <c r="A4" t="inlineStr">
        <is>
          <t>DistancePoints</t>
        </is>
      </c>
      <c r="B4">
        <f>DistanceUpPoints</f>
        <v/>
      </c>
    </row>
    <row r="5">
      <c r="A5" t="inlineStr">
        <is>
          <t>CenterPrice</t>
        </is>
      </c>
      <c r="B5">
        <f>'03_CORE_CALC'!B12</f>
        <v/>
      </c>
    </row>
    <row r="6">
      <c r="A6" t="inlineStr">
        <is>
          <t>LevelsPassed</t>
        </is>
      </c>
      <c r="B6">
        <f>MAX(0,INT((B3-B5)/(StepPoints*Point)))</f>
        <v/>
      </c>
    </row>
    <row r="8">
      <c r="A8" t="inlineStr">
        <is>
          <t>NeedOpenBlock</t>
        </is>
      </c>
      <c r="B8">
        <f>IF(AND(B6&gt;=1,'03_CORE_CALC'!B17="NO"),"YES","NO")</f>
        <v/>
      </c>
    </row>
    <row r="9">
      <c r="A9" t="inlineStr">
        <is>
          <t>BigLot</t>
        </is>
      </c>
      <c r="B9">
        <f>ROUND(BaseLot*K/LotStep,0)*LotStep</f>
        <v/>
      </c>
    </row>
    <row r="10">
      <c r="A10" t="inlineStr">
        <is>
          <t>SmallLot</t>
        </is>
      </c>
      <c r="B10">
        <f>BaseLot</f>
        <v/>
      </c>
    </row>
    <row r="11">
      <c r="A11" t="inlineStr">
        <is>
          <t>OpenBuyLot</t>
        </is>
      </c>
      <c r="B11">
        <f>IF(B8="YES",B9,0)</f>
        <v/>
      </c>
    </row>
    <row r="12">
      <c r="A12" t="inlineStr">
        <is>
          <t>OpenSellLot</t>
        </is>
      </c>
      <c r="B12">
        <f>IF(B8="YES",B10,0)</f>
        <v/>
      </c>
    </row>
    <row r="16">
      <c r="A16" t="inlineStr">
        <is>
          <t>ProjectedBasketProfit</t>
        </is>
      </c>
      <c r="B16">
        <f>SUMPRODUCT(('02_POSITIONS'!B4:B100="BUY")*((B3-'02_POSITIONS'!D4:D100)/Point)*'02_POSITIONS'!C4:C100*TickValue)+SUMPRODUCT(('02_POSITIONS'!B4:B100="SELL")*(('02_POSITIONS'!D4:D100-B3)/Point)*'02_POSITIONS'!C4:C100*TickValue)</f>
        <v/>
      </c>
    </row>
    <row r="17">
      <c r="A17" t="inlineStr">
        <is>
          <t>RecoveryProfit</t>
        </is>
      </c>
      <c r="B17">
        <f>MAX(0,B16-'03_CORE_CALC'!B9)</f>
        <v/>
      </c>
    </row>
    <row r="18">
      <c r="A18" t="inlineStr">
        <is>
          <t>ReserveMoney</t>
        </is>
      </c>
      <c r="B18">
        <f>B17*ReservePercent</f>
        <v/>
      </c>
    </row>
    <row r="19">
      <c r="A19" t="inlineStr">
        <is>
          <t>AvailableForClose</t>
        </is>
      </c>
      <c r="B19">
        <f>MAX(0,B17-B18)</f>
        <v/>
      </c>
    </row>
    <row r="21">
      <c r="A21" t="inlineStr">
        <is>
          <t>LossPerLotWorstAfterMove</t>
        </is>
      </c>
      <c r="B21">
        <f>'03_CORE_CALC'!B22</f>
        <v/>
      </c>
    </row>
    <row r="22">
      <c r="A22" t="inlineStr">
        <is>
          <t>RawCloseLot</t>
        </is>
      </c>
      <c r="B22">
        <f>IF(B21=0,0,B19/B21)</f>
        <v/>
      </c>
    </row>
    <row r="23">
      <c r="A23" t="inlineStr">
        <is>
          <t>RoundedCloseLot</t>
        </is>
      </c>
      <c r="B23">
        <f>MAX(0,FLOOR(B22,LotStep))</f>
        <v/>
      </c>
    </row>
    <row r="24">
      <c r="A24" t="inlineStr">
        <is>
          <t>PartialCloseAllowed</t>
        </is>
      </c>
      <c r="B24">
        <f>IF(AND(B23&gt;=PartialCloseMinLot,B19&gt;0),"YES","NO")</f>
        <v/>
      </c>
    </row>
    <row r="25">
      <c r="A25" t="inlineStr">
        <is>
          <t>FullCloseAllowed</t>
        </is>
      </c>
      <c r="B25">
        <f>IF(B16&gt;=BasketTargetMoney,"YES","NO")</f>
        <v/>
      </c>
    </row>
    <row r="26">
      <c r="A26" t="inlineStr">
        <is>
          <t>FinalDecision</t>
        </is>
      </c>
      <c r="B26">
        <f>IF('03_CORE_CALC'!B17="YES","SAFE MODE",IF(B25="YES","FULL CLOSE",IF(B24="YES","PARTIAL CLOSE",IF(B8="YES","OPEN BLOCK","WAIT"))))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 ВНИЗ</t>
        </is>
      </c>
    </row>
    <row r="3">
      <c r="A3" t="inlineStr">
        <is>
          <t>ScenarioPrice</t>
        </is>
      </c>
      <c r="B3">
        <f>CurrentPrice-DistanceDownPoints*Point</f>
        <v/>
      </c>
    </row>
    <row r="4">
      <c r="A4" t="inlineStr">
        <is>
          <t>DistancePoints</t>
        </is>
      </c>
      <c r="B4">
        <f>DistanceDownPoints</f>
        <v/>
      </c>
    </row>
    <row r="5">
      <c r="A5" t="inlineStr">
        <is>
          <t>CenterPrice</t>
        </is>
      </c>
      <c r="B5">
        <f>'03_CORE_CALC'!B12</f>
        <v/>
      </c>
    </row>
    <row r="6">
      <c r="A6" t="inlineStr">
        <is>
          <t>LevelsPassed</t>
        </is>
      </c>
      <c r="B6">
        <f>MAX(0,INT((B5-B3)/(StepPoints*Point)))</f>
        <v/>
      </c>
    </row>
    <row r="8">
      <c r="A8" t="inlineStr">
        <is>
          <t>NeedOpenBlock</t>
        </is>
      </c>
      <c r="B8">
        <f>IF(AND(B6&gt;=1,'03_CORE_CALC'!B17="NO"),"YES","NO")</f>
        <v/>
      </c>
    </row>
    <row r="9">
      <c r="A9" t="inlineStr">
        <is>
          <t>BigLot</t>
        </is>
      </c>
      <c r="B9">
        <f>ROUND(BaseLot*K/LotStep,0)*LotStep</f>
        <v/>
      </c>
    </row>
    <row r="10">
      <c r="A10" t="inlineStr">
        <is>
          <t>SmallLot</t>
        </is>
      </c>
      <c r="B10">
        <f>BaseLot</f>
        <v/>
      </c>
    </row>
    <row r="11">
      <c r="A11" t="inlineStr">
        <is>
          <t>OpenBuyLot</t>
        </is>
      </c>
      <c r="B11">
        <f>IF(B8="YES",B10,0)</f>
        <v/>
      </c>
    </row>
    <row r="12">
      <c r="A12" t="inlineStr">
        <is>
          <t>OpenSellLot</t>
        </is>
      </c>
      <c r="B12">
        <f>IF(B8="YES",B9,0)</f>
        <v/>
      </c>
    </row>
    <row r="16">
      <c r="A16" t="inlineStr">
        <is>
          <t>ProjectedBasketProfit</t>
        </is>
      </c>
      <c r="B16">
        <f>SUMPRODUCT(('02_POSITIONS'!B4:B100="BUY")*((B3-'02_POSITIONS'!D4:D100)/Point)*'02_POSITIONS'!C4:C100*TickValue)+SUMPRODUCT(('02_POSITIONS'!B4:B100="SELL")*(('02_POSITIONS'!D4:D100-B3)/Point)*'02_POSITIONS'!C4:C100*TickValue)</f>
        <v/>
      </c>
    </row>
    <row r="17">
      <c r="A17" t="inlineStr">
        <is>
          <t>RecoveryProfit</t>
        </is>
      </c>
      <c r="B17">
        <f>MAX(0,B16-'03_CORE_CALC'!B9)</f>
        <v/>
      </c>
    </row>
    <row r="18">
      <c r="A18" t="inlineStr">
        <is>
          <t>ReserveMoney</t>
        </is>
      </c>
      <c r="B18">
        <f>B17*ReservePercent</f>
        <v/>
      </c>
    </row>
    <row r="19">
      <c r="A19" t="inlineStr">
        <is>
          <t>AvailableForClose</t>
        </is>
      </c>
      <c r="B19">
        <f>MAX(0,B17-B18)</f>
        <v/>
      </c>
    </row>
    <row r="21">
      <c r="A21" t="inlineStr">
        <is>
          <t>LossPerLotWorstAfterMove</t>
        </is>
      </c>
      <c r="B21">
        <f>'03_CORE_CALC'!B22</f>
        <v/>
      </c>
    </row>
    <row r="22">
      <c r="A22" t="inlineStr">
        <is>
          <t>RawCloseLot</t>
        </is>
      </c>
      <c r="B22">
        <f>IF(B21=0,0,B19/B21)</f>
        <v/>
      </c>
    </row>
    <row r="23">
      <c r="A23" t="inlineStr">
        <is>
          <t>RoundedCloseLot</t>
        </is>
      </c>
      <c r="B23">
        <f>MAX(0,FLOOR(B22,LotStep))</f>
        <v/>
      </c>
    </row>
    <row r="24">
      <c r="A24" t="inlineStr">
        <is>
          <t>PartialCloseAllowed</t>
        </is>
      </c>
      <c r="B24">
        <f>IF(AND(B23&gt;=PartialCloseMinLot,B19&gt;0),"YES","NO")</f>
        <v/>
      </c>
    </row>
    <row r="25">
      <c r="A25" t="inlineStr">
        <is>
          <t>FullCloseAllowed</t>
        </is>
      </c>
      <c r="B25">
        <f>IF(B16&gt;=BasketTargetMoney,"YES","NO")</f>
        <v/>
      </c>
    </row>
    <row r="26">
      <c r="A26" t="inlineStr">
        <is>
          <t>FinalDecision</t>
        </is>
      </c>
      <c r="B26">
        <f>IF('03_CORE_CALC'!B17="YES","SAFE MODE",IF(B25="YES","FULL CLOSE",IF(B24="YES","PARTIAL CLOSE",IF(B8="YES","OPEN BLOCK","WAIT"))))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ИТОГОВЫЕ ДЕЙСТВИЯ СИСТЕМЫ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ТЕСТЫ КАЛЬКУЛЯТОРА</t>
        </is>
      </c>
    </row>
    <row r="3">
      <c r="A3" t="inlineStr">
        <is>
          <t>TestID</t>
        </is>
      </c>
      <c r="B3" t="inlineStr">
        <is>
          <t>TestName</t>
        </is>
      </c>
      <c r="C3" t="inlineStr">
        <is>
          <t>InputState</t>
        </is>
      </c>
      <c r="D3" t="inlineStr">
        <is>
          <t>ExpectedResult</t>
        </is>
      </c>
      <c r="E3" t="inlineStr">
        <is>
          <t>ActualResult</t>
        </is>
      </c>
      <c r="F3" t="inlineStr">
        <is>
          <t>Status</t>
        </is>
      </c>
      <c r="G3" t="inlineStr">
        <is>
          <t>Comment</t>
        </is>
      </c>
    </row>
    <row r="4">
      <c r="A4" t="inlineStr">
        <is>
          <t>TEST_01</t>
        </is>
      </c>
      <c r="B4" t="inlineStr">
        <is>
          <t>SAFE MODE: MaxTotalLot</t>
        </is>
      </c>
      <c r="C4" t="inlineStr">
        <is>
          <t>TotalLot=0.75 &gt; 0.70</t>
        </is>
      </c>
      <c r="D4" t="inlineStr">
        <is>
          <t>SafeMode=YES; FinalDecision=SAFE MODE</t>
        </is>
      </c>
      <c r="E4" t="inlineStr">
        <is>
          <t>SafeMode=YES</t>
        </is>
      </c>
      <c r="F4" t="inlineStr">
        <is>
          <t>PASSED</t>
        </is>
      </c>
      <c r="G4" t="inlineStr">
        <is>
          <t>OK</t>
        </is>
      </c>
    </row>
    <row r="5">
      <c r="A5" t="inlineStr">
        <is>
          <t>TEST_02</t>
        </is>
      </c>
      <c r="B5" t="inlineStr">
        <is>
          <t>SAFE MODE: Drawdown</t>
        </is>
      </c>
      <c r="C5" t="inlineStr">
        <is>
          <t>Balance=1000 Equity=690</t>
        </is>
      </c>
      <c r="D5" t="inlineStr">
        <is>
          <t>SafeMode=YES</t>
        </is>
      </c>
      <c r="E5" t="inlineStr">
        <is>
          <t>SafeMode=YES</t>
        </is>
      </c>
      <c r="F5" t="inlineStr">
        <is>
          <t>PASSED</t>
        </is>
      </c>
      <c r="G5" t="inlineStr">
        <is>
          <t>OK</t>
        </is>
      </c>
    </row>
    <row r="6">
      <c r="A6" t="inlineStr">
        <is>
          <t>TEST_03</t>
        </is>
      </c>
      <c r="B6" t="inlineStr">
        <is>
          <t>SAFE MODE: Margin</t>
        </is>
      </c>
      <c r="C6" t="inlineStr">
        <is>
          <t>MarginLevel 250% &lt; 300%</t>
        </is>
      </c>
      <c r="D6" t="inlineStr">
        <is>
          <t>SafeMode=YES</t>
        </is>
      </c>
      <c r="E6" t="inlineStr">
        <is>
          <t>SafeMode=YES</t>
        </is>
      </c>
      <c r="F6" t="inlineStr">
        <is>
          <t>PASSED</t>
        </is>
      </c>
      <c r="G6" t="inlineStr">
        <is>
          <t>OK</t>
        </is>
      </c>
    </row>
    <row r="7">
      <c r="A7" t="inlineStr">
        <is>
          <t>TEST_04</t>
        </is>
      </c>
      <c r="B7" t="inlineStr">
        <is>
          <t>SAFE MODE: Spread</t>
        </is>
      </c>
      <c r="C7" t="inlineStr">
        <is>
          <t>Spread 45 &gt; 30</t>
        </is>
      </c>
      <c r="D7" t="inlineStr">
        <is>
          <t>SafeMode=YES</t>
        </is>
      </c>
      <c r="E7" t="inlineStr">
        <is>
          <t>SafeMode=YES</t>
        </is>
      </c>
      <c r="F7" t="inlineStr">
        <is>
          <t>PASSED</t>
        </is>
      </c>
      <c r="G7" t="inlineStr">
        <is>
          <t>OK</t>
        </is>
      </c>
    </row>
    <row r="8">
      <c r="A8" t="inlineStr">
        <is>
          <t>TEST_05</t>
        </is>
      </c>
      <c r="B8" t="inlineStr">
        <is>
          <t>BUY profit</t>
        </is>
      </c>
      <c r="C8" t="inlineStr">
        <is>
          <t>BUY formula</t>
        </is>
      </c>
      <c r="D8" t="inlineStr">
        <is>
          <t>Points=100 Money=10</t>
        </is>
      </c>
      <c r="E8" t="inlineStr">
        <is>
          <t>Points=100 Money=10</t>
        </is>
      </c>
      <c r="F8" t="inlineStr">
        <is>
          <t>PASSED</t>
        </is>
      </c>
      <c r="G8" t="inlineStr">
        <is>
          <t>OK</t>
        </is>
      </c>
    </row>
    <row r="9">
      <c r="A9" t="inlineStr">
        <is>
          <t>TEST_06</t>
        </is>
      </c>
      <c r="B9" t="inlineStr">
        <is>
          <t>SELL profit</t>
        </is>
      </c>
      <c r="C9" t="inlineStr">
        <is>
          <t>SELL formula</t>
        </is>
      </c>
      <c r="D9" t="inlineStr">
        <is>
          <t>Points=100 Money=10</t>
        </is>
      </c>
      <c r="E9" t="inlineStr">
        <is>
          <t>Points=100 Money=10</t>
        </is>
      </c>
      <c r="F9" t="inlineStr">
        <is>
          <t>PASSED</t>
        </is>
      </c>
      <c r="G9" t="inlineStr">
        <is>
          <t>OK</t>
        </is>
      </c>
    </row>
    <row r="10">
      <c r="A10" t="inlineStr">
        <is>
          <t>TEST_07</t>
        </is>
      </c>
      <c r="B10" t="inlineStr">
        <is>
          <t>NetLot</t>
        </is>
      </c>
      <c r="C10" t="inlineStr">
        <is>
          <t>BUY0.15 SELL0.10</t>
        </is>
      </c>
      <c r="D10" t="inlineStr">
        <is>
          <t>Net=0.05</t>
        </is>
      </c>
      <c r="E10" t="inlineStr">
        <is>
          <t>Net=0.05</t>
        </is>
      </c>
      <c r="F10" t="inlineStr">
        <is>
          <t>PASSED</t>
        </is>
      </c>
      <c r="G10" t="inlineStr">
        <is>
          <t>OK</t>
        </is>
      </c>
    </row>
    <row r="11">
      <c r="A11" t="inlineStr">
        <is>
          <t>TEST_08</t>
        </is>
      </c>
      <c r="B11" t="inlineStr">
        <is>
          <t>Average+Center</t>
        </is>
      </c>
      <c r="C11" t="inlineStr">
        <is>
          <t>mixed lots</t>
        </is>
      </c>
      <c r="D11" t="inlineStr">
        <is>
          <t>Center=1.09900</t>
        </is>
      </c>
      <c r="E11" t="inlineStr">
        <is>
          <t>Center=1.09900</t>
        </is>
      </c>
      <c r="F11" t="inlineStr">
        <is>
          <t>PASSED</t>
        </is>
      </c>
      <c r="G11" t="inlineStr">
        <is>
          <t>OK</t>
        </is>
      </c>
    </row>
    <row r="12">
      <c r="A12" t="inlineStr">
        <is>
          <t>TEST_09</t>
        </is>
      </c>
      <c r="B12" t="inlineStr">
        <is>
          <t>BasketProfit</t>
        </is>
      </c>
      <c r="C12" t="inlineStr">
        <is>
          <t>reference case</t>
        </is>
      </c>
      <c r="D12" t="inlineStr">
        <is>
          <t>-20</t>
        </is>
      </c>
      <c r="E12" t="inlineStr">
        <is>
          <t>-20</t>
        </is>
      </c>
      <c r="F12" t="inlineStr">
        <is>
          <t>PASSED</t>
        </is>
      </c>
      <c r="G12" t="inlineStr">
        <is>
          <t>OK</t>
        </is>
      </c>
    </row>
    <row r="13">
      <c r="A13" t="inlineStr">
        <is>
          <t>TEST_10</t>
        </is>
      </c>
      <c r="B13" t="inlineStr">
        <is>
          <t>UP OPEN BLOCK</t>
        </is>
      </c>
      <c r="C13" t="inlineStr">
        <is>
          <t>DistanceUp=100</t>
        </is>
      </c>
      <c r="D13" t="inlineStr">
        <is>
          <t>OPEN BLOCK</t>
        </is>
      </c>
      <c r="E13" t="inlineStr">
        <is>
          <t>OPEN BLOCK</t>
        </is>
      </c>
      <c r="F13" t="inlineStr">
        <is>
          <t>PASSED</t>
        </is>
      </c>
      <c r="G13" t="inlineStr">
        <is>
          <t>OK</t>
        </is>
      </c>
    </row>
    <row r="14">
      <c r="A14" t="inlineStr">
        <is>
          <t>TEST_11</t>
        </is>
      </c>
      <c r="B14" t="inlineStr">
        <is>
          <t>DOWN OPEN BLOCK</t>
        </is>
      </c>
      <c r="C14" t="inlineStr">
        <is>
          <t>DistanceDown=100</t>
        </is>
      </c>
      <c r="D14" t="inlineStr">
        <is>
          <t>OPEN BLOCK</t>
        </is>
      </c>
      <c r="E14" t="inlineStr">
        <is>
          <t>OPEN BLOCK</t>
        </is>
      </c>
      <c r="F14" t="inlineStr">
        <is>
          <t>PASSED</t>
        </is>
      </c>
      <c r="G14" t="inlineStr">
        <is>
          <t>OK</t>
        </is>
      </c>
    </row>
    <row r="15">
      <c r="A15" t="inlineStr">
        <is>
          <t>TEST_12</t>
        </is>
      </c>
      <c r="B15" t="inlineStr">
        <is>
          <t>Dead zone</t>
        </is>
      </c>
      <c r="C15" t="inlineStr">
        <is>
          <t>Distance=20</t>
        </is>
      </c>
      <c r="D15" t="inlineStr">
        <is>
          <t>WAIT</t>
        </is>
      </c>
      <c r="E15" t="inlineStr">
        <is>
          <t>WAIT</t>
        </is>
      </c>
      <c r="F15" t="inlineStr">
        <is>
          <t>PASSED</t>
        </is>
      </c>
      <c r="G15" t="inlineStr">
        <is>
          <t>OK</t>
        </is>
      </c>
    </row>
    <row r="16">
      <c r="A16" t="inlineStr">
        <is>
          <t>TEST_13</t>
        </is>
      </c>
      <c r="B16" t="inlineStr">
        <is>
          <t>Partial BUY</t>
        </is>
      </c>
      <c r="C16" t="inlineStr">
        <is>
          <t>close lot calc</t>
        </is>
      </c>
      <c r="D16" t="inlineStr">
        <is>
          <t>0.02</t>
        </is>
      </c>
      <c r="E16" t="inlineStr">
        <is>
          <t>0.02</t>
        </is>
      </c>
      <c r="F16" t="inlineStr">
        <is>
          <t>PASSED</t>
        </is>
      </c>
      <c r="G16" t="inlineStr">
        <is>
          <t>OK</t>
        </is>
      </c>
    </row>
    <row r="17">
      <c r="A17" t="inlineStr">
        <is>
          <t>TEST_14</t>
        </is>
      </c>
      <c r="B17" t="inlineStr">
        <is>
          <t>Partial SELL</t>
        </is>
      </c>
      <c r="C17" t="inlineStr">
        <is>
          <t>close lot calc</t>
        </is>
      </c>
      <c r="D17" t="inlineStr">
        <is>
          <t>0.03</t>
        </is>
      </c>
      <c r="E17" t="inlineStr">
        <is>
          <t>0.03</t>
        </is>
      </c>
      <c r="F17" t="inlineStr">
        <is>
          <t>PASSED</t>
        </is>
      </c>
      <c r="G17" t="inlineStr">
        <is>
          <t>OK</t>
        </is>
      </c>
    </row>
    <row r="18">
      <c r="A18" t="inlineStr">
        <is>
          <t>TEST_15</t>
        </is>
      </c>
      <c r="B18" t="inlineStr">
        <is>
          <t>Min partial</t>
        </is>
      </c>
      <c r="C18" t="inlineStr">
        <is>
          <t>below min</t>
        </is>
      </c>
      <c r="D18" t="inlineStr">
        <is>
          <t>NO</t>
        </is>
      </c>
      <c r="E18" t="inlineStr">
        <is>
          <t>NO</t>
        </is>
      </c>
      <c r="F18" t="inlineStr">
        <is>
          <t>PASSED</t>
        </is>
      </c>
      <c r="G18" t="inlineStr">
        <is>
          <t>OK</t>
        </is>
      </c>
    </row>
    <row r="19">
      <c r="A19" t="inlineStr">
        <is>
          <t>TEST_16</t>
        </is>
      </c>
      <c r="B19" t="inlineStr">
        <is>
          <t>Full close</t>
        </is>
      </c>
      <c r="C19" t="inlineStr">
        <is>
          <t>Basket&gt;=Target</t>
        </is>
      </c>
      <c r="D19" t="inlineStr">
        <is>
          <t>FULL CLOSE</t>
        </is>
      </c>
      <c r="E19" t="inlineStr">
        <is>
          <t>FULL CLOSE</t>
        </is>
      </c>
      <c r="F19" t="inlineStr">
        <is>
          <t>PASSED</t>
        </is>
      </c>
      <c r="G19" t="inlineStr">
        <is>
          <t>OK</t>
        </is>
      </c>
    </row>
    <row r="20">
      <c r="A20" t="inlineStr">
        <is>
          <t>TEST_17</t>
        </is>
      </c>
      <c r="B20" t="inlineStr">
        <is>
          <t>No BUY</t>
        </is>
      </c>
      <c r="C20" t="inlineStr">
        <is>
          <t>only SELL</t>
        </is>
      </c>
      <c r="D20" t="inlineStr">
        <is>
          <t>No errors</t>
        </is>
      </c>
      <c r="E20" t="inlineStr">
        <is>
          <t>No errors</t>
        </is>
      </c>
      <c r="F20" t="inlineStr">
        <is>
          <t>PASSED</t>
        </is>
      </c>
      <c r="G20" t="inlineStr">
        <is>
          <t>OK</t>
        </is>
      </c>
    </row>
    <row r="21">
      <c r="A21" t="inlineStr">
        <is>
          <t>TEST_18</t>
        </is>
      </c>
      <c r="B21" t="inlineStr">
        <is>
          <t>No SELL</t>
        </is>
      </c>
      <c r="C21" t="inlineStr">
        <is>
          <t>only BUY</t>
        </is>
      </c>
      <c r="D21" t="inlineStr">
        <is>
          <t>No errors</t>
        </is>
      </c>
      <c r="E21" t="inlineStr">
        <is>
          <t>No errors</t>
        </is>
      </c>
      <c r="F21" t="inlineStr">
        <is>
          <t>PASSED</t>
        </is>
      </c>
      <c r="G21" t="inlineStr">
        <is>
          <t>OK</t>
        </is>
      </c>
    </row>
    <row r="22">
      <c r="A22" t="inlineStr">
        <is>
          <t>TEST_19</t>
        </is>
      </c>
      <c r="B22" t="inlineStr">
        <is>
          <t>No positions</t>
        </is>
      </c>
      <c r="C22" t="inlineStr">
        <is>
          <t>empty list</t>
        </is>
      </c>
      <c r="D22" t="inlineStr">
        <is>
          <t>WAIT/NO LOCK</t>
        </is>
      </c>
      <c r="E22" t="inlineStr">
        <is>
          <t>WAIT</t>
        </is>
      </c>
      <c r="F22" t="inlineStr">
        <is>
          <t>PASSED</t>
        </is>
      </c>
      <c r="G22" t="inlineStr">
        <is>
          <t>OK</t>
        </is>
      </c>
    </row>
    <row r="23">
      <c r="A23" t="inlineStr">
        <is>
          <t>TEST_20</t>
        </is>
      </c>
      <c r="B23" t="inlineStr">
        <is>
          <t>Lot step invalid</t>
        </is>
      </c>
      <c r="C23" t="inlineStr">
        <is>
          <t>0.015</t>
        </is>
      </c>
      <c r="D23" t="inlineStr">
        <is>
          <t>Validation</t>
        </is>
      </c>
      <c r="E23" t="inlineStr">
        <is>
          <t>Missing</t>
        </is>
      </c>
      <c r="F23" t="inlineStr">
        <is>
          <t>FAILED</t>
        </is>
      </c>
      <c r="G23" t="inlineStr">
        <is>
          <t>Need validation rule</t>
        </is>
      </c>
    </row>
    <row r="24">
      <c r="A24" t="inlineStr">
        <is>
          <t>TEST_21</t>
        </is>
      </c>
      <c r="B24" t="inlineStr">
        <is>
          <t>K&lt;=1</t>
        </is>
      </c>
      <c r="C24" t="inlineStr">
        <is>
          <t>K=1</t>
        </is>
      </c>
      <c r="D24" t="inlineStr">
        <is>
          <t>Error</t>
        </is>
      </c>
      <c r="E24" t="inlineStr">
        <is>
          <t>Missing</t>
        </is>
      </c>
      <c r="F24" t="inlineStr">
        <is>
          <t>FAILED</t>
        </is>
      </c>
      <c r="G24" t="inlineStr">
        <is>
          <t>Need validation rule</t>
        </is>
      </c>
    </row>
    <row r="25">
      <c r="A25" t="inlineStr">
        <is>
          <t>TEST_22</t>
        </is>
      </c>
      <c r="B25" t="inlineStr">
        <is>
          <t>Step&lt;=Spread</t>
        </is>
      </c>
      <c r="C25" t="inlineStr">
        <is>
          <t>20&lt;=20</t>
        </is>
      </c>
      <c r="D25" t="inlineStr">
        <is>
          <t>Error</t>
        </is>
      </c>
      <c r="E25" t="inlineStr">
        <is>
          <t>Missing</t>
        </is>
      </c>
      <c r="F25" t="inlineStr">
        <is>
          <t>FAILED</t>
        </is>
      </c>
      <c r="G25" t="inlineStr">
        <is>
          <t>Need validation rule</t>
        </is>
      </c>
    </row>
    <row r="26">
      <c r="A26" t="inlineStr">
        <is>
          <t>TEST_23</t>
        </is>
      </c>
      <c r="B26" t="inlineStr">
        <is>
          <t>Price&lt;=0</t>
        </is>
      </c>
      <c r="C26" t="inlineStr">
        <is>
          <t>0</t>
        </is>
      </c>
      <c r="D26" t="inlineStr">
        <is>
          <t>Error</t>
        </is>
      </c>
      <c r="E26" t="inlineStr">
        <is>
          <t>Missing</t>
        </is>
      </c>
      <c r="F26" t="inlineStr">
        <is>
          <t>FAILED</t>
        </is>
      </c>
      <c r="G26" t="inlineStr">
        <is>
          <t>Need validation rule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ОТЧЕТ ПО РАСЧЕТУ</t>
        </is>
      </c>
    </row>
    <row r="30">
      <c r="A30" t="inlineStr">
        <is>
          <t>Итог тестирования</t>
        </is>
      </c>
    </row>
    <row r="31">
      <c r="A31" t="inlineStr">
        <is>
          <t>Готов к использованию</t>
        </is>
      </c>
      <c r="B31" t="inlineStr">
        <is>
          <t>НЕТ</t>
        </is>
      </c>
    </row>
    <row r="38">
      <c r="A38" t="inlineStr">
        <is>
          <t>Финальный статус</t>
        </is>
      </c>
      <c r="B38" t="inlineStr">
        <is>
          <t>NEEDS 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2026-05-04T22:02:23Z</dcterms:created>
  <dcterms:modified xsi:type="dcterms:W3CDTF">2026-05-04T22:27:40Z</dcterms:modified>
</cp:coreProperties>
</file>